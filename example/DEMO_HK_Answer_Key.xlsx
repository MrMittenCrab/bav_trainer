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  <sheet xmlns:r="http://schemas.openxmlformats.org/officeDocument/2006/relationships" name="_ComponentMap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00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0" fontId="6" fillId="0" borderId="0" pivotButton="0" quotePrefix="0" xfId="0"/>
    <xf numFmtId="165" fontId="5" fillId="4" borderId="0" pivotButton="0" quotePrefix="0" xfId="0"/>
    <xf numFmtId="165" fontId="5" fillId="5" borderId="0" pivotButton="0" quotePrefix="0" xfId="0"/>
    <xf numFmtId="165" fontId="5" fillId="5" borderId="1" pivotButton="0" quotePrefix="0" xfId="0"/>
    <xf numFmtId="0" fontId="5" fillId="5" borderId="0" pivotButton="0" quotePrefix="0" xfId="0"/>
    <xf numFmtId="166" fontId="5" fillId="5" borderId="0" pivotButton="0" quotePrefix="0" xfId="0"/>
    <xf numFmtId="0" fontId="5" fillId="5" borderId="1" pivotButton="0" quotePrefix="0" xfId="0"/>
    <xf numFmtId="167" fontId="5" fillId="0" borderId="1" pivotButton="0" quotePrefix="0" xfId="0"/>
    <xf numFmtId="167" fontId="5" fillId="5" borderId="1" pivotButton="0" quotePrefix="0" xfId="0"/>
    <xf numFmtId="0" fontId="0" fillId="0" borderId="1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BAV Trainer</author>
  </authors>
  <commentList>
    <comment ref="F26" authorId="0" shapeId="0">
      <text>
        <t>Reformulate net income to operating profit after tax.</t>
      </text>
    </comment>
    <comment ref="F31" authorId="0" shapeId="0">
      <text>
        <t>Sum operating WC assets minus operating WC liabilities.</t>
      </text>
    </comment>
    <comment ref="F35" authorId="0" shapeId="0">
      <text>
        <t>NOWC plus net operating long-term assets.</t>
      </text>
    </comment>
    <comment ref="F38" authorId="0" shapeId="0">
      <text>
        <t>Financial liabilities minus financial assets.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E5" authorId="0" shapeId="0">
      <text>
        <t>NOPAT divided by average NOA.</t>
      </text>
    </comment>
    <comment ref="E7" authorId="0" shapeId="0">
      <text>
        <t>Operating return minus after-tax cost of debt.</t>
      </text>
    </comment>
    <comment ref="E9" authorId="0" shapeId="0">
      <text>
        <t>ROE = RNOA + FLEV × Spread.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G21" authorId="0" shapeId="0">
      <text>
        <t>Anchor revenue × (1 + Y1 growth).</t>
      </text>
    </comment>
    <comment ref="G27" authorId="0" shapeId="0">
      <text>
        <t>Forecast sales × NOPAT margin.</t>
      </text>
    </comment>
    <comment ref="G29" authorId="0" shapeId="0">
      <text>
        <t>Residual income: NI − Ke × Equity.</t>
      </text>
    </comment>
    <comment ref="G37" authorId="0" shapeId="0">
      <text>
        <t>Gordon growth on terminal-year abnormal earnings, discounted.</t>
      </text>
    </comment>
    <comment ref="G40" authorId="0" shapeId="0">
      <text>
        <t>Book equity + PV(abnormal earnings) + PV(terminal value).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E8" authorId="0" shapeId="0">
      <text>
        <t>SUMPRODUCT of scenario IVPS and probabilities.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13" t="inlineStr">
        <is>
          <t>BAV Excel Trainer</t>
        </is>
      </c>
    </row>
    <row r="2">
      <c r="A2" s="14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5" t="inlineStr">
        <is>
          <t>Order</t>
        </is>
      </c>
      <c r="B4" s="15" t="inlineStr">
        <is>
          <t>Component</t>
        </is>
      </c>
      <c r="C4" s="15" t="inlineStr">
        <is>
          <t>Tab</t>
        </is>
      </c>
      <c r="D4" s="15" t="inlineStr">
        <is>
          <t>Cell</t>
        </is>
      </c>
      <c r="E4" s="15" t="inlineStr">
        <is>
          <t>Depends on</t>
        </is>
      </c>
    </row>
    <row r="5">
      <c r="A5" s="14" t="n">
        <v>1</v>
      </c>
      <c r="B5" s="14" t="inlineStr">
        <is>
          <t>NOPAT (latest fiscal year)</t>
        </is>
      </c>
      <c r="C5" s="14" t="inlineStr">
        <is>
          <t>Condensed Financials</t>
        </is>
      </c>
      <c r="D5" s="14" t="inlineStr">
        <is>
          <t>F26</t>
        </is>
      </c>
      <c r="E5" s="14" t="inlineStr">
        <is>
          <t>—</t>
        </is>
      </c>
    </row>
    <row r="6">
      <c r="A6" s="14" t="n">
        <v>2</v>
      </c>
      <c r="B6" s="14" t="inlineStr">
        <is>
          <t>Net Operating Working Capital (NOWC)</t>
        </is>
      </c>
      <c r="C6" s="14" t="inlineStr">
        <is>
          <t>Condensed Financials</t>
        </is>
      </c>
      <c r="D6" s="14" t="inlineStr">
        <is>
          <t>F31</t>
        </is>
      </c>
      <c r="E6" s="14" t="inlineStr">
        <is>
          <t>nopat_fy</t>
        </is>
      </c>
    </row>
    <row r="7">
      <c r="A7" s="14" t="n">
        <v>3</v>
      </c>
      <c r="B7" s="14" t="inlineStr">
        <is>
          <t>Net Operating Assets (NOA)</t>
        </is>
      </c>
      <c r="C7" s="14" t="inlineStr">
        <is>
          <t>Condensed Financials</t>
        </is>
      </c>
      <c r="D7" s="14" t="inlineStr">
        <is>
          <t>F35</t>
        </is>
      </c>
      <c r="E7" s="14" t="inlineStr">
        <is>
          <t>nowc_agg</t>
        </is>
      </c>
    </row>
    <row r="8">
      <c r="A8" s="14" t="n">
        <v>4</v>
      </c>
      <c r="B8" s="14" t="inlineStr">
        <is>
          <t>Net Debt</t>
        </is>
      </c>
      <c r="C8" s="14" t="inlineStr">
        <is>
          <t>Condensed Financials</t>
        </is>
      </c>
      <c r="D8" s="14" t="inlineStr">
        <is>
          <t>F38</t>
        </is>
      </c>
      <c r="E8" s="14" t="inlineStr">
        <is>
          <t>noa_agg</t>
        </is>
      </c>
    </row>
    <row r="9">
      <c r="A9" s="14" t="n">
        <v>5</v>
      </c>
      <c r="B9" s="14" t="inlineStr">
        <is>
          <t>Return on Net Operating Assets (RNOA)</t>
        </is>
      </c>
      <c r="C9" s="14" t="inlineStr">
        <is>
          <t>ALT DuPont</t>
        </is>
      </c>
      <c r="D9" s="14" t="inlineStr">
        <is>
          <t>E5</t>
        </is>
      </c>
      <c r="E9" s="14" t="inlineStr">
        <is>
          <t>nopat_fy, noa_agg</t>
        </is>
      </c>
    </row>
    <row r="10">
      <c r="A10" s="14" t="n">
        <v>6</v>
      </c>
      <c r="B10" s="14" t="inlineStr">
        <is>
          <t>Operating Spread (RNOA − After-tax CoD)</t>
        </is>
      </c>
      <c r="C10" s="14" t="inlineStr">
        <is>
          <t>ALT DuPont</t>
        </is>
      </c>
      <c r="D10" s="14" t="inlineStr">
        <is>
          <t>E7</t>
        </is>
      </c>
      <c r="E10" s="14" t="inlineStr">
        <is>
          <t>rnoa</t>
        </is>
      </c>
    </row>
    <row r="11">
      <c r="A11" s="14" t="n">
        <v>7</v>
      </c>
      <c r="B11" s="14" t="inlineStr">
        <is>
          <t>ROE decomposition</t>
        </is>
      </c>
      <c r="C11" s="14" t="inlineStr">
        <is>
          <t>ALT DuPont</t>
        </is>
      </c>
      <c r="D11" s="14" t="inlineStr">
        <is>
          <t>E9</t>
        </is>
      </c>
      <c r="E11" s="14" t="inlineStr">
        <is>
          <t>rnoa, spread</t>
        </is>
      </c>
    </row>
    <row r="12">
      <c r="A12" s="14" t="n">
        <v>8</v>
      </c>
      <c r="B12" s="14" t="inlineStr">
        <is>
          <t>Base case Y1 revenue forecast</t>
        </is>
      </c>
      <c r="C12" s="14" t="inlineStr">
        <is>
          <t>Model_Base</t>
        </is>
      </c>
      <c r="D12" s="14" t="inlineStr">
        <is>
          <t>G21</t>
        </is>
      </c>
      <c r="E12" s="14" t="inlineStr">
        <is>
          <t>nopat_fy</t>
        </is>
      </c>
    </row>
    <row r="13">
      <c r="A13" s="14" t="n">
        <v>9</v>
      </c>
      <c r="B13" s="14" t="inlineStr">
        <is>
          <t>Base case Y1 NOPAT</t>
        </is>
      </c>
      <c r="C13" s="14" t="inlineStr">
        <is>
          <t>Model_Base</t>
        </is>
      </c>
      <c r="D13" s="14" t="inlineStr">
        <is>
          <t>G27</t>
        </is>
      </c>
      <c r="E13" s="14" t="inlineStr">
        <is>
          <t>model_sales_y1</t>
        </is>
      </c>
    </row>
    <row r="14">
      <c r="A14" s="14" t="n">
        <v>10</v>
      </c>
      <c r="B14" s="14" t="inlineStr">
        <is>
          <t>Year 1 abnormal earnings</t>
        </is>
      </c>
      <c r="C14" s="14" t="inlineStr">
        <is>
          <t>Model_Base</t>
        </is>
      </c>
      <c r="D14" s="14" t="inlineStr">
        <is>
          <t>G29</t>
        </is>
      </c>
      <c r="E14" s="14" t="inlineStr">
        <is>
          <t>model_nopat_y1</t>
        </is>
      </c>
    </row>
    <row r="15">
      <c r="A15" s="14" t="n">
        <v>11</v>
      </c>
      <c r="B15" s="14" t="inlineStr">
        <is>
          <t>Terminal value (PV of abnormal earnings)</t>
        </is>
      </c>
      <c r="C15" s="14" t="inlineStr">
        <is>
          <t>Model_Base</t>
        </is>
      </c>
      <c r="D15" s="14" t="inlineStr">
        <is>
          <t>G37</t>
        </is>
      </c>
      <c r="E15" s="14" t="inlineStr">
        <is>
          <t>model_ae_y1</t>
        </is>
      </c>
    </row>
    <row r="16">
      <c r="A16" s="14" t="n">
        <v>12</v>
      </c>
      <c r="B16" s="14" t="inlineStr">
        <is>
          <t>Intrinsic value per share</t>
        </is>
      </c>
      <c r="C16" s="14" t="inlineStr">
        <is>
          <t>Model_Base</t>
        </is>
      </c>
      <c r="D16" s="14" t="inlineStr">
        <is>
          <t>G40</t>
        </is>
      </c>
      <c r="E16" s="14" t="inlineStr">
        <is>
          <t>model_tv</t>
        </is>
      </c>
    </row>
    <row r="17">
      <c r="A17" s="14" t="n">
        <v>13</v>
      </c>
      <c r="B17" s="14" t="inlineStr">
        <is>
          <t>Probability-weighted IVPS</t>
        </is>
      </c>
      <c r="C17" s="14" t="inlineStr">
        <is>
          <t>Scenario_Summary</t>
        </is>
      </c>
      <c r="D17" s="14" t="inlineStr">
        <is>
          <t>E8</t>
        </is>
      </c>
      <c r="E17" s="14" t="inlineStr">
        <is>
          <t>model_ivps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Income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4" t="inlineStr">
        <is>
          <t>Revenue</t>
        </is>
      </c>
      <c r="B7" s="19" t="n">
        <v>8500</v>
      </c>
      <c r="C7" s="19" t="n">
        <v>9200</v>
      </c>
      <c r="D7" s="19" t="n">
        <v>10100</v>
      </c>
      <c r="E7" s="19" t="n">
        <v>11200</v>
      </c>
      <c r="F7" s="19" t="n">
        <v>12500</v>
      </c>
    </row>
    <row r="8">
      <c r="A8" s="17" t="inlineStr">
        <is>
          <t>Cost of sales</t>
        </is>
      </c>
      <c r="B8" s="20" t="n">
        <v>-3400</v>
      </c>
      <c r="C8" s="20" t="n">
        <v>-3680</v>
      </c>
      <c r="D8" s="20" t="n">
        <v>-4040</v>
      </c>
      <c r="E8" s="20" t="n">
        <v>-4480</v>
      </c>
      <c r="F8" s="20" t="n">
        <v>-5000</v>
      </c>
    </row>
    <row r="9">
      <c r="A9" s="17" t="inlineStr">
        <is>
          <t>Gross profit</t>
        </is>
      </c>
      <c r="B9" s="20" t="n">
        <v>5100</v>
      </c>
      <c r="C9" s="20" t="n">
        <v>5520</v>
      </c>
      <c r="D9" s="20" t="n">
        <v>6060</v>
      </c>
      <c r="E9" s="20" t="n">
        <v>6720</v>
      </c>
      <c r="F9" s="20" t="n">
        <v>7500</v>
      </c>
    </row>
    <row r="10">
      <c r="A10" s="17" t="inlineStr">
        <is>
          <t>Administrative expenses</t>
        </is>
      </c>
      <c r="B10" s="20" t="n">
        <v>-1700</v>
      </c>
      <c r="C10" s="20" t="n">
        <v>-1840</v>
      </c>
      <c r="D10" s="20" t="n">
        <v>-2020</v>
      </c>
      <c r="E10" s="20" t="n">
        <v>-2240</v>
      </c>
      <c r="F10" s="20" t="n">
        <v>-2500</v>
      </c>
    </row>
    <row r="11">
      <c r="A11" s="17" t="inlineStr">
        <is>
          <t>Operating profit</t>
        </is>
      </c>
      <c r="B11" s="20" t="n">
        <v>3400</v>
      </c>
      <c r="C11" s="20" t="n">
        <v>3680</v>
      </c>
      <c r="D11" s="20" t="n">
        <v>4040</v>
      </c>
      <c r="E11" s="20" t="n">
        <v>4480</v>
      </c>
      <c r="F11" s="20" t="n">
        <v>5000</v>
      </c>
    </row>
    <row r="12">
      <c r="A12" s="17" t="inlineStr">
        <is>
          <t>Finance costs</t>
        </is>
      </c>
      <c r="B12" s="20" t="n">
        <v>-120</v>
      </c>
      <c r="C12" s="20" t="n">
        <v>-130</v>
      </c>
      <c r="D12" s="20" t="n">
        <v>-140</v>
      </c>
      <c r="E12" s="20" t="n">
        <v>-150</v>
      </c>
      <c r="F12" s="20" t="n">
        <v>-160</v>
      </c>
    </row>
    <row r="13">
      <c r="A13" s="17" t="inlineStr">
        <is>
          <t>Finance income</t>
        </is>
      </c>
      <c r="B13" s="20" t="n">
        <v>45</v>
      </c>
      <c r="C13" s="20" t="n">
        <v>50</v>
      </c>
      <c r="D13" s="20" t="n">
        <v>55</v>
      </c>
      <c r="E13" s="20" t="n">
        <v>60</v>
      </c>
      <c r="F13" s="20" t="n">
        <v>65</v>
      </c>
    </row>
    <row r="14">
      <c r="A14" s="17" t="inlineStr">
        <is>
          <t>Profit before tax</t>
        </is>
      </c>
      <c r="B14" s="20" t="n">
        <v>3325</v>
      </c>
      <c r="C14" s="20" t="n">
        <v>3600</v>
      </c>
      <c r="D14" s="20" t="n">
        <v>3955</v>
      </c>
      <c r="E14" s="20" t="n">
        <v>4390</v>
      </c>
      <c r="F14" s="20" t="n">
        <v>4905</v>
      </c>
    </row>
    <row r="15">
      <c r="A15" s="17" t="inlineStr">
        <is>
          <t>Income tax expense</t>
        </is>
      </c>
      <c r="B15" s="20" t="n">
        <v>-565</v>
      </c>
      <c r="C15" s="20" t="n">
        <v>-612</v>
      </c>
      <c r="D15" s="20" t="n">
        <v>-672</v>
      </c>
      <c r="E15" s="20" t="n">
        <v>-746</v>
      </c>
      <c r="F15" s="20" t="n">
        <v>-833</v>
      </c>
    </row>
    <row r="16">
      <c r="A16" s="17" t="inlineStr">
        <is>
          <t>Profit for the year</t>
        </is>
      </c>
      <c r="B16" s="20" t="n">
        <v>2760</v>
      </c>
      <c r="C16" s="20" t="n">
        <v>2988</v>
      </c>
      <c r="D16" s="20" t="n">
        <v>3283</v>
      </c>
      <c r="E16" s="20" t="n">
        <v>3644</v>
      </c>
      <c r="F16" s="20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Balance Sheet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Cash and cash equivalents</t>
        </is>
      </c>
      <c r="B7" s="20" t="n">
        <v>1200</v>
      </c>
      <c r="C7" s="20" t="n">
        <v>1350</v>
      </c>
      <c r="D7" s="20" t="n">
        <v>1500</v>
      </c>
      <c r="E7" s="20" t="n">
        <v>1680</v>
      </c>
      <c r="F7" s="20" t="n">
        <v>1850</v>
      </c>
    </row>
    <row r="8">
      <c r="A8" s="17" t="inlineStr">
        <is>
          <t>Trade receivables</t>
        </is>
      </c>
      <c r="B8" s="20" t="n">
        <v>850</v>
      </c>
      <c r="C8" s="20" t="n">
        <v>920</v>
      </c>
      <c r="D8" s="20" t="n">
        <v>1010</v>
      </c>
      <c r="E8" s="20" t="n">
        <v>1120</v>
      </c>
      <c r="F8" s="20" t="n">
        <v>1250</v>
      </c>
    </row>
    <row r="9">
      <c r="A9" s="14" t="inlineStr">
        <is>
          <t>Inventories</t>
        </is>
      </c>
      <c r="B9" s="19" t="n">
        <v>680</v>
      </c>
      <c r="C9" s="19" t="n">
        <v>736</v>
      </c>
      <c r="D9" s="19" t="n">
        <v>808</v>
      </c>
      <c r="E9" s="19" t="n">
        <v>896</v>
      </c>
      <c r="F9" s="19" t="n">
        <v>1000</v>
      </c>
    </row>
    <row r="10">
      <c r="A10" s="17" t="inlineStr">
        <is>
          <t>Property, plant and equipment</t>
        </is>
      </c>
      <c r="B10" s="20" t="n">
        <v>3200</v>
      </c>
      <c r="C10" s="20" t="n">
        <v>3400</v>
      </c>
      <c r="D10" s="20" t="n">
        <v>3600</v>
      </c>
      <c r="E10" s="20" t="n">
        <v>3800</v>
      </c>
      <c r="F10" s="20" t="n">
        <v>4000</v>
      </c>
    </row>
    <row r="11">
      <c r="A11" s="14" t="inlineStr">
        <is>
          <t>Goodwill</t>
        </is>
      </c>
      <c r="B11" s="19" t="n">
        <v>900</v>
      </c>
      <c r="C11" s="19" t="n">
        <v>900</v>
      </c>
      <c r="D11" s="19" t="n">
        <v>900</v>
      </c>
      <c r="E11" s="19" t="n">
        <v>900</v>
      </c>
      <c r="F11" s="19" t="n">
        <v>900</v>
      </c>
    </row>
    <row r="12">
      <c r="A12" s="17" t="inlineStr">
        <is>
          <t>Other non-current assets</t>
        </is>
      </c>
      <c r="B12" s="20" t="n">
        <v>1670</v>
      </c>
      <c r="C12" s="20" t="n">
        <v>1894</v>
      </c>
      <c r="D12" s="20" t="n">
        <v>2282</v>
      </c>
      <c r="E12" s="20" t="n">
        <v>2804</v>
      </c>
      <c r="F12" s="20" t="n">
        <v>3500</v>
      </c>
    </row>
    <row r="13">
      <c r="A13" s="17" t="inlineStr">
        <is>
          <t>Total assets</t>
        </is>
      </c>
      <c r="B13" s="20" t="n">
        <v>8500</v>
      </c>
      <c r="C13" s="20" t="n">
        <v>9200</v>
      </c>
      <c r="D13" s="20" t="n">
        <v>10100</v>
      </c>
      <c r="E13" s="20" t="n">
        <v>11200</v>
      </c>
      <c r="F13" s="20" t="n">
        <v>12500</v>
      </c>
    </row>
    <row r="14">
      <c r="A14" s="17" t="inlineStr">
        <is>
          <t>Trade payables</t>
        </is>
      </c>
      <c r="B14" s="20" t="n">
        <v>595</v>
      </c>
      <c r="C14" s="20" t="n">
        <v>644</v>
      </c>
      <c r="D14" s="20" t="n">
        <v>707</v>
      </c>
      <c r="E14" s="20" t="n">
        <v>784</v>
      </c>
      <c r="F14" s="20" t="n">
        <v>875</v>
      </c>
    </row>
    <row r="15">
      <c r="A15" s="17" t="inlineStr">
        <is>
          <t>Bank borrowings</t>
        </is>
      </c>
      <c r="B15" s="20" t="n">
        <v>1500</v>
      </c>
      <c r="C15" s="20" t="n">
        <v>1400</v>
      </c>
      <c r="D15" s="20" t="n">
        <v>1300</v>
      </c>
      <c r="E15" s="20" t="n">
        <v>1200</v>
      </c>
      <c r="F15" s="20" t="n">
        <v>1100</v>
      </c>
    </row>
    <row r="16">
      <c r="A16" s="17" t="inlineStr">
        <is>
          <t>Other non-current liabilities</t>
        </is>
      </c>
      <c r="B16" s="20" t="n">
        <v>1305</v>
      </c>
      <c r="C16" s="20" t="n">
        <v>1456</v>
      </c>
      <c r="D16" s="20" t="n">
        <v>1593</v>
      </c>
      <c r="E16" s="20" t="n">
        <v>1716</v>
      </c>
      <c r="F16" s="20" t="n">
        <v>1825</v>
      </c>
    </row>
    <row r="17">
      <c r="A17" s="17" t="inlineStr">
        <is>
          <t>Total liabilities</t>
        </is>
      </c>
      <c r="B17" s="20" t="n">
        <v>3400</v>
      </c>
      <c r="C17" s="20" t="n">
        <v>3500</v>
      </c>
      <c r="D17" s="20" t="n">
        <v>3600</v>
      </c>
      <c r="E17" s="20" t="n">
        <v>3700</v>
      </c>
      <c r="F17" s="20" t="n">
        <v>3800</v>
      </c>
    </row>
    <row r="18">
      <c r="A18" s="17" t="inlineStr">
        <is>
          <t>Share capital and reserves</t>
        </is>
      </c>
      <c r="B18" s="20" t="n">
        <v>5100</v>
      </c>
      <c r="C18" s="20" t="n">
        <v>5700</v>
      </c>
      <c r="D18" s="20" t="n">
        <v>6500</v>
      </c>
      <c r="E18" s="20" t="n">
        <v>7500</v>
      </c>
      <c r="F18" s="20" t="n">
        <v>8700</v>
      </c>
    </row>
    <row r="19">
      <c r="A19" s="17" t="inlineStr">
        <is>
          <t>Total equity</t>
        </is>
      </c>
      <c r="B19" s="20" t="n">
        <v>5100</v>
      </c>
      <c r="C19" s="20" t="n">
        <v>5700</v>
      </c>
      <c r="D19" s="20" t="n">
        <v>6500</v>
      </c>
      <c r="E19" s="20" t="n">
        <v>7500</v>
      </c>
      <c r="F19" s="20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Cash Flow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Profit for the year</t>
        </is>
      </c>
      <c r="B7" s="20" t="n">
        <v>2760</v>
      </c>
      <c r="C7" s="20" t="n">
        <v>2988</v>
      </c>
      <c r="D7" s="20" t="n">
        <v>3283</v>
      </c>
      <c r="E7" s="20" t="n">
        <v>3644</v>
      </c>
      <c r="F7" s="20" t="n">
        <v>4072</v>
      </c>
    </row>
    <row r="8">
      <c r="A8" s="17" t="inlineStr">
        <is>
          <t>Depreciation and amortisation</t>
        </is>
      </c>
      <c r="B8" s="20" t="n">
        <v>340</v>
      </c>
      <c r="C8" s="20" t="n">
        <v>368</v>
      </c>
      <c r="D8" s="20" t="n">
        <v>404</v>
      </c>
      <c r="E8" s="20" t="n">
        <v>448</v>
      </c>
      <c r="F8" s="20" t="n">
        <v>500</v>
      </c>
    </row>
    <row r="9">
      <c r="A9" s="17" t="inlineStr">
        <is>
          <t>Net cash from operating activities</t>
        </is>
      </c>
      <c r="B9" s="20" t="n">
        <v>1450</v>
      </c>
      <c r="C9" s="20" t="n">
        <v>1600</v>
      </c>
      <c r="D9" s="20" t="n">
        <v>1750</v>
      </c>
      <c r="E9" s="20" t="n">
        <v>1930</v>
      </c>
      <c r="F9" s="20" t="n">
        <v>2070</v>
      </c>
    </row>
    <row r="10">
      <c r="A10" s="17" t="inlineStr">
        <is>
          <t>Net cash used in investing activities</t>
        </is>
      </c>
      <c r="B10" s="20" t="n">
        <v>-800</v>
      </c>
      <c r="C10" s="20" t="n">
        <v>-850</v>
      </c>
      <c r="D10" s="20" t="n">
        <v>-900</v>
      </c>
      <c r="E10" s="20" t="n">
        <v>-950</v>
      </c>
      <c r="F10" s="20" t="n">
        <v>-1000</v>
      </c>
    </row>
    <row r="11">
      <c r="A11" s="17" t="inlineStr">
        <is>
          <t>Net cash from financing activities</t>
        </is>
      </c>
      <c r="B11" s="20" t="n">
        <v>-500</v>
      </c>
      <c r="C11" s="20" t="n">
        <v>-600</v>
      </c>
      <c r="D11" s="20" t="n">
        <v>-700</v>
      </c>
      <c r="E11" s="20" t="n">
        <v>-800</v>
      </c>
      <c r="F11" s="20" t="n">
        <v>-900</v>
      </c>
    </row>
    <row r="12">
      <c r="A12" s="17" t="inlineStr">
        <is>
          <t>Net change in cash and cash equivalents</t>
        </is>
      </c>
      <c r="B12" s="20" t="n">
        <v>150</v>
      </c>
      <c r="C12" s="20" t="n">
        <v>150</v>
      </c>
      <c r="D12" s="20" t="n">
        <v>150</v>
      </c>
      <c r="E12" s="20" t="n">
        <v>180</v>
      </c>
      <c r="F12" s="20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6" t="inlineStr">
        <is>
          <t>Demo Holdings Limited (DEMO) — Condensed Financials</t>
        </is>
      </c>
    </row>
    <row r="2"/>
    <row r="3"/>
    <row r="4">
      <c r="A4" s="15" t="inlineStr">
        <is>
          <t>BALANCE SHEET CLASSIFICATION</t>
        </is>
      </c>
    </row>
    <row r="5">
      <c r="A5" s="15" t="inlineStr">
        <is>
          <t>Line Item</t>
        </is>
      </c>
      <c r="B5" s="15" t="inlineStr">
        <is>
          <t>Classification</t>
        </is>
      </c>
      <c r="C5" s="18" t="n">
        <v>44561</v>
      </c>
      <c r="D5" s="18" t="n">
        <v>44926</v>
      </c>
      <c r="E5" s="18" t="n">
        <v>45291</v>
      </c>
      <c r="F5" s="18" t="n">
        <v>45657</v>
      </c>
      <c r="G5" s="18" t="n">
        <v>46022</v>
      </c>
      <c r="H5" s="15" t="inlineStr">
        <is>
          <t>Notes</t>
        </is>
      </c>
    </row>
    <row r="6">
      <c r="A6" s="17" t="inlineStr">
        <is>
          <t>Cash and cash equivalents</t>
        </is>
      </c>
      <c r="B6" s="17" t="inlineStr">
        <is>
          <t>Financial Asset</t>
        </is>
      </c>
      <c r="C6" s="20" t="n">
        <v>1200</v>
      </c>
      <c r="D6" s="20" t="n">
        <v>1350</v>
      </c>
      <c r="E6" s="20" t="n">
        <v>1500</v>
      </c>
      <c r="F6" s="20" t="n">
        <v>1680</v>
      </c>
      <c r="G6" s="20" t="n">
        <v>1850</v>
      </c>
    </row>
    <row r="7">
      <c r="A7" s="17" t="inlineStr">
        <is>
          <t>Trade receivables</t>
        </is>
      </c>
      <c r="B7" s="17" t="inlineStr">
        <is>
          <t>Operating Working Capital Asset</t>
        </is>
      </c>
      <c r="C7" s="20" t="n">
        <v>850</v>
      </c>
      <c r="D7" s="20" t="n">
        <v>920</v>
      </c>
      <c r="E7" s="20" t="n">
        <v>1010</v>
      </c>
      <c r="F7" s="20" t="n">
        <v>1120</v>
      </c>
      <c r="G7" s="20" t="n">
        <v>1250</v>
      </c>
    </row>
    <row r="8">
      <c r="A8" s="14" t="inlineStr">
        <is>
          <t>Inventories</t>
        </is>
      </c>
      <c r="B8" s="14" t="inlineStr">
        <is>
          <t>Operating Working Capital Asset</t>
        </is>
      </c>
      <c r="C8" s="19" t="n">
        <v>680</v>
      </c>
      <c r="D8" s="19" t="n">
        <v>736</v>
      </c>
      <c r="E8" s="19" t="n">
        <v>808</v>
      </c>
      <c r="F8" s="19" t="n">
        <v>896</v>
      </c>
      <c r="G8" s="19" t="n">
        <v>1000</v>
      </c>
    </row>
    <row r="9">
      <c r="A9" s="17" t="inlineStr">
        <is>
          <t>Property, plant and equipment</t>
        </is>
      </c>
      <c r="B9" s="17" t="inlineStr">
        <is>
          <t>Operating Long-Term Asset</t>
        </is>
      </c>
      <c r="C9" s="20" t="n">
        <v>3200</v>
      </c>
      <c r="D9" s="20" t="n">
        <v>3400</v>
      </c>
      <c r="E9" s="20" t="n">
        <v>3600</v>
      </c>
      <c r="F9" s="20" t="n">
        <v>3800</v>
      </c>
      <c r="G9" s="20" t="n">
        <v>4000</v>
      </c>
    </row>
    <row r="10">
      <c r="A10" s="14" t="inlineStr">
        <is>
          <t>Goodwill</t>
        </is>
      </c>
      <c r="B10" s="14" t="inlineStr">
        <is>
          <t>Operating Long-Term Asset</t>
        </is>
      </c>
      <c r="C10" s="19" t="n">
        <v>900</v>
      </c>
      <c r="D10" s="19" t="n">
        <v>900</v>
      </c>
      <c r="E10" s="19" t="n">
        <v>900</v>
      </c>
      <c r="F10" s="19" t="n">
        <v>900</v>
      </c>
      <c r="G10" s="19" t="n">
        <v>900</v>
      </c>
    </row>
    <row r="11">
      <c r="A11" s="17" t="inlineStr">
        <is>
          <t>Other non-current assets</t>
        </is>
      </c>
      <c r="B11" s="17" t="inlineStr">
        <is>
          <t>Operating Long-Term Asset</t>
        </is>
      </c>
      <c r="C11" s="20" t="n">
        <v>1670</v>
      </c>
      <c r="D11" s="20" t="n">
        <v>1894</v>
      </c>
      <c r="E11" s="20" t="n">
        <v>2282</v>
      </c>
      <c r="F11" s="20" t="n">
        <v>2804</v>
      </c>
      <c r="G11" s="20" t="n">
        <v>3500</v>
      </c>
    </row>
    <row r="12">
      <c r="A12" s="17" t="inlineStr">
        <is>
          <t>Trade payables</t>
        </is>
      </c>
      <c r="B12" s="17" t="inlineStr">
        <is>
          <t>Operating Working Capital Liability</t>
        </is>
      </c>
      <c r="C12" s="20" t="n">
        <v>595</v>
      </c>
      <c r="D12" s="20" t="n">
        <v>644</v>
      </c>
      <c r="E12" s="20" t="n">
        <v>707</v>
      </c>
      <c r="F12" s="20" t="n">
        <v>784</v>
      </c>
      <c r="G12" s="20" t="n">
        <v>875</v>
      </c>
    </row>
    <row r="13">
      <c r="A13" s="17" t="inlineStr">
        <is>
          <t>Bank borrowings</t>
        </is>
      </c>
      <c r="B13" s="17" t="inlineStr">
        <is>
          <t>Financial Liability</t>
        </is>
      </c>
      <c r="C13" s="20" t="n">
        <v>1500</v>
      </c>
      <c r="D13" s="20" t="n">
        <v>1400</v>
      </c>
      <c r="E13" s="20" t="n">
        <v>1300</v>
      </c>
      <c r="F13" s="20" t="n">
        <v>1200</v>
      </c>
      <c r="G13" s="20" t="n">
        <v>1100</v>
      </c>
    </row>
    <row r="14">
      <c r="A14" s="17" t="inlineStr">
        <is>
          <t>Other non-current liabilities</t>
        </is>
      </c>
      <c r="B14" s="17" t="inlineStr">
        <is>
          <t>Operating Long-Term Liability</t>
        </is>
      </c>
      <c r="C14" s="20" t="n">
        <v>1305</v>
      </c>
      <c r="D14" s="20" t="n">
        <v>1456</v>
      </c>
      <c r="E14" s="20" t="n">
        <v>1593</v>
      </c>
      <c r="F14" s="20" t="n">
        <v>1716</v>
      </c>
      <c r="G14" s="20" t="n">
        <v>1825</v>
      </c>
    </row>
    <row r="15">
      <c r="A15" s="17" t="inlineStr">
        <is>
          <t>Share capital and reserves</t>
        </is>
      </c>
      <c r="B15" s="17" t="inlineStr">
        <is>
          <t>Equity</t>
        </is>
      </c>
      <c r="C15" s="20" t="n">
        <v>5100</v>
      </c>
      <c r="D15" s="20" t="n">
        <v>5700</v>
      </c>
      <c r="E15" s="20" t="n">
        <v>6500</v>
      </c>
      <c r="F15" s="20" t="n">
        <v>7500</v>
      </c>
      <c r="G15" s="20" t="n">
        <v>8700</v>
      </c>
    </row>
    <row r="16"/>
    <row r="17">
      <c r="A17" s="15" t="inlineStr">
        <is>
          <t>CONDENSED INCOME STATEMENT</t>
        </is>
      </c>
      <c r="B17" s="18" t="n">
        <v>44561</v>
      </c>
      <c r="C17" s="18" t="n">
        <v>44926</v>
      </c>
      <c r="D17" s="18" t="n">
        <v>45291</v>
      </c>
      <c r="E17" s="18" t="n">
        <v>45657</v>
      </c>
      <c r="F17" s="18" t="n">
        <v>46022</v>
      </c>
    </row>
    <row r="18">
      <c r="A18" s="17" t="inlineStr">
        <is>
          <t>Net Income</t>
        </is>
      </c>
      <c r="B18" s="17">
        <f>'Income Statement'!B16</f>
        <v/>
      </c>
      <c r="C18" s="17">
        <f>'Income Statement'!C16</f>
        <v/>
      </c>
      <c r="D18" s="17">
        <f>'Income Statement'!D16</f>
        <v/>
      </c>
      <c r="E18" s="17">
        <f>'Income Statement'!E16</f>
        <v/>
      </c>
      <c r="F18" s="17">
        <f>'Income Statement'!F16</f>
        <v/>
      </c>
    </row>
    <row r="19">
      <c r="A19" s="17" t="inlineStr">
        <is>
          <t>Pretax Income</t>
        </is>
      </c>
      <c r="B19" s="17">
        <f>'Income Statement'!B14</f>
        <v/>
      </c>
      <c r="C19" s="17">
        <f>'Income Statement'!C14</f>
        <v/>
      </c>
      <c r="D19" s="17">
        <f>'Income Statement'!D14</f>
        <v/>
      </c>
      <c r="E19" s="17">
        <f>'Income Statement'!E14</f>
        <v/>
      </c>
      <c r="F19" s="17">
        <f>'Income Statement'!F14</f>
        <v/>
      </c>
    </row>
    <row r="20">
      <c r="A20" s="17" t="inlineStr">
        <is>
          <t>Tax Expense</t>
        </is>
      </c>
      <c r="B20" s="17">
        <f>'Income Statement'!B15</f>
        <v/>
      </c>
      <c r="C20" s="17">
        <f>'Income Statement'!C15</f>
        <v/>
      </c>
      <c r="D20" s="17">
        <f>'Income Statement'!D15</f>
        <v/>
      </c>
      <c r="E20" s="17">
        <f>'Income Statement'!E15</f>
        <v/>
      </c>
      <c r="F20" s="17">
        <f>'Income Statement'!F15</f>
        <v/>
      </c>
    </row>
    <row r="21">
      <c r="A21" s="17" t="inlineStr">
        <is>
          <t>Interest Expense</t>
        </is>
      </c>
      <c r="B21" s="17">
        <f>'Income Statement'!B12</f>
        <v/>
      </c>
      <c r="C21" s="17">
        <f>'Income Statement'!C12</f>
        <v/>
      </c>
      <c r="D21" s="17">
        <f>'Income Statement'!D12</f>
        <v/>
      </c>
      <c r="E21" s="17">
        <f>'Income Statement'!E12</f>
        <v/>
      </c>
      <c r="F21" s="17">
        <f>'Income Statement'!F12</f>
        <v/>
      </c>
    </row>
    <row r="22">
      <c r="A22" s="17" t="inlineStr">
        <is>
          <t>Interest Income</t>
        </is>
      </c>
      <c r="B22" s="17">
        <f>'Income Statement'!B13</f>
        <v/>
      </c>
      <c r="C22" s="17">
        <f>'Income Statement'!C13</f>
        <v/>
      </c>
      <c r="D22" s="17">
        <f>'Income Statement'!D13</f>
        <v/>
      </c>
      <c r="E22" s="17">
        <f>'Income Statement'!E13</f>
        <v/>
      </c>
      <c r="F22" s="17">
        <f>'Income Statement'!F13</f>
        <v/>
      </c>
    </row>
    <row r="23">
      <c r="A23" s="17" t="inlineStr">
        <is>
          <t>Effective Tax Rate</t>
        </is>
      </c>
      <c r="B23" s="21">
        <f>IF(B19=0,0,-B20/B19)</f>
        <v/>
      </c>
      <c r="C23" s="21">
        <f>IF(C19=0,0,-C20/C19)</f>
        <v/>
      </c>
      <c r="D23" s="21">
        <f>IF(D19=0,0,-D20/D19)</f>
        <v/>
      </c>
      <c r="E23" s="21">
        <f>IF(E19=0,0,-E20/E19)</f>
        <v/>
      </c>
      <c r="F23" s="21">
        <f>IF(F19=0,0,-F20/F19)</f>
        <v/>
      </c>
    </row>
    <row r="24">
      <c r="A24" s="17" t="inlineStr">
        <is>
          <t>Net Interest</t>
        </is>
      </c>
      <c r="B24" s="20">
        <f>-(B21+B22)</f>
        <v/>
      </c>
      <c r="C24" s="20">
        <f>-(C21+C22)</f>
        <v/>
      </c>
      <c r="D24" s="20">
        <f>-(D21+D22)</f>
        <v/>
      </c>
      <c r="E24" s="20">
        <f>-(E21+E22)</f>
        <v/>
      </c>
      <c r="F24" s="20">
        <f>-(F21+F22)</f>
        <v/>
      </c>
    </row>
    <row r="25">
      <c r="A25" s="17" t="inlineStr">
        <is>
          <t>Net Interest After Tax</t>
        </is>
      </c>
      <c r="B25" s="20">
        <f>B24*(1-B23)</f>
        <v/>
      </c>
      <c r="C25" s="20">
        <f>C24*(1-C23)</f>
        <v/>
      </c>
      <c r="D25" s="20">
        <f>D24*(1-D23)</f>
        <v/>
      </c>
      <c r="E25" s="20">
        <f>E24*(1-E23)</f>
        <v/>
      </c>
      <c r="F25" s="20">
        <f>F24*(1-F23)</f>
        <v/>
      </c>
    </row>
    <row r="26">
      <c r="A26" s="22" t="inlineStr">
        <is>
          <t>NOPAT</t>
        </is>
      </c>
      <c r="B26" s="23">
        <f>B18+B25</f>
        <v/>
      </c>
      <c r="C26" s="23">
        <f>C18+C25</f>
        <v/>
      </c>
      <c r="D26" s="23">
        <f>D18+D25</f>
        <v/>
      </c>
      <c r="E26" s="23">
        <f>E18+E25</f>
        <v/>
      </c>
      <c r="F26" s="24">
        <f>F18+F25</f>
        <v/>
      </c>
    </row>
    <row r="27"/>
    <row r="28">
      <c r="A28" s="15" t="inlineStr">
        <is>
          <t>CONDENSED BALANCE SHEET</t>
        </is>
      </c>
    </row>
    <row r="29">
      <c r="A29" s="17" t="inlineStr">
        <is>
          <t>Operating Working Capital Assets</t>
        </is>
      </c>
      <c r="B29" s="20">
        <f>SUMIF($B$6:$B$15,"Operating Working Capital Asset",C$6:C$15)</f>
        <v/>
      </c>
      <c r="C29" s="20">
        <f>SUMIF($B$6:$B$15,"Operating Working Capital Asset",D$6:D$15)</f>
        <v/>
      </c>
      <c r="D29" s="20">
        <f>SUMIF($B$6:$B$15,"Operating Working Capital Asset",E$6:E$15)</f>
        <v/>
      </c>
      <c r="E29" s="20">
        <f>SUMIF($B$6:$B$15,"Operating Working Capital Asset",F$6:F$15)</f>
        <v/>
      </c>
      <c r="F29" s="20">
        <f>SUMIF($B$6:$B$15,"Operating Working Capital Asset",G$6:G$15)</f>
        <v/>
      </c>
    </row>
    <row r="30">
      <c r="A30" s="17" t="inlineStr">
        <is>
          <t>Operating Working Capital Liabilities</t>
        </is>
      </c>
      <c r="B30" s="20">
        <f>SUMIF($B$6:$B$15,"Operating Working Capital Liability",C$6:C$15)</f>
        <v/>
      </c>
      <c r="C30" s="20">
        <f>SUMIF($B$6:$B$15,"Operating Working Capital Liability",D$6:D$15)</f>
        <v/>
      </c>
      <c r="D30" s="20">
        <f>SUMIF($B$6:$B$15,"Operating Working Capital Liability",E$6:E$15)</f>
        <v/>
      </c>
      <c r="E30" s="20">
        <f>SUMIF($B$6:$B$15,"Operating Working Capital Liability",F$6:F$15)</f>
        <v/>
      </c>
      <c r="F30" s="20">
        <f>SUMIF($B$6:$B$15,"Operating Working Capital Liability",G$6:G$15)</f>
        <v/>
      </c>
    </row>
    <row r="31">
      <c r="A31" s="22" t="inlineStr">
        <is>
          <t>NOWC</t>
        </is>
      </c>
      <c r="B31" s="19">
        <f>B29-B30</f>
        <v/>
      </c>
      <c r="C31" s="19">
        <f>C29-C30</f>
        <v/>
      </c>
      <c r="D31" s="19">
        <f>D29-D30</f>
        <v/>
      </c>
      <c r="E31" s="19">
        <f>E29-E30</f>
        <v/>
      </c>
      <c r="F31" s="24">
        <f>F29-F30</f>
        <v/>
      </c>
    </row>
    <row r="32">
      <c r="A32" s="17" t="inlineStr">
        <is>
          <t>Operating Long-Term Assets</t>
        </is>
      </c>
      <c r="B32" s="20">
        <f>SUMIF($B$6:$B$15,"Operating Long-Term Asset",C$6:C$15)</f>
        <v/>
      </c>
      <c r="C32" s="20">
        <f>SUMIF($B$6:$B$15,"Operating Long-Term Asset",D$6:D$15)</f>
        <v/>
      </c>
      <c r="D32" s="20">
        <f>SUMIF($B$6:$B$15,"Operating Long-Term Asset",E$6:E$15)</f>
        <v/>
      </c>
      <c r="E32" s="20">
        <f>SUMIF($B$6:$B$15,"Operating Long-Term Asset",F$6:F$15)</f>
        <v/>
      </c>
      <c r="F32" s="20">
        <f>SUMIF($B$6:$B$15,"Operating Long-Term Asset",G$6:G$15)</f>
        <v/>
      </c>
    </row>
    <row r="33">
      <c r="A33" s="17" t="inlineStr">
        <is>
          <t>Operating Long-Term Liabilities</t>
        </is>
      </c>
      <c r="B33" s="20">
        <f>SUMIF($B$6:$B$15,"Operating Long-Term Liability",C$6:C$15)</f>
        <v/>
      </c>
      <c r="C33" s="20">
        <f>SUMIF($B$6:$B$15,"Operating Long-Term Liability",D$6:D$15)</f>
        <v/>
      </c>
      <c r="D33" s="20">
        <f>SUMIF($B$6:$B$15,"Operating Long-Term Liability",E$6:E$15)</f>
        <v/>
      </c>
      <c r="E33" s="20">
        <f>SUMIF($B$6:$B$15,"Operating Long-Term Liability",F$6:F$15)</f>
        <v/>
      </c>
      <c r="F33" s="20">
        <f>SUMIF($B$6:$B$15,"Operating Long-Term Liability",G$6:G$15)</f>
        <v/>
      </c>
    </row>
    <row r="34">
      <c r="A34" s="22" t="inlineStr">
        <is>
          <t>NOLA</t>
        </is>
      </c>
      <c r="B34" s="19">
        <f>B32-B33</f>
        <v/>
      </c>
      <c r="C34" s="19">
        <f>C32-C33</f>
        <v/>
      </c>
      <c r="D34" s="19">
        <f>D32-D33</f>
        <v/>
      </c>
      <c r="E34" s="19">
        <f>E32-E33</f>
        <v/>
      </c>
      <c r="F34" s="19">
        <f>F32-F33</f>
        <v/>
      </c>
    </row>
    <row r="35">
      <c r="A35" s="22" t="inlineStr">
        <is>
          <t>NOA</t>
        </is>
      </c>
      <c r="B35" s="19">
        <f>B31+B34</f>
        <v/>
      </c>
      <c r="C35" s="19">
        <f>C31+C34</f>
        <v/>
      </c>
      <c r="D35" s="19">
        <f>D31+D34</f>
        <v/>
      </c>
      <c r="E35" s="19">
        <f>E31+E34</f>
        <v/>
      </c>
      <c r="F35" s="24">
        <f>F31+F34</f>
        <v/>
      </c>
    </row>
    <row r="36">
      <c r="A36" s="17" t="inlineStr">
        <is>
          <t>Financial Assets</t>
        </is>
      </c>
      <c r="B36" s="20">
        <f>SUMIF($B$6:$B$15,"Financial Asset",C$6:C$15)</f>
        <v/>
      </c>
      <c r="C36" s="20">
        <f>SUMIF($B$6:$B$15,"Financial Asset",D$6:D$15)</f>
        <v/>
      </c>
      <c r="D36" s="20">
        <f>SUMIF($B$6:$B$15,"Financial Asset",E$6:E$15)</f>
        <v/>
      </c>
      <c r="E36" s="20">
        <f>SUMIF($B$6:$B$15,"Financial Asset",F$6:F$15)</f>
        <v/>
      </c>
      <c r="F36" s="20">
        <f>SUMIF($B$6:$B$15,"Financial Asset",G$6:G$15)</f>
        <v/>
      </c>
    </row>
    <row r="37">
      <c r="A37" s="17" t="inlineStr">
        <is>
          <t>Financial Liabilities</t>
        </is>
      </c>
      <c r="B37" s="20">
        <f>SUMIF($B$6:$B$15,"Financial Liability",C$6:C$15)</f>
        <v/>
      </c>
      <c r="C37" s="20">
        <f>SUMIF($B$6:$B$15,"Financial Liability",D$6:D$15)</f>
        <v/>
      </c>
      <c r="D37" s="20">
        <f>SUMIF($B$6:$B$15,"Financial Liability",E$6:E$15)</f>
        <v/>
      </c>
      <c r="E37" s="20">
        <f>SUMIF($B$6:$B$15,"Financial Liability",F$6:F$15)</f>
        <v/>
      </c>
      <c r="F37" s="20">
        <f>SUMIF($B$6:$B$15,"Financial Liability",G$6:G$15)</f>
        <v/>
      </c>
    </row>
    <row r="38">
      <c r="A38" s="15" t="inlineStr">
        <is>
          <t>Net Debt</t>
        </is>
      </c>
      <c r="B38" s="20">
        <f>B37-B36</f>
        <v/>
      </c>
      <c r="C38" s="20">
        <f>C37-C36</f>
        <v/>
      </c>
      <c r="D38" s="20">
        <f>D37-D36</f>
        <v/>
      </c>
      <c r="E38" s="20">
        <f>E37-E36</f>
        <v/>
      </c>
      <c r="F38" s="25">
        <f>F37-F36</f>
        <v/>
      </c>
    </row>
    <row r="39">
      <c r="A39" s="15" t="inlineStr">
        <is>
          <t>Equity (NOA - Net Debt)</t>
        </is>
      </c>
      <c r="B39" s="20">
        <f>B35-B38</f>
        <v/>
      </c>
      <c r="C39" s="20">
        <f>C35-C38</f>
        <v/>
      </c>
      <c r="D39" s="20">
        <f>D35-D38</f>
        <v/>
      </c>
      <c r="E39" s="20">
        <f>E35-E38</f>
        <v/>
      </c>
      <c r="F39" s="20">
        <f>F35-F38</f>
        <v/>
      </c>
    </row>
    <row r="40">
      <c r="A40" s="15" t="inlineStr">
        <is>
          <t>Reported Equity</t>
        </is>
      </c>
      <c r="B40" s="20">
        <f>'Balance Sheet'!B19</f>
        <v/>
      </c>
      <c r="C40" s="20">
        <f>'Balance Sheet'!C19</f>
        <v/>
      </c>
      <c r="D40" s="20">
        <f>'Balance Sheet'!D19</f>
        <v/>
      </c>
      <c r="E40" s="20">
        <f>'Balance Sheet'!E19</f>
        <v/>
      </c>
      <c r="F40" s="20">
        <f>'Balance Sheet'!F19</f>
        <v/>
      </c>
    </row>
    <row r="41">
      <c r="A41" s="15" t="inlineStr">
        <is>
          <t>Total Capital</t>
        </is>
      </c>
      <c r="B41" s="20">
        <f>B38+B39</f>
        <v/>
      </c>
      <c r="C41" s="20">
        <f>C38+C39</f>
        <v/>
      </c>
      <c r="D41" s="20">
        <f>D38+D39</f>
        <v/>
      </c>
      <c r="E41" s="20">
        <f>E38+E39</f>
        <v/>
      </c>
      <c r="F41" s="20">
        <f>F38+F39</f>
        <v/>
      </c>
    </row>
    <row r="42">
      <c r="A42" s="22" t="inlineStr">
        <is>
          <t>CHECK</t>
        </is>
      </c>
      <c r="B42" s="14">
        <f>IF(ABS(B39-B40)&lt;1,"OK","CHECK")</f>
        <v/>
      </c>
      <c r="C42" s="14">
        <f>IF(ABS(C39-C40)&lt;1,"OK","CHECK")</f>
        <v/>
      </c>
      <c r="D42" s="14">
        <f>IF(ABS(D39-D40)&lt;1,"OK","CHECK")</f>
        <v/>
      </c>
      <c r="E42" s="14">
        <f>IF(ABS(E39-E40)&lt;1,"OK","CHECK")</f>
        <v/>
      </c>
      <c r="F42" s="14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6" t="inlineStr">
        <is>
          <t>Demo Holdings Limited — DuPont Decomposition</t>
        </is>
      </c>
    </row>
    <row r="2">
      <c r="A2" s="17" t="inlineStr">
        <is>
          <t>ROE = RNOA + FLEV × Spread</t>
        </is>
      </c>
    </row>
    <row r="3"/>
    <row r="4">
      <c r="A4" s="15" t="inlineStr">
        <is>
          <t>Metric</t>
        </is>
      </c>
      <c r="B4" s="18" t="n">
        <v>44926</v>
      </c>
      <c r="C4" s="18" t="n">
        <v>45291</v>
      </c>
      <c r="D4" s="18" t="n">
        <v>45657</v>
      </c>
      <c r="E4" s="18" t="n">
        <v>46022</v>
      </c>
    </row>
    <row r="5">
      <c r="A5" s="14" t="inlineStr">
        <is>
          <t>RNOA</t>
        </is>
      </c>
      <c r="E5" s="26">
        <f>'Condensed Financials'!F26/(('Condensed Financials'!F35+'Condensed Financials'!E35)/2)</f>
        <v/>
      </c>
    </row>
    <row r="6">
      <c r="A6" s="17" t="inlineStr">
        <is>
          <t>After-tax CoD</t>
        </is>
      </c>
      <c r="E6" s="21">
        <f>'Condensed Financials'!F25/(('Condensed Financials'!F38+'Condensed Financials'!E38)/2)</f>
        <v/>
      </c>
    </row>
    <row r="7">
      <c r="A7" s="14" t="inlineStr">
        <is>
          <t>Spread</t>
        </is>
      </c>
      <c r="E7" s="27">
        <f>E5-E6</f>
        <v/>
      </c>
    </row>
    <row r="8">
      <c r="A8" s="14" t="inlineStr">
        <is>
          <t>FLEV</t>
        </is>
      </c>
      <c r="E8" s="14">
        <f>(('Condensed Financials'!F38+'Condensed Financials'!E38)/2)/(('Condensed Financials'!F39+'Condensed Financials'!E39)/2)</f>
        <v/>
      </c>
    </row>
    <row r="9">
      <c r="A9" s="17" t="inlineStr">
        <is>
          <t>ROE (decomposed)</t>
        </is>
      </c>
      <c r="E9" s="28">
        <f>E5+E8*(E7)</f>
        <v/>
      </c>
    </row>
    <row r="10">
      <c r="A10" s="17" t="inlineStr">
        <is>
          <t>Actual ROE</t>
        </is>
      </c>
      <c r="E10" s="21">
        <f>'Condensed Financials'!F18/(('Condensed Financials'!F39+'Condensed Financials'!E39)/2)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Bear Scenario</t>
        </is>
      </c>
    </row>
    <row r="2"/>
    <row r="3"/>
    <row r="4"/>
    <row r="5">
      <c r="A5" s="17" t="inlineStr">
        <is>
          <t>Cost of Equity (Ke)</t>
        </is>
      </c>
      <c r="B5" s="21" t="n">
        <v>0.105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Base Scenario</t>
        </is>
      </c>
    </row>
    <row r="2"/>
    <row r="3"/>
    <row r="4"/>
    <row r="5">
      <c r="A5" s="17" t="inlineStr">
        <is>
          <t>Cost of Equity (Ke)</t>
        </is>
      </c>
      <c r="B5" s="21" t="n">
        <v>0.0975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24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24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5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5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>
        <f>G38/G39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Bull Scenario</t>
        </is>
      </c>
    </row>
    <row r="2"/>
    <row r="3"/>
    <row r="4"/>
    <row r="5">
      <c r="A5" s="17" t="inlineStr">
        <is>
          <t>Cost of Equity (Ke)</t>
        </is>
      </c>
      <c r="B5" s="21" t="n">
        <v>0.0925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Demo Holdings Limited — Scenario Summary</t>
        </is>
      </c>
    </row>
    <row r="2"/>
    <row r="3">
      <c r="A3" s="15" t="inlineStr">
        <is>
          <t>Scenario</t>
        </is>
      </c>
      <c r="B3" s="15" t="inlineStr">
        <is>
          <t>Probability</t>
        </is>
      </c>
      <c r="C3" s="15" t="inlineStr">
        <is>
          <t>IVPS</t>
        </is>
      </c>
      <c r="D3" s="31" t="n"/>
      <c r="E3" s="31" t="n"/>
    </row>
    <row r="4">
      <c r="A4" s="14" t="inlineStr">
        <is>
          <t>Bear</t>
        </is>
      </c>
      <c r="B4" s="32" t="n">
        <v>0.25</v>
      </c>
      <c r="C4" s="14">
        <f>'Model_Bear'!G40</f>
        <v/>
      </c>
    </row>
    <row r="5">
      <c r="A5" s="14" t="inlineStr">
        <is>
          <t>Base</t>
        </is>
      </c>
      <c r="B5" s="32" t="n">
        <v>0.5</v>
      </c>
      <c r="C5" s="14">
        <f>'Model_Base'!G40</f>
        <v/>
      </c>
    </row>
    <row r="6">
      <c r="A6" s="14" t="inlineStr">
        <is>
          <t>Bull</t>
        </is>
      </c>
      <c r="B6" s="32" t="n">
        <v>0.25</v>
      </c>
      <c r="C6" s="14">
        <f>'Model_Bull'!G40</f>
        <v/>
      </c>
    </row>
    <row r="7"/>
    <row r="8">
      <c r="A8" s="17" t="inlineStr">
        <is>
          <t>Weighted IVPS</t>
        </is>
      </c>
      <c r="E8" s="28">
        <f>SUMPRODUCT(B4:B6,C4:C6)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</row>
    <row r="2">
      <c r="A2" t="inlineStr">
        <is>
          <t>nopat_fy</t>
        </is>
      </c>
      <c r="B2" t="n">
        <v>1</v>
      </c>
      <c r="C2" t="inlineStr">
        <is>
          <t>NOPAT (latest fiscal year)</t>
        </is>
      </c>
      <c r="D2" t="inlineStr">
        <is>
          <t>Reformulate net income to operating profit after tax.</t>
        </is>
      </c>
      <c r="E2" t="inlineStr">
        <is>
          <t>condensed.nopat.latest_fy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F26</t>
        </is>
      </c>
      <c r="I2">
        <f>F18+F25</f>
        <v/>
      </c>
      <c r="J2" t="n">
        <v>4150.866462793068</v>
      </c>
      <c r="K2" t="n">
        <v>0.01</v>
      </c>
      <c r="M2" t="inlineStr">
        <is>
          <t>Start from Net Income on the Income Statement.|Add back after-tax net interest: Net Interest × (1 − Tax Rate).|NOPAT = Net Income + Net Interest After Tax.</t>
        </is>
      </c>
      <c r="O2" t="inlineStr">
        <is>
          <t>pending</t>
        </is>
      </c>
    </row>
    <row r="3">
      <c r="A3" t="inlineStr">
        <is>
          <t>nowc_agg</t>
        </is>
      </c>
      <c r="B3" t="n">
        <v>2</v>
      </c>
      <c r="C3" t="inlineStr">
        <is>
          <t>Net Operating Working Capital (NOWC)</t>
        </is>
      </c>
      <c r="D3" t="inlineStr">
        <is>
          <t>Sum operating WC assets minus operating WC liabilities.</t>
        </is>
      </c>
      <c r="E3" t="inlineStr">
        <is>
          <t>condensed.nowc.latest_fy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F31</t>
        </is>
      </c>
      <c r="I3">
        <f>F29-F30</f>
        <v/>
      </c>
      <c r="J3" t="n">
        <v>1375</v>
      </c>
      <c r="K3" t="n">
        <v>0.01</v>
      </c>
      <c r="L3" t="inlineStr">
        <is>
          <t>nopat_fy</t>
        </is>
      </c>
      <c r="M3" t="inlineStr">
        <is>
          <t>Use SUMIF over the classification column for 'Operating Working Capital Asset'.|Subtract SUMIF for 'Operating Working Capital Liability'.|NOWC = Op. WC Assets − Op. WC Liabilities.</t>
        </is>
      </c>
      <c r="O3" t="inlineStr">
        <is>
          <t>pending</t>
        </is>
      </c>
    </row>
    <row r="4">
      <c r="A4" t="inlineStr">
        <is>
          <t>noa_agg</t>
        </is>
      </c>
      <c r="B4" t="n">
        <v>3</v>
      </c>
      <c r="C4" t="inlineStr">
        <is>
          <t>Net Operating Assets (NOA)</t>
        </is>
      </c>
      <c r="D4" t="inlineStr">
        <is>
          <t>NOWC plus net operating long-term assets.</t>
        </is>
      </c>
      <c r="E4" t="inlineStr">
        <is>
          <t>condensed.noa.latest_fy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F35</t>
        </is>
      </c>
      <c r="I4">
        <f>F31+F34</f>
        <v/>
      </c>
      <c r="J4" t="n">
        <v>7950</v>
      </c>
      <c r="K4" t="n">
        <v>0.01</v>
      </c>
      <c r="L4" t="inlineStr">
        <is>
          <t>nowc_agg</t>
        </is>
      </c>
      <c r="M4" t="inlineStr">
        <is>
          <t>Net Operating LT Assets = Op. LT Assets − Op. LT Liabilities (SUMIF).|NOA = NOWC + Net Operating LT Assets.</t>
        </is>
      </c>
      <c r="O4" t="inlineStr">
        <is>
          <t>pending</t>
        </is>
      </c>
    </row>
    <row r="5">
      <c r="A5" t="inlineStr">
        <is>
          <t>net_debt</t>
        </is>
      </c>
      <c r="B5" t="n">
        <v>4</v>
      </c>
      <c r="C5" t="inlineStr">
        <is>
          <t>Net Debt</t>
        </is>
      </c>
      <c r="D5" t="inlineStr">
        <is>
          <t>Financial liabilities minus financial assets.</t>
        </is>
      </c>
      <c r="E5" t="inlineStr">
        <is>
          <t>condensed.net_debt.latest_fy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F38</t>
        </is>
      </c>
      <c r="I5">
        <f>F37-F36</f>
        <v/>
      </c>
      <c r="J5" t="n">
        <v>-750</v>
      </c>
      <c r="K5" t="n">
        <v>0.01</v>
      </c>
      <c r="L5" t="inlineStr">
        <is>
          <t>noa_agg</t>
        </is>
      </c>
      <c r="M5" t="inlineStr">
        <is>
          <t>Net Debt = SUMIF(Financial Liability) − SUMIF(Financial Asset).|Positive net debt means the firm carries net financial obligations.</t>
        </is>
      </c>
      <c r="O5" t="inlineStr">
        <is>
          <t>pending</t>
        </is>
      </c>
    </row>
    <row r="6">
      <c r="A6" t="inlineStr">
        <is>
          <t>rnoa</t>
        </is>
      </c>
      <c r="B6" t="n">
        <v>5</v>
      </c>
      <c r="C6" t="inlineStr">
        <is>
          <t>Return on Net Operating Assets (RNOA)</t>
        </is>
      </c>
      <c r="D6" t="inlineStr">
        <is>
          <t>NOPAT divided by average NOA.</t>
        </is>
      </c>
      <c r="E6" t="inlineStr">
        <is>
          <t>dupont.rnoa.latest_comparable</t>
        </is>
      </c>
      <c r="F6" t="inlineStr">
        <is>
          <t>dupont</t>
        </is>
      </c>
      <c r="G6" t="inlineStr">
        <is>
          <t>ALT DuPont</t>
        </is>
      </c>
      <c r="H6" t="inlineStr">
        <is>
          <t>E5</t>
        </is>
      </c>
      <c r="I6">
        <f>'Condensed Financials'!F26/(('Condensed Financials'!F35+'Condensed Financials'!E35)/2)</f>
        <v/>
      </c>
      <c r="J6" t="n">
        <v>0.5545579776610646</v>
      </c>
      <c r="K6" t="n">
        <v>0.01</v>
      </c>
      <c r="L6" t="inlineStr">
        <is>
          <t>nopat_fy,noa_agg</t>
        </is>
      </c>
      <c r="M6" t="inlineStr">
        <is>
          <t>RNOA = NOPAT / Average NOA.|Average NOA = (Beginning NOA + Ending NOA) / 2.</t>
        </is>
      </c>
      <c r="O6" t="inlineStr">
        <is>
          <t>pending</t>
        </is>
      </c>
    </row>
    <row r="7">
      <c r="A7" t="inlineStr">
        <is>
          <t>spread</t>
        </is>
      </c>
      <c r="B7" t="n">
        <v>6</v>
      </c>
      <c r="C7" t="inlineStr">
        <is>
          <t>Operating Spread (RNOA − After-tax CoD)</t>
        </is>
      </c>
      <c r="D7" t="inlineStr">
        <is>
          <t>Operating return minus after-tax cost of debt.</t>
        </is>
      </c>
      <c r="E7" t="inlineStr">
        <is>
          <t>dupont.spread.latest_comparable</t>
        </is>
      </c>
      <c r="F7" t="inlineStr">
        <is>
          <t>dupont</t>
        </is>
      </c>
      <c r="G7" t="inlineStr">
        <is>
          <t>ALT DuPont</t>
        </is>
      </c>
      <c r="H7" t="inlineStr">
        <is>
          <t>E7</t>
        </is>
      </c>
      <c r="I7">
        <f>E5-E6</f>
        <v/>
      </c>
      <c r="J7" t="n">
        <v>0.6827961285441025</v>
      </c>
      <c r="K7" t="n">
        <v>0.01</v>
      </c>
      <c r="L7" t="inlineStr">
        <is>
          <t>rnoa</t>
        </is>
      </c>
      <c r="M7" t="inlineStr">
        <is>
          <t>After-tax CoD = Net Interest After Tax / Average Net Debt.|Spread = RNOA − After-tax CoD.</t>
        </is>
      </c>
      <c r="O7" t="inlineStr">
        <is>
          <t>pending</t>
        </is>
      </c>
    </row>
    <row r="8">
      <c r="A8" t="inlineStr">
        <is>
          <t>roe_decomp</t>
        </is>
      </c>
      <c r="B8" t="n">
        <v>7</v>
      </c>
      <c r="C8" t="inlineStr">
        <is>
          <t>ROE decomposition</t>
        </is>
      </c>
      <c r="D8" t="inlineStr">
        <is>
          <t>ROE = RNOA + FLEV × Spread.</t>
        </is>
      </c>
      <c r="E8" t="inlineStr">
        <is>
          <t>dupont.roe_decomposed.latest_comparable</t>
        </is>
      </c>
      <c r="F8" t="inlineStr">
        <is>
          <t>dupont</t>
        </is>
      </c>
      <c r="G8" t="inlineStr">
        <is>
          <t>ALT DuPont</t>
        </is>
      </c>
      <c r="H8" t="inlineStr">
        <is>
          <t>E9</t>
        </is>
      </c>
      <c r="I8">
        <f>E5+E8*(E7)</f>
        <v/>
      </c>
      <c r="J8" t="n">
        <v>0.5027160493827161</v>
      </c>
      <c r="K8" t="n">
        <v>0.01</v>
      </c>
      <c r="L8" t="inlineStr">
        <is>
          <t>rnoa,spread</t>
        </is>
      </c>
      <c r="M8" t="inlineStr">
        <is>
          <t>Financial leverage (FLEV) = Average Net Debt / Average Equity.|ROE (decomposed) = RNOA + FLEV × (RNOA − After-tax CoD).</t>
        </is>
      </c>
      <c r="O8" t="inlineStr">
        <is>
          <t>pending</t>
        </is>
      </c>
    </row>
    <row r="9">
      <c r="A9" t="inlineStr">
        <is>
          <t>model_sales_y1</t>
        </is>
      </c>
      <c r="B9" t="n">
        <v>8</v>
      </c>
      <c r="C9" t="inlineStr">
        <is>
          <t>Base case Y1 revenue forecast</t>
        </is>
      </c>
      <c r="D9" t="inlineStr">
        <is>
          <t>Anchor revenue × (1 + Y1 growth).</t>
        </is>
      </c>
      <c r="E9" t="inlineStr">
        <is>
          <t>model.sales.y1</t>
        </is>
      </c>
      <c r="F9" t="inlineStr">
        <is>
          <t>forecasting</t>
        </is>
      </c>
      <c r="G9" t="inlineStr">
        <is>
          <t>Model_Base</t>
        </is>
      </c>
      <c r="H9" t="inlineStr">
        <is>
          <t>G21</t>
        </is>
      </c>
      <c r="I9">
        <f>'Income Statement'!F7*(1+0.1)</f>
        <v/>
      </c>
      <c r="J9" t="n">
        <v>13750</v>
      </c>
      <c r="K9" t="n">
        <v>0.01</v>
      </c>
      <c r="L9" t="inlineStr">
        <is>
          <t>nopat_fy</t>
        </is>
      </c>
      <c r="M9" t="inlineStr">
        <is>
          <t>Y1 beginning sales = prior fiscal year revenue from Income Statement.|Y1 Sales = Anchor Revenue × (1 + growthVector[0]).</t>
        </is>
      </c>
      <c r="O9" t="inlineStr">
        <is>
          <t>pending</t>
        </is>
      </c>
    </row>
    <row r="10">
      <c r="A10" t="inlineStr">
        <is>
          <t>model_nopat_y1</t>
        </is>
      </c>
      <c r="B10" t="n">
        <v>9</v>
      </c>
      <c r="C10" t="inlineStr">
        <is>
          <t>Base case Y1 NOPAT</t>
        </is>
      </c>
      <c r="D10" t="inlineStr">
        <is>
          <t>Forecast sales × NOPAT margin.</t>
        </is>
      </c>
      <c r="E10" t="inlineStr">
        <is>
          <t>model.nopat.y1</t>
        </is>
      </c>
      <c r="F10" t="inlineStr">
        <is>
          <t>forecasting</t>
        </is>
      </c>
      <c r="G10" t="inlineStr">
        <is>
          <t>Model_Base</t>
        </is>
      </c>
      <c r="H10" t="inlineStr">
        <is>
          <t>G27</t>
        </is>
      </c>
      <c r="I10">
        <f>G21*G22</f>
        <v/>
      </c>
      <c r="J10" t="n">
        <v>2062.5</v>
      </c>
      <c r="K10" t="n">
        <v>0.01</v>
      </c>
      <c r="L10" t="inlineStr">
        <is>
          <t>model_sales_y1</t>
        </is>
      </c>
      <c r="M10" t="inlineStr">
        <is>
          <t>NOPAT = Sales × marginVector[t].|Margin vector is a blue forecast input.</t>
        </is>
      </c>
      <c r="O10" t="inlineStr">
        <is>
          <t>pending</t>
        </is>
      </c>
    </row>
    <row r="11">
      <c r="A11" t="inlineStr">
        <is>
          <t>model_ae_y1</t>
        </is>
      </c>
      <c r="B11" t="n">
        <v>10</v>
      </c>
      <c r="C11" t="inlineStr">
        <is>
          <t>Year 1 abnormal earnings</t>
        </is>
      </c>
      <c r="D11" t="inlineStr">
        <is>
          <t>Residual income: NI − Ke × Equity.</t>
        </is>
      </c>
      <c r="E11" t="inlineStr">
        <is>
          <t>model.abnormal_earnings.y1</t>
        </is>
      </c>
      <c r="F11" t="inlineStr">
        <is>
          <t>valuation</t>
        </is>
      </c>
      <c r="G11" t="inlineStr">
        <is>
          <t>Model_Base</t>
        </is>
      </c>
      <c r="H11" t="inlineStr">
        <is>
          <t>G29</t>
        </is>
      </c>
      <c r="I11">
        <f>G28-$B$5*G26</f>
        <v/>
      </c>
      <c r="J11" t="n">
        <v>1043.756153868829</v>
      </c>
      <c r="K11" t="n">
        <v>0.01</v>
      </c>
      <c r="L11" t="inlineStr">
        <is>
          <t>model_nopat_y1</t>
        </is>
      </c>
      <c r="M11" t="inlineStr">
        <is>
          <t>Net Income = NOPAT − Net Debt × after-tax cost of debt.|Abnormal Earnings = Net Income − Cost of Equity × Book Equity.</t>
        </is>
      </c>
      <c r="O11" t="inlineStr">
        <is>
          <t>pending</t>
        </is>
      </c>
    </row>
    <row r="12">
      <c r="A12" t="inlineStr">
        <is>
          <t>model_tv</t>
        </is>
      </c>
      <c r="B12" t="n">
        <v>11</v>
      </c>
      <c r="C12" t="inlineStr">
        <is>
          <t>Terminal value (PV of abnormal earnings)</t>
        </is>
      </c>
      <c r="D12" t="inlineStr">
        <is>
          <t>Gordon growth on terminal-year abnormal earnings, discounted.</t>
        </is>
      </c>
      <c r="E12" t="inlineStr">
        <is>
          <t>model.terminal_value.pv</t>
        </is>
      </c>
      <c r="F12" t="inlineStr">
        <is>
          <t>valuation</t>
        </is>
      </c>
      <c r="G12" t="inlineStr">
        <is>
          <t>Model_Base</t>
        </is>
      </c>
      <c r="H12" t="inlineStr">
        <is>
          <t>G37</t>
        </is>
      </c>
      <c r="I12">
        <f>P36*P30</f>
        <v/>
      </c>
      <c r="J12" t="n">
        <v>15516.94169433467</v>
      </c>
      <c r="K12" t="n">
        <v>0.01</v>
      </c>
      <c r="L12" t="inlineStr">
        <is>
          <t>model_ae_y1</t>
        </is>
      </c>
      <c r="M12" t="inlineStr">
        <is>
          <t>TV = AE₁₀ × (1 + g) / (Ke − g).|Discount TV back 10 years at Ke.</t>
        </is>
      </c>
      <c r="O12" t="inlineStr">
        <is>
          <t>pending</t>
        </is>
      </c>
    </row>
    <row r="13">
      <c r="A13" t="inlineStr">
        <is>
          <t>model_ivps</t>
        </is>
      </c>
      <c r="B13" t="n">
        <v>12</v>
      </c>
      <c r="C13" t="inlineStr">
        <is>
          <t>Intrinsic value per share</t>
        </is>
      </c>
      <c r="D13" t="inlineStr">
        <is>
          <t>Book equity + PV(abnormal earnings) + PV(terminal value).</t>
        </is>
      </c>
      <c r="E13" t="inlineStr">
        <is>
          <t>model.ivps</t>
        </is>
      </c>
      <c r="F13" t="inlineStr">
        <is>
          <t>valuation</t>
        </is>
      </c>
      <c r="G13" t="inlineStr">
        <is>
          <t>Model_Base</t>
        </is>
      </c>
      <c r="H13" t="inlineStr">
        <is>
          <t>G40</t>
        </is>
      </c>
      <c r="I13">
        <f>G38/G39</f>
        <v/>
      </c>
      <c r="J13" t="n">
        <v>34.2372</v>
      </c>
      <c r="K13" t="n">
        <v>0.01</v>
      </c>
      <c r="L13" t="inlineStr">
        <is>
          <t>model_tv</t>
        </is>
      </c>
      <c r="M13" t="inlineStr">
        <is>
          <t>IV = Beginning Book Equity + Σ PV(AE) + PV(TV).|IVPS = IV / Diluted Shares Outstanding.</t>
        </is>
      </c>
      <c r="O13" t="inlineStr">
        <is>
          <t>pending</t>
        </is>
      </c>
    </row>
    <row r="14">
      <c r="A14" t="inlineStr">
        <is>
          <t>scenario_weighted</t>
        </is>
      </c>
      <c r="B14" t="n">
        <v>13</v>
      </c>
      <c r="C14" t="inlineStr">
        <is>
          <t>Probability-weighted IVPS</t>
        </is>
      </c>
      <c r="D14" t="inlineStr">
        <is>
          <t>SUMPRODUCT of scenario IVPS and probabilities.</t>
        </is>
      </c>
      <c r="E14" t="inlineStr">
        <is>
          <t>scenario.weighted_ivps</t>
        </is>
      </c>
      <c r="F14" t="inlineStr">
        <is>
          <t>valuation</t>
        </is>
      </c>
      <c r="G14" t="inlineStr">
        <is>
          <t>Scenario_Summary</t>
        </is>
      </c>
      <c r="H14" t="inlineStr">
        <is>
          <t>E8</t>
        </is>
      </c>
      <c r="I14">
        <f>SUMPRODUCT(B4:B6,C4:C6)</f>
        <v/>
      </c>
      <c r="J14" t="n">
        <v>34.0383</v>
      </c>
      <c r="K14" t="n">
        <v>0.01</v>
      </c>
      <c r="L14" t="inlineStr">
        <is>
          <t>model_ivps</t>
        </is>
      </c>
      <c r="M14" t="inlineStr">
        <is>
          <t>Weighted IVPS = Σ(probability × IVPS) across Bear, Base, Bull.|Probabilities are blue input cells and must sum to 100%.</t>
        </is>
      </c>
      <c r="O14" t="inlineStr">
        <is>
          <t>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2026-09-03T03:19:29Z</dcterms:created>
  <dcterms:modified xmlns:dcterms="http://purl.org/dc/terms/" xmlns:xsi="http://www.w3.org/2001/XMLSchema-instance" xsi:type="dcterms:W3CDTF">2026-09-03T03:19:29Z</dcterms:modified>
</cp:coreProperties>
</file>