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Condensed Financials" sheetId="5" state="visible" r:id="rId5"/>
    <sheet xmlns:r="http://schemas.openxmlformats.org/officeDocument/2006/relationships" name="ALT DuPont" sheetId="6" state="visible" r:id="rId6"/>
    <sheet xmlns:r="http://schemas.openxmlformats.org/officeDocument/2006/relationships" name="Accounting Judgment" sheetId="7" state="visible" r:id="rId7"/>
    <sheet xmlns:r="http://schemas.openxmlformats.org/officeDocument/2006/relationships" name="Normalization Judgment" sheetId="8" state="visible" r:id="rId8"/>
    <sheet xmlns:r="http://schemas.openxmlformats.org/officeDocument/2006/relationships" name="Earnings Normalization" sheetId="9" state="visible" r:id="rId9"/>
    <sheet xmlns:r="http://schemas.openxmlformats.org/officeDocument/2006/relationships" name="Model_Bear" sheetId="10" state="hidden" r:id="rId10"/>
    <sheet xmlns:r="http://schemas.openxmlformats.org/officeDocument/2006/relationships" name="Model_Base" sheetId="11" state="hidden" r:id="rId11"/>
    <sheet xmlns:r="http://schemas.openxmlformats.org/officeDocument/2006/relationships" name="Model_Bull" sheetId="12" state="hidden" r:id="rId12"/>
    <sheet xmlns:r="http://schemas.openxmlformats.org/officeDocument/2006/relationships" name="Scenario_Summary" sheetId="13" state="hidden" r:id="rId13"/>
    <sheet xmlns:r="http://schemas.openxmlformats.org/officeDocument/2006/relationships" name="_ComponentMap" sheetId="14" state="hidden" r:id="rId14"/>
    <sheet xmlns:r="http://schemas.openxmlformats.org/officeDocument/2006/relationships" name="_CheckContext" sheetId="15" state="hidden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dd, yyyy"/>
    <numFmt numFmtId="165" formatCode="#,##0;(#,##0)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/>
    <font>
      <name val="Aptos Narrow"/>
      <b val="1"/>
      <color rgb="00000000"/>
      <sz val="20"/>
    </font>
    <font>
      <name val="Aptos Narrow"/>
      <color rgb="00000000"/>
      <sz val="11"/>
    </font>
    <font>
      <name val="Aptos Narrow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F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165" fontId="0" fillId="2" borderId="0" pivotButton="0" quotePrefix="0" xfId="0"/>
    <xf numFmtId="0" fontId="0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164" fontId="5" fillId="0" borderId="1" pivotButton="0" quotePrefix="0" xfId="0"/>
    <xf numFmtId="165" fontId="4" fillId="0" borderId="0" pivotButton="0" quotePrefix="0" xfId="0"/>
    <xf numFmtId="165" fontId="4" fillId="0" borderId="1" pivotButton="0" quotePrefix="0" xfId="0"/>
    <xf numFmtId="0" fontId="4" fillId="3" borderId="0" pivotButton="0" quotePrefix="0" xfId="0"/>
    <xf numFmtId="0" fontId="4" fillId="3" borderId="1" pivotButton="0" quotePrefix="0" xfId="0"/>
    <xf numFmtId="166" fontId="4" fillId="3" borderId="1" pivotButton="0" quotePrefix="0" xfId="0"/>
    <xf numFmtId="165" fontId="4" fillId="3" borderId="1" pivotButton="0" quotePrefix="0" xfId="0"/>
    <xf numFmtId="0" fontId="5" fillId="0" borderId="0" pivotButton="0" quotePrefix="0" xfId="0"/>
    <xf numFmtId="165" fontId="4" fillId="3" borderId="0" pivotButton="0" quotePrefix="0" xfId="0"/>
    <xf numFmtId="166" fontId="4" fillId="3" borderId="0" pivotButton="0" quotePrefix="0" xfId="0"/>
    <xf numFmtId="0" fontId="4" fillId="3" borderId="0" applyAlignment="1" pivotButton="0" quotePrefix="0" xfId="0">
      <alignment vertical="top" wrapText="1"/>
    </xf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BAV Trainer</author>
  </authors>
  <commentList>
    <comment ref="B19" authorId="0" shapeId="0">
      <text>
        <t>Link Revenue from the Income Statement into Condensed Financials.</t>
      </text>
    </comment>
    <comment ref="C19" authorId="0" shapeId="0">
      <text>
        <t>Link Revenue from the Income Statement into Condensed Financials.</t>
      </text>
    </comment>
    <comment ref="D19" authorId="0" shapeId="0">
      <text>
        <t>Link Revenue from the Income Statement into Condensed Financials.</t>
      </text>
    </comment>
    <comment ref="E19" authorId="0" shapeId="0">
      <text>
        <t>Link Revenue from the Income Statement into Condensed Financials.</t>
      </text>
    </comment>
    <comment ref="F19" authorId="0" shapeId="0">
      <text>
        <t>Link Revenue from the Income Statement into Condensed Financials.</t>
      </text>
    </comment>
    <comment ref="B20" authorId="0" shapeId="0">
      <text>
        <t>Link Net Income from the Income Statement into Condensed Financials.</t>
      </text>
    </comment>
    <comment ref="C20" authorId="0" shapeId="0">
      <text>
        <t>Link Net Income from the Income Statement into Condensed Financials.</t>
      </text>
    </comment>
    <comment ref="D20" authorId="0" shapeId="0">
      <text>
        <t>Link Net Income from the Income Statement into Condensed Financials.</t>
      </text>
    </comment>
    <comment ref="E20" authorId="0" shapeId="0">
      <text>
        <t>Link Net Income from the Income Statement into Condensed Financials.</t>
      </text>
    </comment>
    <comment ref="F20" authorId="0" shapeId="0">
      <text>
        <t>Link Net Income from the Income Statement into Condensed Financials.</t>
      </text>
    </comment>
    <comment ref="B25" authorId="0" shapeId="0">
      <text>
        <t>Relate tax expense to pretax income using the model's sign convention.</t>
      </text>
    </comment>
    <comment ref="C25" authorId="0" shapeId="0">
      <text>
        <t>Relate tax expense to pretax income using the model's sign convention.</t>
      </text>
    </comment>
    <comment ref="D25" authorId="0" shapeId="0">
      <text>
        <t>Relate tax expense to pretax income using the model's sign convention.</t>
      </text>
    </comment>
    <comment ref="E25" authorId="0" shapeId="0">
      <text>
        <t>Relate tax expense to pretax income using the model's sign convention.</t>
      </text>
    </comment>
    <comment ref="F25" authorId="0" shapeId="0">
      <text>
        <t>Relate tax expense to pretax income using the model's sign convention.</t>
      </text>
    </comment>
    <comment ref="B26" authorId="0" shapeId="0">
      <text>
        <t>Combine interest expense and interest income into the financing result.</t>
      </text>
    </comment>
    <comment ref="C26" authorId="0" shapeId="0">
      <text>
        <t>Combine interest expense and interest income into the financing result.</t>
      </text>
    </comment>
    <comment ref="D26" authorId="0" shapeId="0">
      <text>
        <t>Combine interest expense and interest income into the financing result.</t>
      </text>
    </comment>
    <comment ref="E26" authorId="0" shapeId="0">
      <text>
        <t>Combine interest expense and interest income into the financing result.</t>
      </text>
    </comment>
    <comment ref="F26" authorId="0" shapeId="0">
      <text>
        <t>Combine interest expense and interest income into the financing result.</t>
      </text>
    </comment>
    <comment ref="B27" authorId="0" shapeId="0">
      <text>
        <t>Apply the effective tax rate once to net interest.</t>
      </text>
    </comment>
    <comment ref="C27" authorId="0" shapeId="0">
      <text>
        <t>Apply the effective tax rate once to net interest.</t>
      </text>
    </comment>
    <comment ref="D27" authorId="0" shapeId="0">
      <text>
        <t>Apply the effective tax rate once to net interest.</t>
      </text>
    </comment>
    <comment ref="E27" authorId="0" shapeId="0">
      <text>
        <t>Apply the effective tax rate once to net interest.</t>
      </text>
    </comment>
    <comment ref="F27" authorId="0" shapeId="0">
      <text>
        <t>Apply the effective tax rate once to net interest.</t>
      </text>
    </comment>
    <comment ref="B28" authorId="0" shapeId="0">
      <text>
        <t>Reformulate net income to operating profit after tax.</t>
      </text>
    </comment>
    <comment ref="C28" authorId="0" shapeId="0">
      <text>
        <t>Reformulate net income to operating profit after tax.</t>
      </text>
    </comment>
    <comment ref="D28" authorId="0" shapeId="0">
      <text>
        <t>Reformulate net income to operating profit after tax.</t>
      </text>
    </comment>
    <comment ref="E28" authorId="0" shapeId="0">
      <text>
        <t>Reformulate net income to operating profit after tax.</t>
      </text>
    </comment>
    <comment ref="F28" authorId="0" shapeId="0">
      <text>
        <t>Reformulate net income to operating profit after tax.</t>
      </text>
    </comment>
    <comment ref="B31" authorId="0" shapeId="0">
      <text>
        <t>Aggregate the classified balance-sheet detail with the classification column.</t>
      </text>
    </comment>
    <comment ref="C31" authorId="0" shapeId="0">
      <text>
        <t>Aggregate the classified balance-sheet detail with the classification column.</t>
      </text>
    </comment>
    <comment ref="D31" authorId="0" shapeId="0">
      <text>
        <t>Aggregate the classified balance-sheet detail with the classification column.</t>
      </text>
    </comment>
    <comment ref="E31" authorId="0" shapeId="0">
      <text>
        <t>Aggregate the classified balance-sheet detail with the classification column.</t>
      </text>
    </comment>
    <comment ref="F31" authorId="0" shapeId="0">
      <text>
        <t>Aggregate the classified balance-sheet detail with the classification column.</t>
      </text>
    </comment>
    <comment ref="B32" authorId="0" shapeId="0">
      <text>
        <t>Aggregate the classified balance-sheet detail with the classification column.</t>
      </text>
    </comment>
    <comment ref="C32" authorId="0" shapeId="0">
      <text>
        <t>Aggregate the classified balance-sheet detail with the classification column.</t>
      </text>
    </comment>
    <comment ref="D32" authorId="0" shapeId="0">
      <text>
        <t>Aggregate the classified balance-sheet detail with the classification column.</t>
      </text>
    </comment>
    <comment ref="E32" authorId="0" shapeId="0">
      <text>
        <t>Aggregate the classified balance-sheet detail with the classification column.</t>
      </text>
    </comment>
    <comment ref="F32" authorId="0" shapeId="0">
      <text>
        <t>Aggregate the classified balance-sheet detail with the classification column.</t>
      </text>
    </comment>
    <comment ref="B33" authorId="0" shapeId="0">
      <text>
        <t>Sum operating WC assets minus operating WC liabilities.</t>
      </text>
    </comment>
    <comment ref="C33" authorId="0" shapeId="0">
      <text>
        <t>Sum operating WC assets minus operating WC liabilities.</t>
      </text>
    </comment>
    <comment ref="D33" authorId="0" shapeId="0">
      <text>
        <t>Sum operating WC assets minus operating WC liabilities.</t>
      </text>
    </comment>
    <comment ref="E33" authorId="0" shapeId="0">
      <text>
        <t>Sum operating WC assets minus operating WC liabilities.</t>
      </text>
    </comment>
    <comment ref="F33" authorId="0" shapeId="0">
      <text>
        <t>Sum operating WC assets minus operating WC liabilities.</t>
      </text>
    </comment>
    <comment ref="B34" authorId="0" shapeId="0">
      <text>
        <t>Aggregate the classified balance-sheet detail with the classification column.</t>
      </text>
    </comment>
    <comment ref="C34" authorId="0" shapeId="0">
      <text>
        <t>Aggregate the classified balance-sheet detail with the classification column.</t>
      </text>
    </comment>
    <comment ref="D34" authorId="0" shapeId="0">
      <text>
        <t>Aggregate the classified balance-sheet detail with the classification column.</t>
      </text>
    </comment>
    <comment ref="E34" authorId="0" shapeId="0">
      <text>
        <t>Aggregate the classified balance-sheet detail with the classification column.</t>
      </text>
    </comment>
    <comment ref="F34" authorId="0" shapeId="0">
      <text>
        <t>Aggregate the classified balance-sheet detail with the classification column.</t>
      </text>
    </comment>
    <comment ref="B35" authorId="0" shapeId="0">
      <text>
        <t>Aggregate the classified balance-sheet detail with the classification column.</t>
      </text>
    </comment>
    <comment ref="C35" authorId="0" shapeId="0">
      <text>
        <t>Aggregate the classified balance-sheet detail with the classification column.</t>
      </text>
    </comment>
    <comment ref="D35" authorId="0" shapeId="0">
      <text>
        <t>Aggregate the classified balance-sheet detail with the classification column.</t>
      </text>
    </comment>
    <comment ref="E35" authorId="0" shapeId="0">
      <text>
        <t>Aggregate the classified balance-sheet detail with the classification column.</t>
      </text>
    </comment>
    <comment ref="F35" authorId="0" shapeId="0">
      <text>
        <t>Aggregate the classified balance-sheet detail with the classification column.</t>
      </text>
    </comment>
    <comment ref="B36" authorId="0" shapeId="0">
      <text>
        <t>Operating long-term assets less operating long-term liabilities.</t>
      </text>
    </comment>
    <comment ref="C36" authorId="0" shapeId="0">
      <text>
        <t>Operating long-term assets less operating long-term liabilities.</t>
      </text>
    </comment>
    <comment ref="D36" authorId="0" shapeId="0">
      <text>
        <t>Operating long-term assets less operating long-term liabilities.</t>
      </text>
    </comment>
    <comment ref="E36" authorId="0" shapeId="0">
      <text>
        <t>Operating long-term assets less operating long-term liabilities.</t>
      </text>
    </comment>
    <comment ref="F36" authorId="0" shapeId="0">
      <text>
        <t>Operating long-term assets less operating long-term liabilities.</t>
      </text>
    </comment>
    <comment ref="B37" authorId="0" shapeId="0">
      <text>
        <t>NOWC plus net operating long-term assets.</t>
      </text>
    </comment>
    <comment ref="C37" authorId="0" shapeId="0">
      <text>
        <t>NOWC plus net operating long-term assets.</t>
      </text>
    </comment>
    <comment ref="D37" authorId="0" shapeId="0">
      <text>
        <t>NOWC plus net operating long-term assets.</t>
      </text>
    </comment>
    <comment ref="E37" authorId="0" shapeId="0">
      <text>
        <t>NOWC plus net operating long-term assets.</t>
      </text>
    </comment>
    <comment ref="F37" authorId="0" shapeId="0">
      <text>
        <t>NOWC plus net operating long-term assets.</t>
      </text>
    </comment>
    <comment ref="B38" authorId="0" shapeId="0">
      <text>
        <t>Aggregate the classified balance-sheet detail with the classification column.</t>
      </text>
    </comment>
    <comment ref="C38" authorId="0" shapeId="0">
      <text>
        <t>Aggregate the classified balance-sheet detail with the classification column.</t>
      </text>
    </comment>
    <comment ref="D38" authorId="0" shapeId="0">
      <text>
        <t>Aggregate the classified balance-sheet detail with the classification column.</t>
      </text>
    </comment>
    <comment ref="E38" authorId="0" shapeId="0">
      <text>
        <t>Aggregate the classified balance-sheet detail with the classification column.</t>
      </text>
    </comment>
    <comment ref="F38" authorId="0" shapeId="0">
      <text>
        <t>Aggregate the classified balance-sheet detail with the classification column.</t>
      </text>
    </comment>
    <comment ref="B39" authorId="0" shapeId="0">
      <text>
        <t>Aggregate the classified balance-sheet detail with the classification column.</t>
      </text>
    </comment>
    <comment ref="C39" authorId="0" shapeId="0">
      <text>
        <t>Aggregate the classified balance-sheet detail with the classification column.</t>
      </text>
    </comment>
    <comment ref="D39" authorId="0" shapeId="0">
      <text>
        <t>Aggregate the classified balance-sheet detail with the classification column.</t>
      </text>
    </comment>
    <comment ref="E39" authorId="0" shapeId="0">
      <text>
        <t>Aggregate the classified balance-sheet detail with the classification column.</t>
      </text>
    </comment>
    <comment ref="F39" authorId="0" shapeId="0">
      <text>
        <t>Aggregate the classified balance-sheet detail with the classification column.</t>
      </text>
    </comment>
    <comment ref="B40" authorId="0" shapeId="0">
      <text>
        <t>Financial liabilities minus financial assets.</t>
      </text>
    </comment>
    <comment ref="C40" authorId="0" shapeId="0">
      <text>
        <t>Financial liabilities minus financial assets.</t>
      </text>
    </comment>
    <comment ref="D40" authorId="0" shapeId="0">
      <text>
        <t>Financial liabilities minus financial assets.</t>
      </text>
    </comment>
    <comment ref="E40" authorId="0" shapeId="0">
      <text>
        <t>Financial liabilities minus financial assets.</t>
      </text>
    </comment>
    <comment ref="F40" authorId="0" shapeId="0">
      <text>
        <t>Financial liabilities minus financial assets.</t>
      </text>
    </comment>
    <comment ref="B41" authorId="0" shapeId="0">
      <text>
        <t>Use the operating/financing identity linking NOA, Net Debt, and Equity.</t>
      </text>
    </comment>
    <comment ref="C41" authorId="0" shapeId="0">
      <text>
        <t>Use the operating/financing identity linking NOA, Net Debt, and Equity.</t>
      </text>
    </comment>
    <comment ref="D41" authorId="0" shapeId="0">
      <text>
        <t>Use the operating/financing identity linking NOA, Net Debt, and Equity.</t>
      </text>
    </comment>
    <comment ref="E41" authorId="0" shapeId="0">
      <text>
        <t>Use the operating/financing identity linking NOA, Net Debt, and Equity.</t>
      </text>
    </comment>
    <comment ref="F41" authorId="0" shapeId="0">
      <text>
        <t>Use the operating/financing identity linking NOA, Net Debt, and Equity.</t>
      </text>
    </comment>
  </commentList>
</comments>
</file>

<file path=xl/comments/comment2.xml><?xml version="1.0" encoding="utf-8"?>
<comments xmlns="http://schemas.openxmlformats.org/spreadsheetml/2006/main">
  <authors>
    <author>BAV Trainer</author>
  </authors>
  <commentList>
    <comment ref="C5" authorId="0" shapeId="0">
      <text>
        <t>Current Revenue relative to the immediately preceding fiscal year.</t>
      </text>
    </comment>
    <comment ref="D5" authorId="0" shapeId="0">
      <text>
        <t>Current Revenue relative to the immediately preceding fiscal year.</t>
      </text>
    </comment>
    <comment ref="E5" authorId="0" shapeId="0">
      <text>
        <t>Current Revenue relative to the immediately preceding fiscal year.</t>
      </text>
    </comment>
    <comment ref="F5" authorId="0" shapeId="0">
      <text>
        <t>Current Revenue relative to the immediately preceding fiscal year.</t>
      </text>
    </comment>
    <comment ref="B6" authorId="0" shapeId="0">
      <text>
        <t>NOPAT divided by Revenue for the same fiscal period.</t>
      </text>
    </comment>
    <comment ref="C6" authorId="0" shapeId="0">
      <text>
        <t>NOPAT divided by Revenue for the same fiscal period.</t>
      </text>
    </comment>
    <comment ref="D6" authorId="0" shapeId="0">
      <text>
        <t>NOPAT divided by Revenue for the same fiscal period.</t>
      </text>
    </comment>
    <comment ref="E6" authorId="0" shapeId="0">
      <text>
        <t>NOPAT divided by Revenue for the same fiscal period.</t>
      </text>
    </comment>
    <comment ref="F6" authorId="0" shapeId="0">
      <text>
        <t>NOPAT divided by Revenue for the same fiscal period.</t>
      </text>
    </comment>
    <comment ref="C7" authorId="0" shapeId="0">
      <text>
        <t>NOPAT divided by average NOA.</t>
      </text>
    </comment>
    <comment ref="D7" authorId="0" shapeId="0">
      <text>
        <t>NOPAT divided by average NOA.</t>
      </text>
    </comment>
    <comment ref="E7" authorId="0" shapeId="0">
      <text>
        <t>NOPAT divided by average NOA.</t>
      </text>
    </comment>
    <comment ref="F7" authorId="0" shapeId="0">
      <text>
        <t>NOPAT divided by average NOA.</t>
      </text>
    </comment>
    <comment ref="C8" authorId="0" shapeId="0">
      <text>
        <t>Relate net interest after tax to average net debt.</t>
      </text>
    </comment>
    <comment ref="D8" authorId="0" shapeId="0">
      <text>
        <t>Relate net interest after tax to average net debt.</t>
      </text>
    </comment>
    <comment ref="E8" authorId="0" shapeId="0">
      <text>
        <t>Relate net interest after tax to average net debt.</t>
      </text>
    </comment>
    <comment ref="F8" authorId="0" shapeId="0">
      <text>
        <t>Relate net interest after tax to average net debt.</t>
      </text>
    </comment>
    <comment ref="C9" authorId="0" shapeId="0">
      <text>
        <t>Operating return minus after-tax cost of debt.</t>
      </text>
    </comment>
    <comment ref="D9" authorId="0" shapeId="0">
      <text>
        <t>Operating return minus after-tax cost of debt.</t>
      </text>
    </comment>
    <comment ref="E9" authorId="0" shapeId="0">
      <text>
        <t>Operating return minus after-tax cost of debt.</t>
      </text>
    </comment>
    <comment ref="F9" authorId="0" shapeId="0">
      <text>
        <t>Operating return minus after-tax cost of debt.</t>
      </text>
    </comment>
    <comment ref="C10" authorId="0" shapeId="0">
      <text>
        <t>Relate average net debt to average reformulated equity.</t>
      </text>
    </comment>
    <comment ref="D10" authorId="0" shapeId="0">
      <text>
        <t>Relate average net debt to average reformulated equity.</t>
      </text>
    </comment>
    <comment ref="E10" authorId="0" shapeId="0">
      <text>
        <t>Relate average net debt to average reformulated equity.</t>
      </text>
    </comment>
    <comment ref="F10" authorId="0" shapeId="0">
      <text>
        <t>Relate average net debt to average reformulated equity.</t>
      </text>
    </comment>
    <comment ref="C11" authorId="0" shapeId="0">
      <text>
        <t>ROE = RNOA + FLEV × Spread.</t>
      </text>
    </comment>
    <comment ref="D11" authorId="0" shapeId="0">
      <text>
        <t>ROE = RNOA + FLEV × Spread.</t>
      </text>
    </comment>
    <comment ref="E11" authorId="0" shapeId="0">
      <text>
        <t>ROE = RNOA + FLEV × Spread.</t>
      </text>
    </comment>
    <comment ref="F11" authorId="0" shapeId="0">
      <text>
        <t>ROE = RNOA + FLEV × Spread.</t>
      </text>
    </comment>
    <comment ref="C12" authorId="0" shapeId="0">
      <text>
        <t>Relate net income to average reformulated equity.</t>
      </text>
    </comment>
    <comment ref="D12" authorId="0" shapeId="0">
      <text>
        <t>Relate net income to average reformulated equity.</t>
      </text>
    </comment>
    <comment ref="E12" authorId="0" shapeId="0">
      <text>
        <t>Relate net income to average reformulated equity.</t>
      </text>
    </comment>
    <comment ref="F12" authorId="0" shapeId="0">
      <text>
        <t>Relate net income to average reformulated equity.</t>
      </text>
    </comment>
  </commentList>
</comments>
</file>

<file path=xl/comments/comment3.xml><?xml version="1.0" encoding="utf-8"?>
<comments xmlns="http://schemas.openxmlformats.org/spreadsheetml/2006/main">
  <authors>
    <author>BAV Trainer</author>
  </authors>
  <commentList>
    <comment ref="C9" authorId="0" shapeId="0">
      <text>
        <t>Sum the signed pretax add-back for items marked Non-recurring on the Earnings Normalization detail block.</t>
      </text>
    </comment>
    <comment ref="D9" authorId="0" shapeId="0">
      <text>
        <t>Sum the signed pretax add-back for items marked Non-recurring on the Earnings Normalization detail block.</t>
      </text>
    </comment>
    <comment ref="E9" authorId="0" shapeId="0">
      <text>
        <t>Sum the signed pretax add-back for items marked Non-recurring on the Earnings Normalization detail block.</t>
      </text>
    </comment>
    <comment ref="F9" authorId="0" shapeId="0">
      <text>
        <t>Sum the signed pretax add-back for items marked Non-recurring on the Earnings Normalization detail block.</t>
      </text>
    </comment>
    <comment ref="G9" authorId="0" shapeId="0">
      <text>
        <t>Sum the signed pretax add-back for items marked Non-recurring on the Earnings Normalization detail block.</t>
      </text>
    </comment>
    <comment ref="C11" authorId="0" shapeId="0">
      <text>
        <t>Apply the period effective tax rate to the pretax normalization adjustment.</t>
      </text>
    </comment>
    <comment ref="D11" authorId="0" shapeId="0">
      <text>
        <t>Apply the period effective tax rate to the pretax normalization adjustment.</t>
      </text>
    </comment>
    <comment ref="E11" authorId="0" shapeId="0">
      <text>
        <t>Apply the period effective tax rate to the pretax normalization adjustment.</t>
      </text>
    </comment>
    <comment ref="F11" authorId="0" shapeId="0">
      <text>
        <t>Apply the period effective tax rate to the pretax normalization adjustment.</t>
      </text>
    </comment>
    <comment ref="G11" authorId="0" shapeId="0">
      <text>
        <t>Apply the period effective tax rate to the pretax normalization adjustment.</t>
      </text>
    </comment>
    <comment ref="C12" authorId="0" shapeId="0">
      <text>
        <t>Add the after-tax normalization adjustment to reported NOPAT.</t>
      </text>
    </comment>
    <comment ref="D12" authorId="0" shapeId="0">
      <text>
        <t>Add the after-tax normalization adjustment to reported NOPAT.</t>
      </text>
    </comment>
    <comment ref="E12" authorId="0" shapeId="0">
      <text>
        <t>Add the after-tax normalization adjustment to reported NOPAT.</t>
      </text>
    </comment>
    <comment ref="F12" authorId="0" shapeId="0">
      <text>
        <t>Add the after-tax normalization adjustment to reported NOPAT.</t>
      </text>
    </comment>
    <comment ref="G12" authorId="0" shapeId="0">
      <text>
        <t>Add the after-tax normalization adjustment to reported NOPAT.</t>
      </text>
    </comment>
    <comment ref="C13" authorId="0" shapeId="0">
      <text>
        <t>Add the after-tax normalization adjustment to reported Net Income.</t>
      </text>
    </comment>
    <comment ref="D13" authorId="0" shapeId="0">
      <text>
        <t>Add the after-tax normalization adjustment to reported Net Income.</t>
      </text>
    </comment>
    <comment ref="E13" authorId="0" shapeId="0">
      <text>
        <t>Add the after-tax normalization adjustment to reported Net Income.</t>
      </text>
    </comment>
    <comment ref="F13" authorId="0" shapeId="0">
      <text>
        <t>Add the after-tax normalization adjustment to reported Net Income.</t>
      </text>
    </comment>
    <comment ref="G13" authorId="0" shapeId="0">
      <text>
        <t>Add the after-tax normalization adjustment to reported Net Income.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22" customWidth="1" min="4" max="4"/>
    <col width="28" customWidth="1" min="5" max="5"/>
    <col width="28" customWidth="1" min="6" max="6"/>
  </cols>
  <sheetData>
    <row r="1">
      <c r="A1" s="8" t="inlineStr">
        <is>
          <t>BAV Excel Trainer</t>
        </is>
      </c>
    </row>
    <row r="2">
      <c r="A2" s="9" t="inlineStr">
        <is>
          <t>Complete each historical formula schedule left-to-right in dependency order. Run Check to validate the yellow formula cells against the treatment currently selected in Accounting Judgment column F (blank F uses the supplied reference treatment). Generated Condensed Financials classification links are system-controlled and validated by Check—do not edit them or columns D:E. When Normalization Judgment is present, choose Recurring vs Non-recurring in column F (blank uses the supplied reference); Earnings Normalization formulas are checked against that choice. Also complete Accounting Judgment and Normalization Judgment rationale/consequence when cases are present; those responses are not graded by Check. Compare them with the matching Answer Key.</t>
        </is>
      </c>
    </row>
    <row r="4">
      <c r="A4" s="10" t="inlineStr">
        <is>
          <t>Order</t>
        </is>
      </c>
      <c r="B4" s="10" t="inlineStr">
        <is>
          <t>Schedule</t>
        </is>
      </c>
      <c r="C4" s="10" t="inlineStr">
        <is>
          <t>Period scope</t>
        </is>
      </c>
      <c r="D4" s="10" t="inlineStr">
        <is>
          <t>Tab</t>
        </is>
      </c>
      <c r="E4" s="10" t="inlineStr">
        <is>
          <t>Practice cells</t>
        </is>
      </c>
      <c r="F4" s="10" t="inlineStr">
        <is>
          <t>Depends on</t>
        </is>
      </c>
    </row>
    <row r="5">
      <c r="A5" s="9" t="n">
        <v>1</v>
      </c>
      <c r="B5" s="9" t="inlineStr">
        <is>
          <t>Revenue historical source link</t>
        </is>
      </c>
      <c r="C5" s="9" t="inlineStr">
        <is>
          <t>2021–2025 (5 cells)</t>
        </is>
      </c>
      <c r="D5" s="9" t="inlineStr">
        <is>
          <t>Condensed Financials</t>
        </is>
      </c>
      <c r="E5" s="9" t="inlineStr">
        <is>
          <t>B19:F19</t>
        </is>
      </c>
      <c r="F5" s="9" t="inlineStr">
        <is>
          <t>—</t>
        </is>
      </c>
    </row>
    <row r="6">
      <c r="A6" s="9" t="n">
        <v>2</v>
      </c>
      <c r="B6" s="9" t="inlineStr">
        <is>
          <t>Net Income historical source link</t>
        </is>
      </c>
      <c r="C6" s="9" t="inlineStr">
        <is>
          <t>2021–2025 (5 cells)</t>
        </is>
      </c>
      <c r="D6" s="9" t="inlineStr">
        <is>
          <t>Condensed Financials</t>
        </is>
      </c>
      <c r="E6" s="9" t="inlineStr">
        <is>
          <t>B20:F20</t>
        </is>
      </c>
      <c r="F6" s="9" t="inlineStr">
        <is>
          <t>—</t>
        </is>
      </c>
    </row>
    <row r="7">
      <c r="A7" s="9" t="n">
        <v>3</v>
      </c>
      <c r="B7" s="9" t="inlineStr">
        <is>
          <t>Effective tax rate</t>
        </is>
      </c>
      <c r="C7" s="9" t="inlineStr">
        <is>
          <t>2021–2025 (5 cells)</t>
        </is>
      </c>
      <c r="D7" s="9" t="inlineStr">
        <is>
          <t>Condensed Financials</t>
        </is>
      </c>
      <c r="E7" s="9" t="inlineStr">
        <is>
          <t>B25:F25</t>
        </is>
      </c>
      <c r="F7" s="9" t="inlineStr">
        <is>
          <t>—</t>
        </is>
      </c>
    </row>
    <row r="8">
      <c r="A8" s="9" t="n">
        <v>4</v>
      </c>
      <c r="B8" s="9" t="inlineStr">
        <is>
          <t>Net interest</t>
        </is>
      </c>
      <c r="C8" s="9" t="inlineStr">
        <is>
          <t>2021–2025 (5 cells)</t>
        </is>
      </c>
      <c r="D8" s="9" t="inlineStr">
        <is>
          <t>Condensed Financials</t>
        </is>
      </c>
      <c r="E8" s="9" t="inlineStr">
        <is>
          <t>B26:F26</t>
        </is>
      </c>
      <c r="F8" s="9" t="inlineStr">
        <is>
          <t>—</t>
        </is>
      </c>
    </row>
    <row r="9">
      <c r="A9" s="9" t="n">
        <v>5</v>
      </c>
      <c r="B9" s="9" t="inlineStr">
        <is>
          <t>Net interest after tax</t>
        </is>
      </c>
      <c r="C9" s="9" t="inlineStr">
        <is>
          <t>2021–2025 (5 cells)</t>
        </is>
      </c>
      <c r="D9" s="9" t="inlineStr">
        <is>
          <t>Condensed Financials</t>
        </is>
      </c>
      <c r="E9" s="9" t="inlineStr">
        <is>
          <t>B27:F27</t>
        </is>
      </c>
      <c r="F9" s="9" t="inlineStr">
        <is>
          <t>effective_tax_rate_fy, net_interest_fy</t>
        </is>
      </c>
    </row>
    <row r="10">
      <c r="A10" s="9" t="n">
        <v>6</v>
      </c>
      <c r="B10" s="9" t="inlineStr">
        <is>
          <t>NOPAT</t>
        </is>
      </c>
      <c r="C10" s="9" t="inlineStr">
        <is>
          <t>2021–2025 (5 cells)</t>
        </is>
      </c>
      <c r="D10" s="9" t="inlineStr">
        <is>
          <t>Condensed Financials</t>
        </is>
      </c>
      <c r="E10" s="9" t="inlineStr">
        <is>
          <t>B28:F28</t>
        </is>
      </c>
      <c r="F10" s="9" t="inlineStr">
        <is>
          <t>net_income_link, net_interest_after_tax_fy</t>
        </is>
      </c>
    </row>
    <row r="11">
      <c r="A11" s="9" t="n">
        <v>7</v>
      </c>
      <c r="B11" s="9" t="inlineStr">
        <is>
          <t>Operating working capital assets</t>
        </is>
      </c>
      <c r="C11" s="9" t="inlineStr">
        <is>
          <t>2021–2025 (5 cells)</t>
        </is>
      </c>
      <c r="D11" s="9" t="inlineStr">
        <is>
          <t>Condensed Financials</t>
        </is>
      </c>
      <c r="E11" s="9" t="inlineStr">
        <is>
          <t>B31:F31</t>
        </is>
      </c>
      <c r="F11" s="9" t="inlineStr">
        <is>
          <t>—</t>
        </is>
      </c>
    </row>
    <row r="12">
      <c r="A12" s="9" t="n">
        <v>8</v>
      </c>
      <c r="B12" s="9" t="inlineStr">
        <is>
          <t>Operating working capital liabilities</t>
        </is>
      </c>
      <c r="C12" s="9" t="inlineStr">
        <is>
          <t>2021–2025 (5 cells)</t>
        </is>
      </c>
      <c r="D12" s="9" t="inlineStr">
        <is>
          <t>Condensed Financials</t>
        </is>
      </c>
      <c r="E12" s="9" t="inlineStr">
        <is>
          <t>B32:F32</t>
        </is>
      </c>
      <c r="F12" s="9" t="inlineStr">
        <is>
          <t>—</t>
        </is>
      </c>
    </row>
    <row r="13">
      <c r="A13" s="9" t="n">
        <v>9</v>
      </c>
      <c r="B13" s="9" t="inlineStr">
        <is>
          <t>Net Operating Working Capital (NOWC)</t>
        </is>
      </c>
      <c r="C13" s="9" t="inlineStr">
        <is>
          <t>2021–2025 (5 cells)</t>
        </is>
      </c>
      <c r="D13" s="9" t="inlineStr">
        <is>
          <t>Condensed Financials</t>
        </is>
      </c>
      <c r="E13" s="9" t="inlineStr">
        <is>
          <t>B33:F33</t>
        </is>
      </c>
      <c r="F13" s="9" t="inlineStr">
        <is>
          <t>owca_agg, owcl_agg</t>
        </is>
      </c>
    </row>
    <row r="14">
      <c r="A14" s="9" t="n">
        <v>10</v>
      </c>
      <c r="B14" s="9" t="inlineStr">
        <is>
          <t>Operating long-term assets</t>
        </is>
      </c>
      <c r="C14" s="9" t="inlineStr">
        <is>
          <t>2021–2025 (5 cells)</t>
        </is>
      </c>
      <c r="D14" s="9" t="inlineStr">
        <is>
          <t>Condensed Financials</t>
        </is>
      </c>
      <c r="E14" s="9" t="inlineStr">
        <is>
          <t>B34:F34</t>
        </is>
      </c>
      <c r="F14" s="9" t="inlineStr">
        <is>
          <t>—</t>
        </is>
      </c>
    </row>
    <row r="15">
      <c r="A15" s="9" t="n">
        <v>11</v>
      </c>
      <c r="B15" s="9" t="inlineStr">
        <is>
          <t>Operating long-term liabilities</t>
        </is>
      </c>
      <c r="C15" s="9" t="inlineStr">
        <is>
          <t>2021–2025 (5 cells)</t>
        </is>
      </c>
      <c r="D15" s="9" t="inlineStr">
        <is>
          <t>Condensed Financials</t>
        </is>
      </c>
      <c r="E15" s="9" t="inlineStr">
        <is>
          <t>B35:F35</t>
        </is>
      </c>
      <c r="F15" s="9" t="inlineStr">
        <is>
          <t>—</t>
        </is>
      </c>
    </row>
    <row r="16">
      <c r="A16" s="9" t="n">
        <v>12</v>
      </c>
      <c r="B16" s="9" t="inlineStr">
        <is>
          <t>Net operating long-term assets (NOLA)</t>
        </is>
      </c>
      <c r="C16" s="9" t="inlineStr">
        <is>
          <t>2021–2025 (5 cells)</t>
        </is>
      </c>
      <c r="D16" s="9" t="inlineStr">
        <is>
          <t>Condensed Financials</t>
        </is>
      </c>
      <c r="E16" s="9" t="inlineStr">
        <is>
          <t>B36:F36</t>
        </is>
      </c>
      <c r="F16" s="9" t="inlineStr">
        <is>
          <t>olta_agg, oltl_agg</t>
        </is>
      </c>
    </row>
    <row r="17">
      <c r="A17" s="9" t="n">
        <v>13</v>
      </c>
      <c r="B17" s="9" t="inlineStr">
        <is>
          <t>Net Operating Assets (NOA)</t>
        </is>
      </c>
      <c r="C17" s="9" t="inlineStr">
        <is>
          <t>2021–2025 (5 cells)</t>
        </is>
      </c>
      <c r="D17" s="9" t="inlineStr">
        <is>
          <t>Condensed Financials</t>
        </is>
      </c>
      <c r="E17" s="9" t="inlineStr">
        <is>
          <t>B37:F37</t>
        </is>
      </c>
      <c r="F17" s="9" t="inlineStr">
        <is>
          <t>nowc_agg, nola_agg</t>
        </is>
      </c>
    </row>
    <row r="18">
      <c r="A18" s="9" t="n">
        <v>14</v>
      </c>
      <c r="B18" s="9" t="inlineStr">
        <is>
          <t>Financial assets</t>
        </is>
      </c>
      <c r="C18" s="9" t="inlineStr">
        <is>
          <t>2021–2025 (5 cells)</t>
        </is>
      </c>
      <c r="D18" s="9" t="inlineStr">
        <is>
          <t>Condensed Financials</t>
        </is>
      </c>
      <c r="E18" s="9" t="inlineStr">
        <is>
          <t>B38:F38</t>
        </is>
      </c>
      <c r="F18" s="9" t="inlineStr">
        <is>
          <t>—</t>
        </is>
      </c>
    </row>
    <row r="19">
      <c r="A19" s="9" t="n">
        <v>15</v>
      </c>
      <c r="B19" s="9" t="inlineStr">
        <is>
          <t>Financial liabilities</t>
        </is>
      </c>
      <c r="C19" s="9" t="inlineStr">
        <is>
          <t>2021–2025 (5 cells)</t>
        </is>
      </c>
      <c r="D19" s="9" t="inlineStr">
        <is>
          <t>Condensed Financials</t>
        </is>
      </c>
      <c r="E19" s="9" t="inlineStr">
        <is>
          <t>B39:F39</t>
        </is>
      </c>
      <c r="F19" s="9" t="inlineStr">
        <is>
          <t>—</t>
        </is>
      </c>
    </row>
    <row r="20">
      <c r="A20" s="9" t="n">
        <v>16</v>
      </c>
      <c r="B20" s="9" t="inlineStr">
        <is>
          <t>Net Debt</t>
        </is>
      </c>
      <c r="C20" s="9" t="inlineStr">
        <is>
          <t>2021–2025 (5 cells)</t>
        </is>
      </c>
      <c r="D20" s="9" t="inlineStr">
        <is>
          <t>Condensed Financials</t>
        </is>
      </c>
      <c r="E20" s="9" t="inlineStr">
        <is>
          <t>B40:F40</t>
        </is>
      </c>
      <c r="F20" s="9" t="inlineStr">
        <is>
          <t>financial_assets_agg, financial_liabilities_agg</t>
        </is>
      </c>
    </row>
    <row r="21">
      <c r="A21" s="9" t="n">
        <v>17</v>
      </c>
      <c r="B21" s="9" t="inlineStr">
        <is>
          <t>Reformulated equity</t>
        </is>
      </c>
      <c r="C21" s="9" t="inlineStr">
        <is>
          <t>2021–2025 (5 cells)</t>
        </is>
      </c>
      <c r="D21" s="9" t="inlineStr">
        <is>
          <t>Condensed Financials</t>
        </is>
      </c>
      <c r="E21" s="9" t="inlineStr">
        <is>
          <t>B41:F41</t>
        </is>
      </c>
      <c r="F21" s="9" t="inlineStr">
        <is>
          <t>noa_agg, net_debt</t>
        </is>
      </c>
    </row>
    <row r="22">
      <c r="A22" s="9" t="n">
        <v>18</v>
      </c>
      <c r="B22" s="9" t="inlineStr">
        <is>
          <t>Sales Growth</t>
        </is>
      </c>
      <c r="C22" s="9" t="inlineStr">
        <is>
          <t>2022–2025 (4 cells)</t>
        </is>
      </c>
      <c r="D22" s="9" t="inlineStr">
        <is>
          <t>ALT DuPont</t>
        </is>
      </c>
      <c r="E22" s="9" t="inlineStr">
        <is>
          <t>C5:F5</t>
        </is>
      </c>
      <c r="F22" s="9" t="inlineStr">
        <is>
          <t>revenue_link</t>
        </is>
      </c>
    </row>
    <row r="23">
      <c r="A23" s="9" t="n">
        <v>19</v>
      </c>
      <c r="B23" s="9" t="inlineStr">
        <is>
          <t>NOPAT Margin</t>
        </is>
      </c>
      <c r="C23" s="9" t="inlineStr">
        <is>
          <t>2021–2025 (5 cells)</t>
        </is>
      </c>
      <c r="D23" s="9" t="inlineStr">
        <is>
          <t>ALT DuPont</t>
        </is>
      </c>
      <c r="E23" s="9" t="inlineStr">
        <is>
          <t>B6:F6</t>
        </is>
      </c>
      <c r="F23" s="9" t="inlineStr">
        <is>
          <t>nopat_fy, revenue_link</t>
        </is>
      </c>
    </row>
    <row r="24">
      <c r="A24" s="9" t="n">
        <v>20</v>
      </c>
      <c r="B24" s="9" t="inlineStr">
        <is>
          <t>Return on Net Operating Assets (RNOA)</t>
        </is>
      </c>
      <c r="C24" s="9" t="inlineStr">
        <is>
          <t>2022–2025 (4 cells)</t>
        </is>
      </c>
      <c r="D24" s="9" t="inlineStr">
        <is>
          <t>ALT DuPont</t>
        </is>
      </c>
      <c r="E24" s="9" t="inlineStr">
        <is>
          <t>C7:F7</t>
        </is>
      </c>
      <c r="F24" s="9" t="inlineStr">
        <is>
          <t>nopat_fy, noa_agg</t>
        </is>
      </c>
    </row>
    <row r="25">
      <c r="A25" s="9" t="n">
        <v>21</v>
      </c>
      <c r="B25" s="9" t="inlineStr">
        <is>
          <t>After-tax cost of debt</t>
        </is>
      </c>
      <c r="C25" s="9" t="inlineStr">
        <is>
          <t>2022–2025 (4 cells)</t>
        </is>
      </c>
      <c r="D25" s="9" t="inlineStr">
        <is>
          <t>ALT DuPont</t>
        </is>
      </c>
      <c r="E25" s="9" t="inlineStr">
        <is>
          <t>C8:F8</t>
        </is>
      </c>
      <c r="F25" s="9" t="inlineStr">
        <is>
          <t>net_interest_after_tax_fy, net_debt</t>
        </is>
      </c>
    </row>
    <row r="26">
      <c r="A26" s="9" t="n">
        <v>22</v>
      </c>
      <c r="B26" s="9" t="inlineStr">
        <is>
          <t>Operating Spread (RNOA − After-tax CoD)</t>
        </is>
      </c>
      <c r="C26" s="9" t="inlineStr">
        <is>
          <t>2022–2025 (4 cells)</t>
        </is>
      </c>
      <c r="D26" s="9" t="inlineStr">
        <is>
          <t>ALT DuPont</t>
        </is>
      </c>
      <c r="E26" s="9" t="inlineStr">
        <is>
          <t>C9:F9</t>
        </is>
      </c>
      <c r="F26" s="9" t="inlineStr">
        <is>
          <t>rnoa, after_tax_cod</t>
        </is>
      </c>
    </row>
    <row r="27">
      <c r="A27" s="9" t="n">
        <v>23</v>
      </c>
      <c r="B27" s="9" t="inlineStr">
        <is>
          <t>Financial leverage (FLEV)</t>
        </is>
      </c>
      <c r="C27" s="9" t="inlineStr">
        <is>
          <t>2022–2025 (4 cells)</t>
        </is>
      </c>
      <c r="D27" s="9" t="inlineStr">
        <is>
          <t>ALT DuPont</t>
        </is>
      </c>
      <c r="E27" s="9" t="inlineStr">
        <is>
          <t>C10:F10</t>
        </is>
      </c>
      <c r="F27" s="9" t="inlineStr">
        <is>
          <t>net_debt, equity_reformulated_fy</t>
        </is>
      </c>
    </row>
    <row r="28">
      <c r="A28" s="9" t="n">
        <v>24</v>
      </c>
      <c r="B28" s="9" t="inlineStr">
        <is>
          <t>ROE decomposition</t>
        </is>
      </c>
      <c r="C28" s="9" t="inlineStr">
        <is>
          <t>2022–2025 (4 cells)</t>
        </is>
      </c>
      <c r="D28" s="9" t="inlineStr">
        <is>
          <t>ALT DuPont</t>
        </is>
      </c>
      <c r="E28" s="9" t="inlineStr">
        <is>
          <t>C11:F11</t>
        </is>
      </c>
      <c r="F28" s="9" t="inlineStr">
        <is>
          <t>rnoa, spread, flev</t>
        </is>
      </c>
    </row>
    <row r="29">
      <c r="A29" s="9" t="n">
        <v>25</v>
      </c>
      <c r="B29" s="9" t="inlineStr">
        <is>
          <t>Actual ROE</t>
        </is>
      </c>
      <c r="C29" s="9" t="inlineStr">
        <is>
          <t>2022–2025 (4 cells)</t>
        </is>
      </c>
      <c r="D29" s="9" t="inlineStr">
        <is>
          <t>ALT DuPont</t>
        </is>
      </c>
      <c r="E29" s="9" t="inlineStr">
        <is>
          <t>C12:F12</t>
        </is>
      </c>
      <c r="F29" s="9" t="inlineStr">
        <is>
          <t>net_income_link, equity_reformulated_fy</t>
        </is>
      </c>
    </row>
    <row r="30">
      <c r="A30" s="9" t="n">
        <v>26</v>
      </c>
      <c r="B30" s="9" t="inlineStr">
        <is>
          <t>Pretax normalization adjustment</t>
        </is>
      </c>
      <c r="C30" s="9" t="inlineStr">
        <is>
          <t>2021–2025 (5 cells)</t>
        </is>
      </c>
      <c r="D30" s="9" t="inlineStr">
        <is>
          <t>Earnings Normalization</t>
        </is>
      </c>
      <c r="E30" s="9" t="inlineStr">
        <is>
          <t>C9:G9</t>
        </is>
      </c>
      <c r="F30" s="9" t="inlineStr">
        <is>
          <t>—</t>
        </is>
      </c>
    </row>
    <row r="31">
      <c r="A31" s="9" t="n">
        <v>27</v>
      </c>
      <c r="B31" s="9" t="inlineStr">
        <is>
          <t>After-tax normalization adjustment</t>
        </is>
      </c>
      <c r="C31" s="9" t="inlineStr">
        <is>
          <t>2021–2025 (5 cells)</t>
        </is>
      </c>
      <c r="D31" s="9" t="inlineStr">
        <is>
          <t>Earnings Normalization</t>
        </is>
      </c>
      <c r="E31" s="9" t="inlineStr">
        <is>
          <t>C11:G11</t>
        </is>
      </c>
      <c r="F31" s="9" t="inlineStr">
        <is>
          <t>pretax_normalization_adjustment</t>
        </is>
      </c>
    </row>
    <row r="32">
      <c r="A32" s="9" t="n">
        <v>28</v>
      </c>
      <c r="B32" s="9" t="inlineStr">
        <is>
          <t>Normalized NOPAT</t>
        </is>
      </c>
      <c r="C32" s="9" t="inlineStr">
        <is>
          <t>2021–2025 (5 cells)</t>
        </is>
      </c>
      <c r="D32" s="9" t="inlineStr">
        <is>
          <t>Earnings Normalization</t>
        </is>
      </c>
      <c r="E32" s="9" t="inlineStr">
        <is>
          <t>C12:G12</t>
        </is>
      </c>
      <c r="F32" s="9" t="inlineStr">
        <is>
          <t>after_tax_normalization_adjustment</t>
        </is>
      </c>
    </row>
    <row r="33">
      <c r="A33" s="9" t="n">
        <v>29</v>
      </c>
      <c r="B33" s="9" t="inlineStr">
        <is>
          <t>Normalized Net Income</t>
        </is>
      </c>
      <c r="C33" s="9" t="inlineStr">
        <is>
          <t>2021–2025 (5 cells)</t>
        </is>
      </c>
      <c r="D33" s="9" t="inlineStr">
        <is>
          <t>Earnings Normalization</t>
        </is>
      </c>
      <c r="E33" s="9" t="inlineStr">
        <is>
          <t>C13:G13</t>
        </is>
      </c>
      <c r="F33" s="9" t="inlineStr">
        <is>
          <t>after_tax_normalization_adjustment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Company: Demo Holdings Limited (DEMO)</t>
        </is>
      </c>
    </row>
    <row r="2">
      <c r="A2" s="12" t="inlineStr">
        <is>
          <t>Statement: Income Statement</t>
        </is>
      </c>
    </row>
    <row r="3">
      <c r="A3" s="12" t="inlineStr">
        <is>
          <t>Units: HKD in Millions</t>
        </is>
      </c>
    </row>
    <row r="4">
      <c r="A4" s="12" t="inlineStr">
        <is>
          <t>Source: manual ingestion (HK)</t>
        </is>
      </c>
    </row>
    <row r="5"/>
    <row r="6">
      <c r="A6" s="10" t="inlineStr">
        <is>
          <t>Line Item</t>
        </is>
      </c>
      <c r="B6" s="13" t="n">
        <v>44561</v>
      </c>
      <c r="C6" s="13" t="n">
        <v>44926</v>
      </c>
      <c r="D6" s="13" t="n">
        <v>45291</v>
      </c>
      <c r="E6" s="13" t="n">
        <v>45657</v>
      </c>
      <c r="F6" s="13" t="n">
        <v>46022</v>
      </c>
    </row>
    <row r="7">
      <c r="A7" s="9" t="inlineStr">
        <is>
          <t>Revenue</t>
        </is>
      </c>
      <c r="B7" s="14" t="n">
        <v>8500</v>
      </c>
      <c r="C7" s="14" t="n">
        <v>9200</v>
      </c>
      <c r="D7" s="14" t="n">
        <v>10100</v>
      </c>
      <c r="E7" s="14" t="n">
        <v>11200</v>
      </c>
      <c r="F7" s="14" t="n">
        <v>12500</v>
      </c>
    </row>
    <row r="8">
      <c r="A8" s="12" t="inlineStr">
        <is>
          <t>Cost of sales</t>
        </is>
      </c>
      <c r="B8" s="15" t="n">
        <v>-3400</v>
      </c>
      <c r="C8" s="15" t="n">
        <v>-3680</v>
      </c>
      <c r="D8" s="15" t="n">
        <v>-4040</v>
      </c>
      <c r="E8" s="15" t="n">
        <v>-4480</v>
      </c>
      <c r="F8" s="15" t="n">
        <v>-5000</v>
      </c>
    </row>
    <row r="9">
      <c r="A9" s="12" t="inlineStr">
        <is>
          <t>Gross profit</t>
        </is>
      </c>
      <c r="B9" s="15" t="n">
        <v>5100</v>
      </c>
      <c r="C9" s="15" t="n">
        <v>5520</v>
      </c>
      <c r="D9" s="15" t="n">
        <v>6060</v>
      </c>
      <c r="E9" s="15" t="n">
        <v>6720</v>
      </c>
      <c r="F9" s="15" t="n">
        <v>7500</v>
      </c>
    </row>
    <row r="10">
      <c r="A10" s="12" t="inlineStr">
        <is>
          <t>Administrative expenses</t>
        </is>
      </c>
      <c r="B10" s="15" t="n">
        <v>-1700</v>
      </c>
      <c r="C10" s="15" t="n">
        <v>-1840</v>
      </c>
      <c r="D10" s="15" t="n">
        <v>-1820</v>
      </c>
      <c r="E10" s="15" t="n">
        <v>-2240</v>
      </c>
      <c r="F10" s="15" t="n">
        <v>-2500</v>
      </c>
    </row>
    <row r="11">
      <c r="A11" s="12" t="inlineStr">
        <is>
          <t>Restructuring expense</t>
        </is>
      </c>
      <c r="B11" s="15" t="n">
        <v>0</v>
      </c>
      <c r="C11" s="15" t="n">
        <v>0</v>
      </c>
      <c r="D11" s="15" t="n">
        <v>-200</v>
      </c>
      <c r="E11" s="15" t="n">
        <v>0</v>
      </c>
      <c r="F11" s="15" t="n">
        <v>0</v>
      </c>
    </row>
    <row r="12">
      <c r="A12" s="12" t="inlineStr">
        <is>
          <t>Operating profit</t>
        </is>
      </c>
      <c r="B12" s="15" t="n">
        <v>3400</v>
      </c>
      <c r="C12" s="15" t="n">
        <v>3680</v>
      </c>
      <c r="D12" s="15" t="n">
        <v>4040</v>
      </c>
      <c r="E12" s="15" t="n">
        <v>4480</v>
      </c>
      <c r="F12" s="15" t="n">
        <v>5000</v>
      </c>
    </row>
    <row r="13">
      <c r="A13" s="12" t="inlineStr">
        <is>
          <t>Finance costs</t>
        </is>
      </c>
      <c r="B13" s="15" t="n">
        <v>-120</v>
      </c>
      <c r="C13" s="15" t="n">
        <v>-130</v>
      </c>
      <c r="D13" s="15" t="n">
        <v>-140</v>
      </c>
      <c r="E13" s="15" t="n">
        <v>-150</v>
      </c>
      <c r="F13" s="15" t="n">
        <v>-160</v>
      </c>
    </row>
    <row r="14">
      <c r="A14" s="12" t="inlineStr">
        <is>
          <t>Finance income</t>
        </is>
      </c>
      <c r="B14" s="15" t="n">
        <v>45</v>
      </c>
      <c r="C14" s="15" t="n">
        <v>50</v>
      </c>
      <c r="D14" s="15" t="n">
        <v>55</v>
      </c>
      <c r="E14" s="15" t="n">
        <v>60</v>
      </c>
      <c r="F14" s="15" t="n">
        <v>65</v>
      </c>
    </row>
    <row r="15">
      <c r="A15" s="12" t="inlineStr">
        <is>
          <t>Profit before tax</t>
        </is>
      </c>
      <c r="B15" s="15" t="n">
        <v>3325</v>
      </c>
      <c r="C15" s="15" t="n">
        <v>3600</v>
      </c>
      <c r="D15" s="15" t="n">
        <v>3955</v>
      </c>
      <c r="E15" s="15" t="n">
        <v>4390</v>
      </c>
      <c r="F15" s="15" t="n">
        <v>4905</v>
      </c>
    </row>
    <row r="16">
      <c r="A16" s="12" t="inlineStr">
        <is>
          <t>Income tax expense</t>
        </is>
      </c>
      <c r="B16" s="15" t="n">
        <v>-565</v>
      </c>
      <c r="C16" s="15" t="n">
        <v>-612</v>
      </c>
      <c r="D16" s="15" t="n">
        <v>-672</v>
      </c>
      <c r="E16" s="15" t="n">
        <v>-746</v>
      </c>
      <c r="F16" s="15" t="n">
        <v>-833</v>
      </c>
    </row>
    <row r="17">
      <c r="A17" s="12" t="inlineStr">
        <is>
          <t>Profit for the year</t>
        </is>
      </c>
      <c r="B17" s="15" t="n">
        <v>2760</v>
      </c>
      <c r="C17" s="15" t="n">
        <v>2988</v>
      </c>
      <c r="D17" s="15" t="n">
        <v>3283</v>
      </c>
      <c r="E17" s="15" t="n">
        <v>3644</v>
      </c>
      <c r="F17" s="15" t="n">
        <v>4072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Company: Demo Holdings Limited (DEMO)</t>
        </is>
      </c>
    </row>
    <row r="2">
      <c r="A2" s="12" t="inlineStr">
        <is>
          <t>Statement: Balance Sheet</t>
        </is>
      </c>
    </row>
    <row r="3">
      <c r="A3" s="12" t="inlineStr">
        <is>
          <t>Units: HKD in Millions</t>
        </is>
      </c>
    </row>
    <row r="4">
      <c r="A4" s="12" t="inlineStr">
        <is>
          <t>Source: manual ingestion (HK)</t>
        </is>
      </c>
    </row>
    <row r="5"/>
    <row r="6">
      <c r="A6" s="10" t="inlineStr">
        <is>
          <t>Line Item</t>
        </is>
      </c>
      <c r="B6" s="13" t="n">
        <v>44561</v>
      </c>
      <c r="C6" s="13" t="n">
        <v>44926</v>
      </c>
      <c r="D6" s="13" t="n">
        <v>45291</v>
      </c>
      <c r="E6" s="13" t="n">
        <v>45657</v>
      </c>
      <c r="F6" s="13" t="n">
        <v>46022</v>
      </c>
    </row>
    <row r="7">
      <c r="A7" s="12" t="inlineStr">
        <is>
          <t>Cash and cash equivalents</t>
        </is>
      </c>
      <c r="B7" s="15" t="n">
        <v>1200</v>
      </c>
      <c r="C7" s="15" t="n">
        <v>1350</v>
      </c>
      <c r="D7" s="15" t="n">
        <v>1500</v>
      </c>
      <c r="E7" s="15" t="n">
        <v>1680</v>
      </c>
      <c r="F7" s="15" t="n">
        <v>1850</v>
      </c>
    </row>
    <row r="8">
      <c r="A8" s="12" t="inlineStr">
        <is>
          <t>Trade receivables</t>
        </is>
      </c>
      <c r="B8" s="15" t="n">
        <v>850</v>
      </c>
      <c r="C8" s="15" t="n">
        <v>920</v>
      </c>
      <c r="D8" s="15" t="n">
        <v>1010</v>
      </c>
      <c r="E8" s="15" t="n">
        <v>1120</v>
      </c>
      <c r="F8" s="15" t="n">
        <v>1250</v>
      </c>
    </row>
    <row r="9">
      <c r="A9" s="9" t="inlineStr">
        <is>
          <t>Inventories</t>
        </is>
      </c>
      <c r="B9" s="14" t="n">
        <v>680</v>
      </c>
      <c r="C9" s="14" t="n">
        <v>736</v>
      </c>
      <c r="D9" s="14" t="n">
        <v>808</v>
      </c>
      <c r="E9" s="14" t="n">
        <v>896</v>
      </c>
      <c r="F9" s="14" t="n">
        <v>1000</v>
      </c>
    </row>
    <row r="10">
      <c r="A10" s="12" t="inlineStr">
        <is>
          <t>Property, plant and equipment</t>
        </is>
      </c>
      <c r="B10" s="15" t="n">
        <v>3200</v>
      </c>
      <c r="C10" s="15" t="n">
        <v>3400</v>
      </c>
      <c r="D10" s="15" t="n">
        <v>3600</v>
      </c>
      <c r="E10" s="15" t="n">
        <v>3800</v>
      </c>
      <c r="F10" s="15" t="n">
        <v>4000</v>
      </c>
    </row>
    <row r="11">
      <c r="A11" s="9" t="inlineStr">
        <is>
          <t>Goodwill</t>
        </is>
      </c>
      <c r="B11" s="14" t="n">
        <v>900</v>
      </c>
      <c r="C11" s="14" t="n">
        <v>900</v>
      </c>
      <c r="D11" s="14" t="n">
        <v>900</v>
      </c>
      <c r="E11" s="14" t="n">
        <v>900</v>
      </c>
      <c r="F11" s="14" t="n">
        <v>900</v>
      </c>
    </row>
    <row r="12">
      <c r="A12" s="12" t="inlineStr">
        <is>
          <t>Other non-current assets</t>
        </is>
      </c>
      <c r="B12" s="15" t="n">
        <v>1670</v>
      </c>
      <c r="C12" s="15" t="n">
        <v>1894</v>
      </c>
      <c r="D12" s="15" t="n">
        <v>2282</v>
      </c>
      <c r="E12" s="15" t="n">
        <v>2804</v>
      </c>
      <c r="F12" s="15" t="n">
        <v>3500</v>
      </c>
    </row>
    <row r="13">
      <c r="A13" s="12" t="inlineStr">
        <is>
          <t>Total assets</t>
        </is>
      </c>
      <c r="B13" s="15" t="n">
        <v>8500</v>
      </c>
      <c r="C13" s="15" t="n">
        <v>9200</v>
      </c>
      <c r="D13" s="15" t="n">
        <v>10100</v>
      </c>
      <c r="E13" s="15" t="n">
        <v>11200</v>
      </c>
      <c r="F13" s="15" t="n">
        <v>12500</v>
      </c>
    </row>
    <row r="14">
      <c r="A14" s="12" t="inlineStr">
        <is>
          <t>Trade payables</t>
        </is>
      </c>
      <c r="B14" s="15" t="n">
        <v>595</v>
      </c>
      <c r="C14" s="15" t="n">
        <v>644</v>
      </c>
      <c r="D14" s="15" t="n">
        <v>707</v>
      </c>
      <c r="E14" s="15" t="n">
        <v>784</v>
      </c>
      <c r="F14" s="15" t="n">
        <v>875</v>
      </c>
    </row>
    <row r="15">
      <c r="A15" s="12" t="inlineStr">
        <is>
          <t>Bank borrowings</t>
        </is>
      </c>
      <c r="B15" s="15" t="n">
        <v>1500</v>
      </c>
      <c r="C15" s="15" t="n">
        <v>1400</v>
      </c>
      <c r="D15" s="15" t="n">
        <v>1300</v>
      </c>
      <c r="E15" s="15" t="n">
        <v>1200</v>
      </c>
      <c r="F15" s="15" t="n">
        <v>1100</v>
      </c>
    </row>
    <row r="16">
      <c r="A16" s="12" t="inlineStr">
        <is>
          <t>Operating lease liabilities</t>
        </is>
      </c>
      <c r="B16" s="15" t="n">
        <v>300</v>
      </c>
      <c r="C16" s="15" t="n">
        <v>320</v>
      </c>
      <c r="D16" s="15" t="n">
        <v>340</v>
      </c>
      <c r="E16" s="15" t="n">
        <v>360</v>
      </c>
      <c r="F16" s="15" t="n">
        <v>380</v>
      </c>
    </row>
    <row r="17">
      <c r="A17" s="12" t="inlineStr">
        <is>
          <t>Other non-current liabilities</t>
        </is>
      </c>
      <c r="B17" s="15" t="n">
        <v>1005</v>
      </c>
      <c r="C17" s="15" t="n">
        <v>1136</v>
      </c>
      <c r="D17" s="15" t="n">
        <v>1253</v>
      </c>
      <c r="E17" s="15" t="n">
        <v>1356</v>
      </c>
      <c r="F17" s="15" t="n">
        <v>1445</v>
      </c>
    </row>
    <row r="18">
      <c r="A18" s="12" t="inlineStr">
        <is>
          <t>Total liabilities</t>
        </is>
      </c>
      <c r="B18" s="15" t="n">
        <v>3400</v>
      </c>
      <c r="C18" s="15" t="n">
        <v>3500</v>
      </c>
      <c r="D18" s="15" t="n">
        <v>3600</v>
      </c>
      <c r="E18" s="15" t="n">
        <v>3700</v>
      </c>
      <c r="F18" s="15" t="n">
        <v>3800</v>
      </c>
    </row>
    <row r="19">
      <c r="A19" s="12" t="inlineStr">
        <is>
          <t>Share capital and reserves</t>
        </is>
      </c>
      <c r="B19" s="15" t="n">
        <v>5100</v>
      </c>
      <c r="C19" s="15" t="n">
        <v>5700</v>
      </c>
      <c r="D19" s="15" t="n">
        <v>6500</v>
      </c>
      <c r="E19" s="15" t="n">
        <v>7500</v>
      </c>
      <c r="F19" s="15" t="n">
        <v>8700</v>
      </c>
    </row>
    <row r="20">
      <c r="A20" s="12" t="inlineStr">
        <is>
          <t>Total equity</t>
        </is>
      </c>
      <c r="B20" s="15" t="n">
        <v>5100</v>
      </c>
      <c r="C20" s="15" t="n">
        <v>5700</v>
      </c>
      <c r="D20" s="15" t="n">
        <v>6500</v>
      </c>
      <c r="E20" s="15" t="n">
        <v>7500</v>
      </c>
      <c r="F20" s="15" t="n">
        <v>8700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Company: Demo Holdings Limited (DEMO)</t>
        </is>
      </c>
    </row>
    <row r="2">
      <c r="A2" s="12" t="inlineStr">
        <is>
          <t>Statement: Cash Flow Statement</t>
        </is>
      </c>
    </row>
    <row r="3">
      <c r="A3" s="12" t="inlineStr">
        <is>
          <t>Units: HKD in Millions</t>
        </is>
      </c>
    </row>
    <row r="4">
      <c r="A4" s="12" t="inlineStr">
        <is>
          <t>Source: manual ingestion (HK)</t>
        </is>
      </c>
    </row>
    <row r="5"/>
    <row r="6">
      <c r="A6" s="10" t="inlineStr">
        <is>
          <t>Line Item</t>
        </is>
      </c>
      <c r="B6" s="13" t="n">
        <v>44561</v>
      </c>
      <c r="C6" s="13" t="n">
        <v>44926</v>
      </c>
      <c r="D6" s="13" t="n">
        <v>45291</v>
      </c>
      <c r="E6" s="13" t="n">
        <v>45657</v>
      </c>
      <c r="F6" s="13" t="n">
        <v>46022</v>
      </c>
    </row>
    <row r="7">
      <c r="A7" s="12" t="inlineStr">
        <is>
          <t>Profit for the year</t>
        </is>
      </c>
      <c r="B7" s="15" t="n">
        <v>2760</v>
      </c>
      <c r="C7" s="15" t="n">
        <v>2988</v>
      </c>
      <c r="D7" s="15" t="n">
        <v>3283</v>
      </c>
      <c r="E7" s="15" t="n">
        <v>3644</v>
      </c>
      <c r="F7" s="15" t="n">
        <v>4072</v>
      </c>
    </row>
    <row r="8">
      <c r="A8" s="12" t="inlineStr">
        <is>
          <t>Depreciation and amortisation</t>
        </is>
      </c>
      <c r="B8" s="15" t="n">
        <v>340</v>
      </c>
      <c r="C8" s="15" t="n">
        <v>368</v>
      </c>
      <c r="D8" s="15" t="n">
        <v>404</v>
      </c>
      <c r="E8" s="15" t="n">
        <v>448</v>
      </c>
      <c r="F8" s="15" t="n">
        <v>500</v>
      </c>
    </row>
    <row r="9">
      <c r="A9" s="12" t="inlineStr">
        <is>
          <t>Net cash from operating activities</t>
        </is>
      </c>
      <c r="B9" s="15" t="n">
        <v>1450</v>
      </c>
      <c r="C9" s="15" t="n">
        <v>1600</v>
      </c>
      <c r="D9" s="15" t="n">
        <v>1750</v>
      </c>
      <c r="E9" s="15" t="n">
        <v>1930</v>
      </c>
      <c r="F9" s="15" t="n">
        <v>2070</v>
      </c>
    </row>
    <row r="10">
      <c r="A10" s="12" t="inlineStr">
        <is>
          <t>Net cash used in investing activities</t>
        </is>
      </c>
      <c r="B10" s="15" t="n">
        <v>-800</v>
      </c>
      <c r="C10" s="15" t="n">
        <v>-850</v>
      </c>
      <c r="D10" s="15" t="n">
        <v>-900</v>
      </c>
      <c r="E10" s="15" t="n">
        <v>-950</v>
      </c>
      <c r="F10" s="15" t="n">
        <v>-1000</v>
      </c>
    </row>
    <row r="11">
      <c r="A11" s="12" t="inlineStr">
        <is>
          <t>Net cash from financing activities</t>
        </is>
      </c>
      <c r="B11" s="15" t="n">
        <v>-500</v>
      </c>
      <c r="C11" s="15" t="n">
        <v>-600</v>
      </c>
      <c r="D11" s="15" t="n">
        <v>-700</v>
      </c>
      <c r="E11" s="15" t="n">
        <v>-800</v>
      </c>
      <c r="F11" s="15" t="n">
        <v>-900</v>
      </c>
    </row>
    <row r="12">
      <c r="A12" s="12" t="inlineStr">
        <is>
          <t>Net change in cash and cash equivalents</t>
        </is>
      </c>
      <c r="B12" s="15" t="n">
        <v>150</v>
      </c>
      <c r="C12" s="15" t="n">
        <v>150</v>
      </c>
      <c r="D12" s="15" t="n">
        <v>150</v>
      </c>
      <c r="E12" s="15" t="n">
        <v>180</v>
      </c>
      <c r="F12" s="15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2" customWidth="1" min="8" max="8"/>
  </cols>
  <sheetData>
    <row r="1">
      <c r="A1" s="11" t="inlineStr">
        <is>
          <t>Demo Holdings Limited (DEMO) — Condensed Financials</t>
        </is>
      </c>
    </row>
    <row r="2"/>
    <row r="3"/>
    <row r="4">
      <c r="A4" s="10" t="inlineStr">
        <is>
          <t>BALANCE SHEET CLASSIFICATION</t>
        </is>
      </c>
    </row>
    <row r="5">
      <c r="A5" s="10" t="inlineStr">
        <is>
          <t>Line Item</t>
        </is>
      </c>
      <c r="B5" s="10" t="inlineStr">
        <is>
          <t>Classification</t>
        </is>
      </c>
      <c r="C5" s="13" t="n">
        <v>44561</v>
      </c>
      <c r="D5" s="13" t="n">
        <v>44926</v>
      </c>
      <c r="E5" s="13" t="n">
        <v>45291</v>
      </c>
      <c r="F5" s="13" t="n">
        <v>45657</v>
      </c>
      <c r="G5" s="13" t="n">
        <v>46022</v>
      </c>
      <c r="H5" s="10" t="inlineStr">
        <is>
          <t>Notes</t>
        </is>
      </c>
    </row>
    <row r="6">
      <c r="A6" s="12" t="inlineStr">
        <is>
          <t>Cash and cash equivalents</t>
        </is>
      </c>
      <c r="B6" s="12" t="inlineStr">
        <is>
          <t>Financial Asset</t>
        </is>
      </c>
      <c r="C6" s="15" t="n">
        <v>1200</v>
      </c>
      <c r="D6" s="15" t="n">
        <v>1350</v>
      </c>
      <c r="E6" s="15" t="n">
        <v>1500</v>
      </c>
      <c r="F6" s="15" t="n">
        <v>1680</v>
      </c>
      <c r="G6" s="15" t="n">
        <v>1850</v>
      </c>
    </row>
    <row r="7">
      <c r="A7" s="12" t="inlineStr">
        <is>
          <t>Trade receivables</t>
        </is>
      </c>
      <c r="B7" s="12" t="inlineStr">
        <is>
          <t>Operating Working Capital Asset</t>
        </is>
      </c>
      <c r="C7" s="15" t="n">
        <v>850</v>
      </c>
      <c r="D7" s="15" t="n">
        <v>920</v>
      </c>
      <c r="E7" s="15" t="n">
        <v>1010</v>
      </c>
      <c r="F7" s="15" t="n">
        <v>1120</v>
      </c>
      <c r="G7" s="15" t="n">
        <v>1250</v>
      </c>
    </row>
    <row r="8">
      <c r="A8" s="9" t="inlineStr">
        <is>
          <t>Inventories</t>
        </is>
      </c>
      <c r="B8" s="9" t="inlineStr">
        <is>
          <t>Operating Working Capital Asset</t>
        </is>
      </c>
      <c r="C8" s="14" t="n">
        <v>680</v>
      </c>
      <c r="D8" s="14" t="n">
        <v>736</v>
      </c>
      <c r="E8" s="14" t="n">
        <v>808</v>
      </c>
      <c r="F8" s="14" t="n">
        <v>896</v>
      </c>
      <c r="G8" s="14" t="n">
        <v>1000</v>
      </c>
    </row>
    <row r="9">
      <c r="A9" s="12" t="inlineStr">
        <is>
          <t>Property, plant and equipment</t>
        </is>
      </c>
      <c r="B9" s="12" t="inlineStr">
        <is>
          <t>Operating Long-Term Asset</t>
        </is>
      </c>
      <c r="C9" s="15" t="n">
        <v>3200</v>
      </c>
      <c r="D9" s="15" t="n">
        <v>3400</v>
      </c>
      <c r="E9" s="15" t="n">
        <v>3600</v>
      </c>
      <c r="F9" s="15" t="n">
        <v>3800</v>
      </c>
      <c r="G9" s="15" t="n">
        <v>4000</v>
      </c>
    </row>
    <row r="10">
      <c r="A10" s="9" t="inlineStr">
        <is>
          <t>Goodwill</t>
        </is>
      </c>
      <c r="B10" s="9" t="inlineStr">
        <is>
          <t>Operating Long-Term Asset</t>
        </is>
      </c>
      <c r="C10" s="14" t="n">
        <v>900</v>
      </c>
      <c r="D10" s="14" t="n">
        <v>900</v>
      </c>
      <c r="E10" s="14" t="n">
        <v>900</v>
      </c>
      <c r="F10" s="14" t="n">
        <v>900</v>
      </c>
      <c r="G10" s="14" t="n">
        <v>900</v>
      </c>
    </row>
    <row r="11">
      <c r="A11" s="12" t="inlineStr">
        <is>
          <t>Other non-current assets</t>
        </is>
      </c>
      <c r="B11" s="12" t="inlineStr">
        <is>
          <t>Operating Long-Term Asset</t>
        </is>
      </c>
      <c r="C11" s="15" t="n">
        <v>1670</v>
      </c>
      <c r="D11" s="15" t="n">
        <v>1894</v>
      </c>
      <c r="E11" s="15" t="n">
        <v>2282</v>
      </c>
      <c r="F11" s="15" t="n">
        <v>2804</v>
      </c>
      <c r="G11" s="15" t="n">
        <v>3500</v>
      </c>
    </row>
    <row r="12">
      <c r="A12" s="12" t="inlineStr">
        <is>
          <t>Trade payables</t>
        </is>
      </c>
      <c r="B12" s="12" t="inlineStr">
        <is>
          <t>Operating Working Capital Liability</t>
        </is>
      </c>
      <c r="C12" s="15" t="n">
        <v>595</v>
      </c>
      <c r="D12" s="15" t="n">
        <v>644</v>
      </c>
      <c r="E12" s="15" t="n">
        <v>707</v>
      </c>
      <c r="F12" s="15" t="n">
        <v>784</v>
      </c>
      <c r="G12" s="15" t="n">
        <v>875</v>
      </c>
    </row>
    <row r="13">
      <c r="A13" s="12" t="inlineStr">
        <is>
          <t>Bank borrowings</t>
        </is>
      </c>
      <c r="B13" s="12" t="inlineStr">
        <is>
          <t>Financial Liability</t>
        </is>
      </c>
      <c r="C13" s="15" t="n">
        <v>1500</v>
      </c>
      <c r="D13" s="15" t="n">
        <v>1400</v>
      </c>
      <c r="E13" s="15" t="n">
        <v>1300</v>
      </c>
      <c r="F13" s="15" t="n">
        <v>1200</v>
      </c>
      <c r="G13" s="15" t="n">
        <v>1100</v>
      </c>
    </row>
    <row r="14">
      <c r="A14" s="12" t="inlineStr">
        <is>
          <t>Operating lease liabilities</t>
        </is>
      </c>
      <c r="B14" s="12">
        <f>IF('Accounting Judgment'!$F$5="","Operating Long-Term Liability",'Accounting Judgment'!$F$5)</f>
        <v/>
      </c>
      <c r="C14" s="15" t="n">
        <v>300</v>
      </c>
      <c r="D14" s="15" t="n">
        <v>320</v>
      </c>
      <c r="E14" s="15" t="n">
        <v>340</v>
      </c>
      <c r="F14" s="15" t="n">
        <v>360</v>
      </c>
      <c r="G14" s="15" t="n">
        <v>380</v>
      </c>
      <c r="H14" s="12" t="inlineStr">
        <is>
          <t>⚠ Review: Lease liability concept — operating vs financial judgment</t>
        </is>
      </c>
    </row>
    <row r="15">
      <c r="A15" s="12" t="inlineStr">
        <is>
          <t>Other non-current liabilities</t>
        </is>
      </c>
      <c r="B15" s="12" t="inlineStr">
        <is>
          <t>Operating Long-Term Liability</t>
        </is>
      </c>
      <c r="C15" s="15" t="n">
        <v>1005</v>
      </c>
      <c r="D15" s="15" t="n">
        <v>1136</v>
      </c>
      <c r="E15" s="15" t="n">
        <v>1253</v>
      </c>
      <c r="F15" s="15" t="n">
        <v>1356</v>
      </c>
      <c r="G15" s="15" t="n">
        <v>1445</v>
      </c>
    </row>
    <row r="16">
      <c r="A16" s="12" t="inlineStr">
        <is>
          <t>Share capital and reserves</t>
        </is>
      </c>
      <c r="B16" s="12" t="inlineStr">
        <is>
          <t>Equity</t>
        </is>
      </c>
      <c r="C16" s="15" t="n">
        <v>5100</v>
      </c>
      <c r="D16" s="15" t="n">
        <v>5700</v>
      </c>
      <c r="E16" s="15" t="n">
        <v>6500</v>
      </c>
      <c r="F16" s="15" t="n">
        <v>7500</v>
      </c>
      <c r="G16" s="15" t="n">
        <v>8700</v>
      </c>
    </row>
    <row r="17"/>
    <row r="18">
      <c r="A18" s="10" t="inlineStr">
        <is>
          <t>CONDENSED INCOME STATEMENT</t>
        </is>
      </c>
      <c r="B18" s="13" t="n">
        <v>44561</v>
      </c>
      <c r="C18" s="13" t="n">
        <v>44926</v>
      </c>
      <c r="D18" s="13" t="n">
        <v>45291</v>
      </c>
      <c r="E18" s="13" t="n">
        <v>45657</v>
      </c>
      <c r="F18" s="13" t="n">
        <v>46022</v>
      </c>
    </row>
    <row r="19">
      <c r="A19" s="9" t="inlineStr">
        <is>
          <t>Revenue</t>
        </is>
      </c>
      <c r="B19" s="16">
        <f>'Income Statement'!B7</f>
        <v/>
      </c>
      <c r="C19" s="16">
        <f>'Income Statement'!C7</f>
        <v/>
      </c>
      <c r="D19" s="16">
        <f>'Income Statement'!D7</f>
        <v/>
      </c>
      <c r="E19" s="16">
        <f>'Income Statement'!E7</f>
        <v/>
      </c>
      <c r="F19" s="16">
        <f>'Income Statement'!F7</f>
        <v/>
      </c>
    </row>
    <row r="20">
      <c r="A20" s="12" t="inlineStr">
        <is>
          <t>Net Income</t>
        </is>
      </c>
      <c r="B20" s="17">
        <f>'Income Statement'!B17</f>
        <v/>
      </c>
      <c r="C20" s="17">
        <f>'Income Statement'!C17</f>
        <v/>
      </c>
      <c r="D20" s="17">
        <f>'Income Statement'!D17</f>
        <v/>
      </c>
      <c r="E20" s="17">
        <f>'Income Statement'!E17</f>
        <v/>
      </c>
      <c r="F20" s="17">
        <f>'Income Statement'!F17</f>
        <v/>
      </c>
    </row>
    <row r="21">
      <c r="A21" s="12" t="inlineStr">
        <is>
          <t>Pretax Income</t>
        </is>
      </c>
      <c r="B21" s="12">
        <f>'Income Statement'!B15</f>
        <v/>
      </c>
      <c r="C21" s="12">
        <f>'Income Statement'!C15</f>
        <v/>
      </c>
      <c r="D21" s="12">
        <f>'Income Statement'!D15</f>
        <v/>
      </c>
      <c r="E21" s="12">
        <f>'Income Statement'!E15</f>
        <v/>
      </c>
      <c r="F21" s="12">
        <f>'Income Statement'!F15</f>
        <v/>
      </c>
    </row>
    <row r="22">
      <c r="A22" s="12" t="inlineStr">
        <is>
          <t>Tax Expense</t>
        </is>
      </c>
      <c r="B22" s="12">
        <f>'Income Statement'!B16</f>
        <v/>
      </c>
      <c r="C22" s="12">
        <f>'Income Statement'!C16</f>
        <v/>
      </c>
      <c r="D22" s="12">
        <f>'Income Statement'!D16</f>
        <v/>
      </c>
      <c r="E22" s="12">
        <f>'Income Statement'!E16</f>
        <v/>
      </c>
      <c r="F22" s="12">
        <f>'Income Statement'!F16</f>
        <v/>
      </c>
    </row>
    <row r="23">
      <c r="A23" s="12" t="inlineStr">
        <is>
          <t>Interest Expense</t>
        </is>
      </c>
      <c r="B23" s="12">
        <f>'Income Statement'!B13</f>
        <v/>
      </c>
      <c r="C23" s="12">
        <f>'Income Statement'!C13</f>
        <v/>
      </c>
      <c r="D23" s="12">
        <f>'Income Statement'!D13</f>
        <v/>
      </c>
      <c r="E23" s="12">
        <f>'Income Statement'!E13</f>
        <v/>
      </c>
      <c r="F23" s="12">
        <f>'Income Statement'!F13</f>
        <v/>
      </c>
    </row>
    <row r="24">
      <c r="A24" s="12" t="inlineStr">
        <is>
          <t>Interest Income</t>
        </is>
      </c>
      <c r="B24" s="12">
        <f>'Income Statement'!B14</f>
        <v/>
      </c>
      <c r="C24" s="12">
        <f>'Income Statement'!C14</f>
        <v/>
      </c>
      <c r="D24" s="12">
        <f>'Income Statement'!D14</f>
        <v/>
      </c>
      <c r="E24" s="12">
        <f>'Income Statement'!E14</f>
        <v/>
      </c>
      <c r="F24" s="12">
        <f>'Income Statement'!F14</f>
        <v/>
      </c>
    </row>
    <row r="25">
      <c r="A25" s="12" t="inlineStr">
        <is>
          <t>Effective Tax Rate</t>
        </is>
      </c>
      <c r="B25" s="18">
        <f>IF(B21=0,0,-B22/B21)</f>
        <v/>
      </c>
      <c r="C25" s="18">
        <f>IF(C21=0,0,-C22/C21)</f>
        <v/>
      </c>
      <c r="D25" s="18">
        <f>IF(D21=0,0,-D22/D21)</f>
        <v/>
      </c>
      <c r="E25" s="18">
        <f>IF(E21=0,0,-E22/E21)</f>
        <v/>
      </c>
      <c r="F25" s="18">
        <f>IF(F21=0,0,-F22/F21)</f>
        <v/>
      </c>
    </row>
    <row r="26">
      <c r="A26" s="12" t="inlineStr">
        <is>
          <t>Net Interest</t>
        </is>
      </c>
      <c r="B26" s="19">
        <f>-(B23+B24)</f>
        <v/>
      </c>
      <c r="C26" s="19">
        <f>-(C23+C24)</f>
        <v/>
      </c>
      <c r="D26" s="19">
        <f>-(D23+D24)</f>
        <v/>
      </c>
      <c r="E26" s="19">
        <f>-(E23+E24)</f>
        <v/>
      </c>
      <c r="F26" s="19">
        <f>-(F23+F24)</f>
        <v/>
      </c>
    </row>
    <row r="27">
      <c r="A27" s="12" t="inlineStr">
        <is>
          <t>Net Interest After Tax</t>
        </is>
      </c>
      <c r="B27" s="19">
        <f>B26*(1-B25)</f>
        <v/>
      </c>
      <c r="C27" s="19">
        <f>C26*(1-C25)</f>
        <v/>
      </c>
      <c r="D27" s="19">
        <f>D26*(1-D25)</f>
        <v/>
      </c>
      <c r="E27" s="19">
        <f>E26*(1-E25)</f>
        <v/>
      </c>
      <c r="F27" s="19">
        <f>F26*(1-F25)</f>
        <v/>
      </c>
    </row>
    <row r="28">
      <c r="A28" s="20" t="inlineStr">
        <is>
          <t>NOPAT</t>
        </is>
      </c>
      <c r="B28" s="21">
        <f>B20+B27</f>
        <v/>
      </c>
      <c r="C28" s="21">
        <f>C20+C27</f>
        <v/>
      </c>
      <c r="D28" s="21">
        <f>D20+D27</f>
        <v/>
      </c>
      <c r="E28" s="21">
        <f>E20+E27</f>
        <v/>
      </c>
      <c r="F28" s="21">
        <f>F20+F27</f>
        <v/>
      </c>
    </row>
    <row r="29"/>
    <row r="30">
      <c r="A30" s="10" t="inlineStr">
        <is>
          <t>CONDENSED BALANCE SHEET</t>
        </is>
      </c>
    </row>
    <row r="31">
      <c r="A31" s="12" t="inlineStr">
        <is>
          <t>Operating Working Capital Assets</t>
        </is>
      </c>
      <c r="B31" s="19">
        <f>SUMIF($B$6:$B$16,"Operating Working Capital Asset",C$6:C$16)</f>
        <v/>
      </c>
      <c r="C31" s="19">
        <f>SUMIF($B$6:$B$16,"Operating Working Capital Asset",D$6:D$16)</f>
        <v/>
      </c>
      <c r="D31" s="19">
        <f>SUMIF($B$6:$B$16,"Operating Working Capital Asset",E$6:E$16)</f>
        <v/>
      </c>
      <c r="E31" s="19">
        <f>SUMIF($B$6:$B$16,"Operating Working Capital Asset",F$6:F$16)</f>
        <v/>
      </c>
      <c r="F31" s="19">
        <f>SUMIF($B$6:$B$16,"Operating Working Capital Asset",G$6:G$16)</f>
        <v/>
      </c>
    </row>
    <row r="32">
      <c r="A32" s="12" t="inlineStr">
        <is>
          <t>Operating Working Capital Liabilities</t>
        </is>
      </c>
      <c r="B32" s="19">
        <f>SUMIF($B$6:$B$16,"Operating Working Capital Liability",C$6:C$16)</f>
        <v/>
      </c>
      <c r="C32" s="19">
        <f>SUMIF($B$6:$B$16,"Operating Working Capital Liability",D$6:D$16)</f>
        <v/>
      </c>
      <c r="D32" s="19">
        <f>SUMIF($B$6:$B$16,"Operating Working Capital Liability",E$6:E$16)</f>
        <v/>
      </c>
      <c r="E32" s="19">
        <f>SUMIF($B$6:$B$16,"Operating Working Capital Liability",F$6:F$16)</f>
        <v/>
      </c>
      <c r="F32" s="19">
        <f>SUMIF($B$6:$B$16,"Operating Working Capital Liability",G$6:G$16)</f>
        <v/>
      </c>
    </row>
    <row r="33">
      <c r="A33" s="20" t="inlineStr">
        <is>
          <t>NOWC</t>
        </is>
      </c>
      <c r="B33" s="21">
        <f>B31-B32</f>
        <v/>
      </c>
      <c r="C33" s="21">
        <f>C31-C32</f>
        <v/>
      </c>
      <c r="D33" s="21">
        <f>D31-D32</f>
        <v/>
      </c>
      <c r="E33" s="21">
        <f>E31-E32</f>
        <v/>
      </c>
      <c r="F33" s="21">
        <f>F31-F32</f>
        <v/>
      </c>
    </row>
    <row r="34">
      <c r="A34" s="12" t="inlineStr">
        <is>
          <t>Operating Long-Term Assets</t>
        </is>
      </c>
      <c r="B34" s="19">
        <f>SUMIF($B$6:$B$16,"Operating Long-Term Asset",C$6:C$16)</f>
        <v/>
      </c>
      <c r="C34" s="19">
        <f>SUMIF($B$6:$B$16,"Operating Long-Term Asset",D$6:D$16)</f>
        <v/>
      </c>
      <c r="D34" s="19">
        <f>SUMIF($B$6:$B$16,"Operating Long-Term Asset",E$6:E$16)</f>
        <v/>
      </c>
      <c r="E34" s="19">
        <f>SUMIF($B$6:$B$16,"Operating Long-Term Asset",F$6:F$16)</f>
        <v/>
      </c>
      <c r="F34" s="19">
        <f>SUMIF($B$6:$B$16,"Operating Long-Term Asset",G$6:G$16)</f>
        <v/>
      </c>
    </row>
    <row r="35">
      <c r="A35" s="12" t="inlineStr">
        <is>
          <t>Operating Long-Term Liabilities</t>
        </is>
      </c>
      <c r="B35" s="19">
        <f>SUMIF($B$6:$B$16,"Operating Long-Term Liability",C$6:C$16)</f>
        <v/>
      </c>
      <c r="C35" s="19">
        <f>SUMIF($B$6:$B$16,"Operating Long-Term Liability",D$6:D$16)</f>
        <v/>
      </c>
      <c r="D35" s="19">
        <f>SUMIF($B$6:$B$16,"Operating Long-Term Liability",E$6:E$16)</f>
        <v/>
      </c>
      <c r="E35" s="19">
        <f>SUMIF($B$6:$B$16,"Operating Long-Term Liability",F$6:F$16)</f>
        <v/>
      </c>
      <c r="F35" s="19">
        <f>SUMIF($B$6:$B$16,"Operating Long-Term Liability",G$6:G$16)</f>
        <v/>
      </c>
    </row>
    <row r="36">
      <c r="A36" s="20" t="inlineStr">
        <is>
          <t>NOLA</t>
        </is>
      </c>
      <c r="B36" s="21">
        <f>B34-B35</f>
        <v/>
      </c>
      <c r="C36" s="21">
        <f>C34-C35</f>
        <v/>
      </c>
      <c r="D36" s="21">
        <f>D34-D35</f>
        <v/>
      </c>
      <c r="E36" s="21">
        <f>E34-E35</f>
        <v/>
      </c>
      <c r="F36" s="21">
        <f>F34-F35</f>
        <v/>
      </c>
    </row>
    <row r="37">
      <c r="A37" s="20" t="inlineStr">
        <is>
          <t>NOA</t>
        </is>
      </c>
      <c r="B37" s="21">
        <f>B33+B36</f>
        <v/>
      </c>
      <c r="C37" s="21">
        <f>C33+C36</f>
        <v/>
      </c>
      <c r="D37" s="21">
        <f>D33+D36</f>
        <v/>
      </c>
      <c r="E37" s="21">
        <f>E33+E36</f>
        <v/>
      </c>
      <c r="F37" s="21">
        <f>F33+F36</f>
        <v/>
      </c>
    </row>
    <row r="38">
      <c r="A38" s="12" t="inlineStr">
        <is>
          <t>Financial Assets</t>
        </is>
      </c>
      <c r="B38" s="19">
        <f>SUMIF($B$6:$B$16,"Financial Asset",C$6:C$16)</f>
        <v/>
      </c>
      <c r="C38" s="19">
        <f>SUMIF($B$6:$B$16,"Financial Asset",D$6:D$16)</f>
        <v/>
      </c>
      <c r="D38" s="19">
        <f>SUMIF($B$6:$B$16,"Financial Asset",E$6:E$16)</f>
        <v/>
      </c>
      <c r="E38" s="19">
        <f>SUMIF($B$6:$B$16,"Financial Asset",F$6:F$16)</f>
        <v/>
      </c>
      <c r="F38" s="19">
        <f>SUMIF($B$6:$B$16,"Financial Asset",G$6:G$16)</f>
        <v/>
      </c>
    </row>
    <row r="39">
      <c r="A39" s="12" t="inlineStr">
        <is>
          <t>Financial Liabilities</t>
        </is>
      </c>
      <c r="B39" s="19">
        <f>SUMIF($B$6:$B$16,"Financial Liability",C$6:C$16)</f>
        <v/>
      </c>
      <c r="C39" s="19">
        <f>SUMIF($B$6:$B$16,"Financial Liability",D$6:D$16)</f>
        <v/>
      </c>
      <c r="D39" s="19">
        <f>SUMIF($B$6:$B$16,"Financial Liability",E$6:E$16)</f>
        <v/>
      </c>
      <c r="E39" s="19">
        <f>SUMIF($B$6:$B$16,"Financial Liability",F$6:F$16)</f>
        <v/>
      </c>
      <c r="F39" s="19">
        <f>SUMIF($B$6:$B$16,"Financial Liability",G$6:G$16)</f>
        <v/>
      </c>
    </row>
    <row r="40">
      <c r="A40" s="10" t="inlineStr">
        <is>
          <t>Net Debt</t>
        </is>
      </c>
      <c r="B40" s="19">
        <f>B39-B38</f>
        <v/>
      </c>
      <c r="C40" s="19">
        <f>C39-C38</f>
        <v/>
      </c>
      <c r="D40" s="19">
        <f>D39-D38</f>
        <v/>
      </c>
      <c r="E40" s="19">
        <f>E39-E38</f>
        <v/>
      </c>
      <c r="F40" s="19">
        <f>F39-F38</f>
        <v/>
      </c>
    </row>
    <row r="41">
      <c r="A41" s="10" t="inlineStr">
        <is>
          <t>Equity (NOA - Net Debt)</t>
        </is>
      </c>
      <c r="B41" s="19">
        <f>B37-B40</f>
        <v/>
      </c>
      <c r="C41" s="19">
        <f>C37-C40</f>
        <v/>
      </c>
      <c r="D41" s="19">
        <f>D37-D40</f>
        <v/>
      </c>
      <c r="E41" s="19">
        <f>E37-E40</f>
        <v/>
      </c>
      <c r="F41" s="19">
        <f>F37-F40</f>
        <v/>
      </c>
    </row>
    <row r="42">
      <c r="A42" s="10" t="inlineStr">
        <is>
          <t>Reported Equity</t>
        </is>
      </c>
      <c r="B42" s="15">
        <f>'Balance Sheet'!B20</f>
        <v/>
      </c>
      <c r="C42" s="15">
        <f>'Balance Sheet'!C20</f>
        <v/>
      </c>
      <c r="D42" s="15">
        <f>'Balance Sheet'!D20</f>
        <v/>
      </c>
      <c r="E42" s="15">
        <f>'Balance Sheet'!E20</f>
        <v/>
      </c>
      <c r="F42" s="15">
        <f>'Balance Sheet'!F20</f>
        <v/>
      </c>
    </row>
    <row r="43">
      <c r="A43" s="10" t="inlineStr">
        <is>
          <t>Total Capital</t>
        </is>
      </c>
      <c r="B43" s="15">
        <f>B40+B41</f>
        <v/>
      </c>
      <c r="C43" s="15">
        <f>C40+C41</f>
        <v/>
      </c>
      <c r="D43" s="15">
        <f>D40+D41</f>
        <v/>
      </c>
      <c r="E43" s="15">
        <f>E40+E41</f>
        <v/>
      </c>
      <c r="F43" s="15">
        <f>F40+F41</f>
        <v/>
      </c>
    </row>
    <row r="44">
      <c r="A44" s="20" t="inlineStr">
        <is>
          <t>CHECK</t>
        </is>
      </c>
      <c r="B44" s="9">
        <f>IF(ABS(B41-B42)&lt;1,"OK","CHECK")</f>
        <v/>
      </c>
      <c r="C44" s="9">
        <f>IF(ABS(C41-C42)&lt;1,"OK","CHECK")</f>
        <v/>
      </c>
      <c r="D44" s="9">
        <f>IF(ABS(D41-D42)&lt;1,"OK","CHECK")</f>
        <v/>
      </c>
      <c r="E44" s="9">
        <f>IF(ABS(E41-E42)&lt;1,"OK","CHECK")</f>
        <v/>
      </c>
      <c r="F44" s="9">
        <f>IF(ABS(F41-F42)&lt;1,"OK","CHECK")</f>
        <v/>
      </c>
    </row>
  </sheetData>
  <dataValidations count="1">
    <dataValidation sqref="B6 B7 B8 B9 B10 B11 B12 B13 B15 B16" showDropDown="0" showInputMessage="0" showErrorMessage="0" allowBlank="0" type="list">
      <formula1>"Operating Working Capital Asset,Operating Working Capital Liability,Operating Long-Term Asset,Operating Long-Term Liability,Financial Asset,Financial Liability,Equity,Exclude"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Demo Holdings Limited — DuPont Decomposition</t>
        </is>
      </c>
    </row>
    <row r="2">
      <c r="A2" s="12" t="inlineStr">
        <is>
          <t>ROE = RNOA + FLEV × Spread</t>
        </is>
      </c>
    </row>
    <row r="3"/>
    <row r="4">
      <c r="A4" s="10" t="inlineStr">
        <is>
          <t>Metric</t>
        </is>
      </c>
      <c r="B4" s="13" t="n">
        <v>44561</v>
      </c>
      <c r="C4" s="13" t="n">
        <v>44926</v>
      </c>
      <c r="D4" s="13" t="n">
        <v>45291</v>
      </c>
      <c r="E4" s="13" t="n">
        <v>45657</v>
      </c>
      <c r="F4" s="13" t="n">
        <v>46022</v>
      </c>
    </row>
    <row r="5">
      <c r="A5" s="12" t="inlineStr">
        <is>
          <t>Sales Growth</t>
        </is>
      </c>
      <c r="B5" s="12" t="inlineStr">
        <is>
          <t>N/A</t>
        </is>
      </c>
      <c r="C5" s="18">
        <f>IF('Condensed Financials'!B19=0,0,'Condensed Financials'!C19/'Condensed Financials'!B19-1)</f>
        <v/>
      </c>
      <c r="D5" s="18">
        <f>IF('Condensed Financials'!C19=0,0,'Condensed Financials'!D19/'Condensed Financials'!C19-1)</f>
        <v/>
      </c>
      <c r="E5" s="18">
        <f>IF('Condensed Financials'!D19=0,0,'Condensed Financials'!E19/'Condensed Financials'!D19-1)</f>
        <v/>
      </c>
      <c r="F5" s="18">
        <f>IF('Condensed Financials'!E19=0,0,'Condensed Financials'!F19/'Condensed Financials'!E19-1)</f>
        <v/>
      </c>
    </row>
    <row r="6">
      <c r="A6" s="12" t="inlineStr">
        <is>
          <t>NOPAT Margin</t>
        </is>
      </c>
      <c r="B6" s="18">
        <f>IF('Condensed Financials'!B19=0,0,'Condensed Financials'!B28/'Condensed Financials'!B19)</f>
        <v/>
      </c>
      <c r="C6" s="18">
        <f>IF('Condensed Financials'!C19=0,0,'Condensed Financials'!C28/'Condensed Financials'!C19)</f>
        <v/>
      </c>
      <c r="D6" s="18">
        <f>IF('Condensed Financials'!D19=0,0,'Condensed Financials'!D28/'Condensed Financials'!D19)</f>
        <v/>
      </c>
      <c r="E6" s="18">
        <f>IF('Condensed Financials'!E19=0,0,'Condensed Financials'!E28/'Condensed Financials'!E19)</f>
        <v/>
      </c>
      <c r="F6" s="18">
        <f>IF('Condensed Financials'!F19=0,0,'Condensed Financials'!F28/'Condensed Financials'!F19)</f>
        <v/>
      </c>
    </row>
    <row r="7">
      <c r="A7" s="9" t="inlineStr">
        <is>
          <t>RNOA</t>
        </is>
      </c>
      <c r="B7" s="9" t="inlineStr">
        <is>
          <t>N/A</t>
        </is>
      </c>
      <c r="C7" s="22">
        <f>IF((('Condensed Financials'!C37+'Condensed Financials'!B37)/2)=0,0,'Condensed Financials'!C28/(('Condensed Financials'!C37+'Condensed Financials'!B37)/2))</f>
        <v/>
      </c>
      <c r="D7" s="22">
        <f>IF((('Condensed Financials'!D37+'Condensed Financials'!C37)/2)=0,0,'Condensed Financials'!D28/(('Condensed Financials'!D37+'Condensed Financials'!C37)/2))</f>
        <v/>
      </c>
      <c r="E7" s="22">
        <f>IF((('Condensed Financials'!E37+'Condensed Financials'!D37)/2)=0,0,'Condensed Financials'!E28/(('Condensed Financials'!E37+'Condensed Financials'!D37)/2))</f>
        <v/>
      </c>
      <c r="F7" s="22">
        <f>IF((('Condensed Financials'!F37+'Condensed Financials'!E37)/2)=0,0,'Condensed Financials'!F28/(('Condensed Financials'!F37+'Condensed Financials'!E37)/2))</f>
        <v/>
      </c>
    </row>
    <row r="8">
      <c r="A8" s="12" t="inlineStr">
        <is>
          <t>After-tax CoD</t>
        </is>
      </c>
      <c r="B8" s="12" t="inlineStr">
        <is>
          <t>N/A</t>
        </is>
      </c>
      <c r="C8" s="18">
        <f>IF((('Condensed Financials'!C40+'Condensed Financials'!B40)/2)=0,0,'Condensed Financials'!C27/(('Condensed Financials'!C40+'Condensed Financials'!B40)/2))</f>
        <v/>
      </c>
      <c r="D8" s="18">
        <f>IF((('Condensed Financials'!D40+'Condensed Financials'!C40)/2)=0,0,'Condensed Financials'!D27/(('Condensed Financials'!D40+'Condensed Financials'!C40)/2))</f>
        <v/>
      </c>
      <c r="E8" s="18">
        <f>IF((('Condensed Financials'!E40+'Condensed Financials'!D40)/2)=0,0,'Condensed Financials'!E27/(('Condensed Financials'!E40+'Condensed Financials'!D40)/2))</f>
        <v/>
      </c>
      <c r="F8" s="18">
        <f>IF((('Condensed Financials'!F40+'Condensed Financials'!E40)/2)=0,0,'Condensed Financials'!F27/(('Condensed Financials'!F40+'Condensed Financials'!E40)/2))</f>
        <v/>
      </c>
    </row>
    <row r="9">
      <c r="A9" s="9" t="inlineStr">
        <is>
          <t>Spread</t>
        </is>
      </c>
      <c r="B9" s="9" t="inlineStr">
        <is>
          <t>N/A</t>
        </is>
      </c>
      <c r="C9" s="22">
        <f>C7-C8</f>
        <v/>
      </c>
      <c r="D9" s="22">
        <f>D7-D8</f>
        <v/>
      </c>
      <c r="E9" s="22">
        <f>E7-E8</f>
        <v/>
      </c>
      <c r="F9" s="22">
        <f>F7-F8</f>
        <v/>
      </c>
    </row>
    <row r="10">
      <c r="A10" s="9" t="inlineStr">
        <is>
          <t>FLEV</t>
        </is>
      </c>
      <c r="B10" s="9" t="inlineStr">
        <is>
          <t>N/A</t>
        </is>
      </c>
      <c r="C10" s="16">
        <f>IF((('Condensed Financials'!C41+'Condensed Financials'!B41)/2)=0,0,(('Condensed Financials'!C40+'Condensed Financials'!B40)/2)/(('Condensed Financials'!C41+'Condensed Financials'!B41)/2))</f>
        <v/>
      </c>
      <c r="D10" s="16">
        <f>IF((('Condensed Financials'!D41+'Condensed Financials'!C41)/2)=0,0,(('Condensed Financials'!D40+'Condensed Financials'!C40)/2)/(('Condensed Financials'!D41+'Condensed Financials'!C41)/2))</f>
        <v/>
      </c>
      <c r="E10" s="16">
        <f>IF((('Condensed Financials'!E41+'Condensed Financials'!D41)/2)=0,0,(('Condensed Financials'!E40+'Condensed Financials'!D40)/2)/(('Condensed Financials'!E41+'Condensed Financials'!D41)/2))</f>
        <v/>
      </c>
      <c r="F10" s="16">
        <f>IF((('Condensed Financials'!F41+'Condensed Financials'!E41)/2)=0,0,(('Condensed Financials'!F40+'Condensed Financials'!E40)/2)/(('Condensed Financials'!F41+'Condensed Financials'!E41)/2))</f>
        <v/>
      </c>
    </row>
    <row r="11">
      <c r="A11" s="12" t="inlineStr">
        <is>
          <t>ROE (decomposed)</t>
        </is>
      </c>
      <c r="B11" s="12" t="inlineStr">
        <is>
          <t>N/A</t>
        </is>
      </c>
      <c r="C11" s="18">
        <f>C7+C10*(C9)</f>
        <v/>
      </c>
      <c r="D11" s="18">
        <f>D7+D10*(D9)</f>
        <v/>
      </c>
      <c r="E11" s="18">
        <f>E7+E10*(E9)</f>
        <v/>
      </c>
      <c r="F11" s="18">
        <f>F7+F10*(F9)</f>
        <v/>
      </c>
    </row>
    <row r="12">
      <c r="A12" s="12" t="inlineStr">
        <is>
          <t>Actual ROE</t>
        </is>
      </c>
      <c r="B12" s="12" t="inlineStr">
        <is>
          <t>N/A</t>
        </is>
      </c>
      <c r="C12" s="18">
        <f>IF((('Condensed Financials'!C41+'Condensed Financials'!B41)/2)=0,0,'Condensed Financials'!C20/(('Condensed Financials'!C41+'Condensed Financials'!B41)/2))</f>
        <v/>
      </c>
      <c r="D12" s="18">
        <f>IF((('Condensed Financials'!D41+'Condensed Financials'!C41)/2)=0,0,'Condensed Financials'!D20/(('Condensed Financials'!D41+'Condensed Financials'!C41)/2))</f>
        <v/>
      </c>
      <c r="E12" s="18">
        <f>IF((('Condensed Financials'!E41+'Condensed Financials'!D41)/2)=0,0,'Condensed Financials'!E20/(('Condensed Financials'!E41+'Condensed Financials'!D41)/2))</f>
        <v/>
      </c>
      <c r="F12" s="18">
        <f>IF((('Condensed Financials'!F41+'Condensed Financials'!E41)/2)=0,0,'Condensed Financials'!F20/(('Condensed Financials'!F41+'Condensed Financials'!E41)/2))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28" customWidth="1" min="4" max="4"/>
    <col width="32" customWidth="1" min="5" max="5"/>
    <col width="28" customWidth="1" min="6" max="6"/>
    <col width="40" customWidth="1" min="7" max="7"/>
    <col width="44" customWidth="1" min="8" max="8"/>
  </cols>
  <sheetData>
    <row r="1">
      <c r="A1" s="11" t="inlineStr">
        <is>
          <t>Accounting Judgment</t>
        </is>
      </c>
    </row>
    <row r="2">
      <c r="A2" s="12" t="inlineStr">
        <is>
          <t>The supplied treatment is the model's reference treatment, not a universal accounting truth. Compare it with the listed alternative(s), choose the treatment you would defend, and explain the economic consequence.</t>
        </is>
      </c>
    </row>
    <row r="3">
      <c r="A3" s="12" t="inlineStr">
        <is>
          <t>Choose a treatment in column F only. That choice drives the matching Condensed Financials classification and downstream historical schedules; leaving F blank uses the supplied reference treatment. Columns D:E are display context and must not be edited. Enter your rationale and economic consequence in G:H. Formula Check grades formula cells against the treatment currently selected in F and validates that the generated classification links remain intact; it does not grade the judgment response itself. Do not edit the linked Condensed Financials classification cell directly.</t>
        </is>
      </c>
    </row>
    <row r="4">
      <c r="A4" s="10" t="inlineStr">
        <is>
          <t>Order</t>
        </is>
      </c>
      <c r="B4" s="10" t="inlineStr">
        <is>
          <t>Line item</t>
        </is>
      </c>
      <c r="C4" s="10" t="inlineStr">
        <is>
          <t>Topic</t>
        </is>
      </c>
      <c r="D4" s="10" t="inlineStr">
        <is>
          <t>Supplied reference treatment</t>
        </is>
      </c>
      <c r="E4" s="10" t="inlineStr">
        <is>
          <t>Alternative(s) to evaluate</t>
        </is>
      </c>
      <c r="F4" s="10" t="inlineStr">
        <is>
          <t>Treatment to defend</t>
        </is>
      </c>
      <c r="G4" s="10" t="inlineStr">
        <is>
          <t>Rationale</t>
        </is>
      </c>
      <c r="H4" s="10" t="inlineStr">
        <is>
          <t>Economic consequence</t>
        </is>
      </c>
    </row>
    <row r="5">
      <c r="A5" s="9" t="n">
        <v>1</v>
      </c>
      <c r="B5" s="9" t="inlineStr">
        <is>
          <t>Operating lease liabilities</t>
        </is>
      </c>
      <c r="C5" s="9" t="inlineStr">
        <is>
          <t>Lease liability operating vs financing</t>
        </is>
      </c>
      <c r="D5" s="9" t="inlineStr">
        <is>
          <t>Operating Long-Term Liability</t>
        </is>
      </c>
      <c r="E5" s="9" t="inlineStr">
        <is>
          <t>Financial Liability</t>
        </is>
      </c>
      <c r="F5" s="23" t="inlineStr">
        <is>
          <t>Operating Long-Term Liability</t>
        </is>
      </c>
      <c r="G5" s="23" t="inlineStr">
        <is>
          <t>The reference model keeps the liability in operating long-term liabilities under its current lease convention. Treating it as a financial liability is also defensible when the lease obligation is viewed as debt-like financing.</t>
        </is>
      </c>
      <c r="H5" s="23" t="inlineStr">
        <is>
          <t>Operating-liability treatment lowers NOLA/NOA; financial-liability treatment raises Net Debt by the same balance. Implied equity is unchanged from this classification switch alone, but RNOA versus FLEV/Spread interpretation changes.</t>
        </is>
      </c>
    </row>
  </sheetData>
  <dataValidations count="1">
    <dataValidation sqref="F5" showDropDown="0" showInputMessage="0" showErrorMessage="0" allowBlank="1" type="list">
      <formula1>"Operating Long-Term Liability,Financial Liability"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28" customWidth="1" min="4" max="4"/>
    <col width="32" customWidth="1" min="5" max="5"/>
    <col width="28" customWidth="1" min="6" max="6"/>
    <col width="40" customWidth="1" min="7" max="7"/>
    <col width="44" customWidth="1" min="8" max="8"/>
  </cols>
  <sheetData>
    <row r="1">
      <c r="A1" s="11" t="inlineStr">
        <is>
          <t>Normalization Judgment</t>
        </is>
      </c>
    </row>
    <row r="2">
      <c r="A2" s="12" t="inlineStr">
        <is>
          <t>The supplied treatment is the model's reference convention, not a universal truth. Decide whether each supplied candidate should remain in recurring earnings or be normalized out.</t>
        </is>
      </c>
    </row>
    <row r="3">
      <c r="A3" s="12" t="inlineStr">
        <is>
          <t>Choose the treatment in column F. Blank F uses the supplied reference treatment. G:H are ungraded reasoning. Do not edit the generated Earnings Normalization treatment link directly.</t>
        </is>
      </c>
    </row>
    <row r="4">
      <c r="A4" s="10" t="inlineStr">
        <is>
          <t>Order</t>
        </is>
      </c>
      <c r="B4" s="10" t="inlineStr">
        <is>
          <t>Line item</t>
        </is>
      </c>
      <c r="C4" s="10" t="inlineStr">
        <is>
          <t>Scope</t>
        </is>
      </c>
      <c r="D4" s="10" t="inlineStr">
        <is>
          <t>Supplied reference treatment</t>
        </is>
      </c>
      <c r="E4" s="10" t="inlineStr">
        <is>
          <t>Alternative to evaluate</t>
        </is>
      </c>
      <c r="F4" s="10" t="inlineStr">
        <is>
          <t>Treatment to defend</t>
        </is>
      </c>
      <c r="G4" s="10" t="inlineStr">
        <is>
          <t>Rationale</t>
        </is>
      </c>
      <c r="H4" s="10" t="inlineStr">
        <is>
          <t>Economic consequence</t>
        </is>
      </c>
    </row>
    <row r="5">
      <c r="A5" s="9" t="n">
        <v>1</v>
      </c>
      <c r="B5" s="9" t="inlineStr">
        <is>
          <t>Restructuring expense</t>
        </is>
      </c>
      <c r="C5" s="9" t="inlineStr">
        <is>
          <t>operating_pretax_effective_tax</t>
        </is>
      </c>
      <c r="D5" s="9" t="inlineStr">
        <is>
          <t>Non-recurring</t>
        </is>
      </c>
      <c r="E5" s="9" t="inlineStr">
        <is>
          <t>Recurring</t>
        </is>
      </c>
      <c r="F5" s="23" t="inlineStr">
        <is>
          <t>Non-recurring</t>
        </is>
      </c>
      <c r="G5" s="23" t="inlineStr">
        <is>
          <t>The reference model treats the supplied restructuring charge as non-recurring because the illustrative case identifies it as a discrete restructuring event rather than normal ongoing operations.</t>
        </is>
      </c>
      <c r="H5" s="23" t="inlineStr">
        <is>
          <t>Non-recurring treatment removes the signed after-tax effect from normalized earnings; recurring treatment leaves reported earnings unchanged.</t>
        </is>
      </c>
    </row>
  </sheetData>
  <dataValidations count="1">
    <dataValidation sqref="F5" showDropDown="0" showInputMessage="0" showErrorMessage="0" allowBlank="1" type="list">
      <formula1>"Non-recurring,Recurring"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1" t="inlineStr">
        <is>
          <t>Earnings Normalization</t>
        </is>
      </c>
    </row>
    <row r="2">
      <c r="A2" s="12" t="inlineStr">
        <is>
          <t>Reported statements stay unchanged. Bridge reported NOPAT / Net Income to normalized earnings using the treatments chosen on Normalization Judgment.</t>
        </is>
      </c>
    </row>
    <row r="3"/>
    <row r="4">
      <c r="A4" s="10" t="inlineStr">
        <is>
          <t>Line item</t>
        </is>
      </c>
      <c r="B4" s="10" t="inlineStr">
        <is>
          <t>Treatment</t>
        </is>
      </c>
      <c r="C4" s="13" t="n">
        <v>44561</v>
      </c>
      <c r="D4" s="13" t="n">
        <v>44926</v>
      </c>
      <c r="E4" s="13" t="n">
        <v>45291</v>
      </c>
      <c r="F4" s="13" t="n">
        <v>45657</v>
      </c>
      <c r="G4" s="13" t="n">
        <v>46022</v>
      </c>
    </row>
    <row r="5">
      <c r="A5" s="12" t="inlineStr">
        <is>
          <t>Restructuring expense</t>
        </is>
      </c>
      <c r="B5" s="12">
        <f>IF('Normalization Judgment'!$F$5="","Non-recurring",'Normalization Judgment'!$F$5)</f>
        <v/>
      </c>
      <c r="C5" s="15">
        <f>'Income Statement'!B11</f>
        <v/>
      </c>
      <c r="D5" s="15">
        <f>'Income Statement'!C11</f>
        <v/>
      </c>
      <c r="E5" s="15">
        <f>'Income Statement'!D11</f>
        <v/>
      </c>
      <c r="F5" s="15">
        <f>'Income Statement'!E11</f>
        <v/>
      </c>
      <c r="G5" s="15">
        <f>'Income Statement'!F11</f>
        <v/>
      </c>
    </row>
    <row r="6"/>
    <row r="7">
      <c r="A7" s="12" t="inlineStr">
        <is>
          <t>Reported NOPAT</t>
        </is>
      </c>
      <c r="C7" s="15">
        <f>'Condensed Financials'!B28</f>
        <v/>
      </c>
      <c r="D7" s="15">
        <f>'Condensed Financials'!C28</f>
        <v/>
      </c>
      <c r="E7" s="15">
        <f>'Condensed Financials'!D28</f>
        <v/>
      </c>
      <c r="F7" s="15">
        <f>'Condensed Financials'!E28</f>
        <v/>
      </c>
      <c r="G7" s="15">
        <f>'Condensed Financials'!F28</f>
        <v/>
      </c>
    </row>
    <row r="8">
      <c r="A8" s="12" t="inlineStr">
        <is>
          <t>Reported Net Income</t>
        </is>
      </c>
      <c r="C8" s="15">
        <f>'Condensed Financials'!B20</f>
        <v/>
      </c>
      <c r="D8" s="15">
        <f>'Condensed Financials'!C20</f>
        <v/>
      </c>
      <c r="E8" s="15">
        <f>'Condensed Financials'!D20</f>
        <v/>
      </c>
      <c r="F8" s="15">
        <f>'Condensed Financials'!E20</f>
        <v/>
      </c>
      <c r="G8" s="15">
        <f>'Condensed Financials'!F20</f>
        <v/>
      </c>
    </row>
    <row r="9">
      <c r="A9" s="12" t="inlineStr">
        <is>
          <t>Pretax Normalization Adjustment</t>
        </is>
      </c>
      <c r="C9" s="19">
        <f>-SUMIF($B$5:$B$5,"Non-recurring",C$5:C$5)</f>
        <v/>
      </c>
      <c r="D9" s="19">
        <f>-SUMIF($B$5:$B$5,"Non-recurring",D$5:D$5)</f>
        <v/>
      </c>
      <c r="E9" s="19">
        <f>-SUMIF($B$5:$B$5,"Non-recurring",E$5:E$5)</f>
        <v/>
      </c>
      <c r="F9" s="19">
        <f>-SUMIF($B$5:$B$5,"Non-recurring",F$5:F$5)</f>
        <v/>
      </c>
      <c r="G9" s="19">
        <f>-SUMIF($B$5:$B$5,"Non-recurring",G$5:G$5)</f>
        <v/>
      </c>
    </row>
    <row r="10">
      <c r="A10" s="12" t="inlineStr">
        <is>
          <t>Effective Tax Rate</t>
        </is>
      </c>
      <c r="C10" s="24">
        <f>'Condensed Financials'!B25</f>
        <v/>
      </c>
      <c r="D10" s="24">
        <f>'Condensed Financials'!C25</f>
        <v/>
      </c>
      <c r="E10" s="24">
        <f>'Condensed Financials'!D25</f>
        <v/>
      </c>
      <c r="F10" s="24">
        <f>'Condensed Financials'!E25</f>
        <v/>
      </c>
      <c r="G10" s="24">
        <f>'Condensed Financials'!F25</f>
        <v/>
      </c>
    </row>
    <row r="11">
      <c r="A11" s="12" t="inlineStr">
        <is>
          <t>After-tax Normalization Adjustment</t>
        </is>
      </c>
      <c r="C11" s="19">
        <f>C9*(1-C10)</f>
        <v/>
      </c>
      <c r="D11" s="19">
        <f>D9*(1-D10)</f>
        <v/>
      </c>
      <c r="E11" s="19">
        <f>E9*(1-E10)</f>
        <v/>
      </c>
      <c r="F11" s="19">
        <f>F9*(1-F10)</f>
        <v/>
      </c>
      <c r="G11" s="19">
        <f>G9*(1-G10)</f>
        <v/>
      </c>
    </row>
    <row r="12">
      <c r="A12" s="12" t="inlineStr">
        <is>
          <t>Normalized NOPAT</t>
        </is>
      </c>
      <c r="C12" s="19">
        <f>C7+C11</f>
        <v/>
      </c>
      <c r="D12" s="19">
        <f>D7+D11</f>
        <v/>
      </c>
      <c r="E12" s="19">
        <f>E7+E11</f>
        <v/>
      </c>
      <c r="F12" s="19">
        <f>F7+F11</f>
        <v/>
      </c>
      <c r="G12" s="19">
        <f>G7+G11</f>
        <v/>
      </c>
    </row>
    <row r="13">
      <c r="A13" s="12" t="inlineStr">
        <is>
          <t>Normalized Net Income</t>
        </is>
      </c>
      <c r="C13" s="19">
        <f>C8+C11</f>
        <v/>
      </c>
      <c r="D13" s="19">
        <f>D8+D11</f>
        <v/>
      </c>
      <c r="E13" s="19">
        <f>E8+E11</f>
        <v/>
      </c>
      <c r="F13" s="19">
        <f>F8+F11</f>
        <v/>
      </c>
      <c r="G13" s="19">
        <f>G8+G11</f>
        <v/>
      </c>
    </row>
    <row r="14">
      <c r="A14" s="10" t="inlineStr">
        <is>
          <t>NORMALIZATION CHECK</t>
        </is>
      </c>
      <c r="C14" s="12">
        <f>IF(AND(ABS((C12-C7)-C11)&lt;0.01,ABS((C13-C8)-C11)&lt;0.01),"OK","CHECK")</f>
        <v/>
      </c>
      <c r="D14" s="12">
        <f>IF(AND(ABS((D12-D7)-D11)&lt;0.01,ABS((D13-D8)-D11)&lt;0.01),"OK","CHECK")</f>
        <v/>
      </c>
      <c r="E14" s="12">
        <f>IF(AND(ABS((E12-E7)-E11)&lt;0.01,ABS((E13-E8)-E11)&lt;0.01),"OK","CHECK")</f>
        <v/>
      </c>
      <c r="F14" s="12">
        <f>IF(AND(ABS((F12-F7)-F11)&lt;0.01,ABS((F13-F8)-F11)&lt;0.01),"OK","CHECK")</f>
        <v/>
      </c>
      <c r="G14" s="12">
        <f>IF(AND(ABS((G12-G7)-G11)&lt;0.01,ABS((G13-G8)-G11)&lt;0.01),"OK","CHECK")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1" t="inlineStr">
        <is>
          <t>Deferred from historical-only v1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1" t="inlineStr">
        <is>
          <t>Deferred from historical-only v1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1" t="inlineStr">
        <is>
          <t>Deferred from historical-only v1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1" t="inlineStr">
        <is>
          <t>Deferred from historical-only v1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</t>
        </is>
      </c>
      <c r="C1" s="1" t="inlineStr">
        <is>
          <t>title</t>
        </is>
      </c>
      <c r="D1" s="1" t="inlineStr">
        <is>
          <t>short_hint</t>
        </is>
      </c>
      <c r="E1" s="1" t="inlineStr">
        <is>
          <t>semantic_key</t>
        </is>
      </c>
      <c r="F1" s="1" t="inlineStr">
        <is>
          <t>category</t>
        </is>
      </c>
      <c r="G1" s="1" t="inlineStr">
        <is>
          <t>tab</t>
        </is>
      </c>
      <c r="H1" s="1" t="inlineStr">
        <is>
          <t>cell</t>
        </is>
      </c>
      <c r="I1" s="1" t="inlineStr">
        <is>
          <t>formula</t>
        </is>
      </c>
      <c r="J1" s="1" t="inlineStr">
        <is>
          <t>expected_value</t>
        </is>
      </c>
      <c r="K1" s="1" t="inlineStr">
        <is>
          <t>tolerance</t>
        </is>
      </c>
      <c r="L1" s="1" t="inlineStr">
        <is>
          <t>depends_on</t>
        </is>
      </c>
      <c r="M1" s="1" t="inlineStr">
        <is>
          <t>hints</t>
        </is>
      </c>
      <c r="N1" s="1" t="inlineStr">
        <is>
          <t>related_cells</t>
        </is>
      </c>
      <c r="O1" s="1" t="inlineStr">
        <is>
          <t>status</t>
        </is>
      </c>
      <c r="P1" s="1" t="inlineStr">
        <is>
          <t>family_id</t>
        </is>
      </c>
      <c r="Q1" s="1" t="inlineStr">
        <is>
          <t>family_order</t>
        </is>
      </c>
      <c r="R1" s="1" t="inlineStr">
        <is>
          <t>period_index</t>
        </is>
      </c>
      <c r="S1" s="1" t="inlineStr">
        <is>
          <t>period_end</t>
        </is>
      </c>
    </row>
    <row r="2">
      <c r="A2" t="inlineStr">
        <is>
          <t>revenue_link__20211231</t>
        </is>
      </c>
      <c r="B2" t="n">
        <v>1</v>
      </c>
      <c r="C2" t="inlineStr">
        <is>
          <t>Revenue historical source link</t>
        </is>
      </c>
      <c r="D2" t="inlineStr">
        <is>
          <t>Link Revenue from the Income Statement into Condensed Financials.</t>
        </is>
      </c>
      <c r="E2" t="inlineStr">
        <is>
          <t>condensed.revenue_link.2021-12-31</t>
        </is>
      </c>
      <c r="F2" t="inlineStr">
        <is>
          <t>accounting</t>
        </is>
      </c>
      <c r="G2" t="inlineStr">
        <is>
          <t>Condensed Financials</t>
        </is>
      </c>
      <c r="H2" t="inlineStr">
        <is>
          <t>B19</t>
        </is>
      </c>
      <c r="I2">
        <f>'Income Statement'!B7</f>
        <v/>
      </c>
      <c r="J2" t="n">
        <v>8500</v>
      </c>
      <c r="K2" t="n">
        <v>0.01</v>
      </c>
      <c r="M2" t="inlineStr">
        <is>
          <t>Pull the Revenue line from the Income Statement for the same fiscal period.</t>
        </is>
      </c>
      <c r="O2" t="inlineStr">
        <is>
          <t>pending</t>
        </is>
      </c>
      <c r="P2" t="inlineStr">
        <is>
          <t>revenue_link</t>
        </is>
      </c>
      <c r="Q2" t="n">
        <v>1</v>
      </c>
      <c r="R2" t="n">
        <v>0</v>
      </c>
      <c r="S2" t="inlineStr">
        <is>
          <t>2021-12-31</t>
        </is>
      </c>
    </row>
    <row r="3">
      <c r="A3" t="inlineStr">
        <is>
          <t>revenue_link__20221231</t>
        </is>
      </c>
      <c r="B3" t="n">
        <v>2</v>
      </c>
      <c r="C3" t="inlineStr">
        <is>
          <t>Revenue historical source link</t>
        </is>
      </c>
      <c r="D3" t="inlineStr">
        <is>
          <t>Link Revenue from the Income Statement into Condensed Financials.</t>
        </is>
      </c>
      <c r="E3" t="inlineStr">
        <is>
          <t>condensed.revenue_link.2022-12-31</t>
        </is>
      </c>
      <c r="F3" t="inlineStr">
        <is>
          <t>accounting</t>
        </is>
      </c>
      <c r="G3" t="inlineStr">
        <is>
          <t>Condensed Financials</t>
        </is>
      </c>
      <c r="H3" t="inlineStr">
        <is>
          <t>C19</t>
        </is>
      </c>
      <c r="I3">
        <f>'Income Statement'!C7</f>
        <v/>
      </c>
      <c r="J3" t="n">
        <v>9200</v>
      </c>
      <c r="K3" t="n">
        <v>0.01</v>
      </c>
      <c r="M3" t="inlineStr">
        <is>
          <t>Pull the Revenue line from the Income Statement for the same fiscal period.</t>
        </is>
      </c>
      <c r="O3" t="inlineStr">
        <is>
          <t>pending</t>
        </is>
      </c>
      <c r="P3" t="inlineStr">
        <is>
          <t>revenue_link</t>
        </is>
      </c>
      <c r="Q3" t="n">
        <v>1</v>
      </c>
      <c r="R3" t="n">
        <v>1</v>
      </c>
      <c r="S3" t="inlineStr">
        <is>
          <t>2022-12-31</t>
        </is>
      </c>
    </row>
    <row r="4">
      <c r="A4" t="inlineStr">
        <is>
          <t>revenue_link__20231231</t>
        </is>
      </c>
      <c r="B4" t="n">
        <v>3</v>
      </c>
      <c r="C4" t="inlineStr">
        <is>
          <t>Revenue historical source link</t>
        </is>
      </c>
      <c r="D4" t="inlineStr">
        <is>
          <t>Link Revenue from the Income Statement into Condensed Financials.</t>
        </is>
      </c>
      <c r="E4" t="inlineStr">
        <is>
          <t>condensed.revenue_link.2023-12-31</t>
        </is>
      </c>
      <c r="F4" t="inlineStr">
        <is>
          <t>accounting</t>
        </is>
      </c>
      <c r="G4" t="inlineStr">
        <is>
          <t>Condensed Financials</t>
        </is>
      </c>
      <c r="H4" t="inlineStr">
        <is>
          <t>D19</t>
        </is>
      </c>
      <c r="I4">
        <f>'Income Statement'!D7</f>
        <v/>
      </c>
      <c r="J4" t="n">
        <v>10100</v>
      </c>
      <c r="K4" t="n">
        <v>0.01</v>
      </c>
      <c r="M4" t="inlineStr">
        <is>
          <t>Pull the Revenue line from the Income Statement for the same fiscal period.</t>
        </is>
      </c>
      <c r="O4" t="inlineStr">
        <is>
          <t>pending</t>
        </is>
      </c>
      <c r="P4" t="inlineStr">
        <is>
          <t>revenue_link</t>
        </is>
      </c>
      <c r="Q4" t="n">
        <v>1</v>
      </c>
      <c r="R4" t="n">
        <v>2</v>
      </c>
      <c r="S4" t="inlineStr">
        <is>
          <t>2023-12-31</t>
        </is>
      </c>
    </row>
    <row r="5">
      <c r="A5" t="inlineStr">
        <is>
          <t>revenue_link__20241231</t>
        </is>
      </c>
      <c r="B5" t="n">
        <v>4</v>
      </c>
      <c r="C5" t="inlineStr">
        <is>
          <t>Revenue historical source link</t>
        </is>
      </c>
      <c r="D5" t="inlineStr">
        <is>
          <t>Link Revenue from the Income Statement into Condensed Financials.</t>
        </is>
      </c>
      <c r="E5" t="inlineStr">
        <is>
          <t>condensed.revenue_link.2024-12-31</t>
        </is>
      </c>
      <c r="F5" t="inlineStr">
        <is>
          <t>accounting</t>
        </is>
      </c>
      <c r="G5" t="inlineStr">
        <is>
          <t>Condensed Financials</t>
        </is>
      </c>
      <c r="H5" t="inlineStr">
        <is>
          <t>E19</t>
        </is>
      </c>
      <c r="I5">
        <f>'Income Statement'!E7</f>
        <v/>
      </c>
      <c r="J5" t="n">
        <v>11200</v>
      </c>
      <c r="K5" t="n">
        <v>0.01</v>
      </c>
      <c r="M5" t="inlineStr">
        <is>
          <t>Pull the Revenue line from the Income Statement for the same fiscal period.</t>
        </is>
      </c>
      <c r="O5" t="inlineStr">
        <is>
          <t>pending</t>
        </is>
      </c>
      <c r="P5" t="inlineStr">
        <is>
          <t>revenue_link</t>
        </is>
      </c>
      <c r="Q5" t="n">
        <v>1</v>
      </c>
      <c r="R5" t="n">
        <v>3</v>
      </c>
      <c r="S5" t="inlineStr">
        <is>
          <t>2024-12-31</t>
        </is>
      </c>
    </row>
    <row r="6">
      <c r="A6" t="inlineStr">
        <is>
          <t>revenue_link__20251231</t>
        </is>
      </c>
      <c r="B6" t="n">
        <v>5</v>
      </c>
      <c r="C6" t="inlineStr">
        <is>
          <t>Revenue historical source link</t>
        </is>
      </c>
      <c r="D6" t="inlineStr">
        <is>
          <t>Link Revenue from the Income Statement into Condensed Financials.</t>
        </is>
      </c>
      <c r="E6" t="inlineStr">
        <is>
          <t>condensed.revenue_link.2025-12-31</t>
        </is>
      </c>
      <c r="F6" t="inlineStr">
        <is>
          <t>accounting</t>
        </is>
      </c>
      <c r="G6" t="inlineStr">
        <is>
          <t>Condensed Financials</t>
        </is>
      </c>
      <c r="H6" t="inlineStr">
        <is>
          <t>F19</t>
        </is>
      </c>
      <c r="I6">
        <f>'Income Statement'!F7</f>
        <v/>
      </c>
      <c r="J6" t="n">
        <v>12500</v>
      </c>
      <c r="K6" t="n">
        <v>0.01</v>
      </c>
      <c r="M6" t="inlineStr">
        <is>
          <t>Pull the Revenue line from the Income Statement for the same fiscal period.</t>
        </is>
      </c>
      <c r="O6" t="inlineStr">
        <is>
          <t>pending</t>
        </is>
      </c>
      <c r="P6" t="inlineStr">
        <is>
          <t>revenue_link</t>
        </is>
      </c>
      <c r="Q6" t="n">
        <v>1</v>
      </c>
      <c r="R6" t="n">
        <v>4</v>
      </c>
      <c r="S6" t="inlineStr">
        <is>
          <t>2025-12-31</t>
        </is>
      </c>
    </row>
    <row r="7">
      <c r="A7" t="inlineStr">
        <is>
          <t>net_income_link__20211231</t>
        </is>
      </c>
      <c r="B7" t="n">
        <v>6</v>
      </c>
      <c r="C7" t="inlineStr">
        <is>
          <t>Net Income historical source link</t>
        </is>
      </c>
      <c r="D7" t="inlineStr">
        <is>
          <t>Link Net Income from the Income Statement into Condensed Financials.</t>
        </is>
      </c>
      <c r="E7" t="inlineStr">
        <is>
          <t>condensed.net_income_link.2021-12-31</t>
        </is>
      </c>
      <c r="F7" t="inlineStr">
        <is>
          <t>accounting</t>
        </is>
      </c>
      <c r="G7" t="inlineStr">
        <is>
          <t>Condensed Financials</t>
        </is>
      </c>
      <c r="H7" t="inlineStr">
        <is>
          <t>B20</t>
        </is>
      </c>
      <c r="I7">
        <f>'Income Statement'!B17</f>
        <v/>
      </c>
      <c r="J7" t="n">
        <v>2760</v>
      </c>
      <c r="K7" t="n">
        <v>0.01</v>
      </c>
      <c r="M7" t="inlineStr">
        <is>
          <t>Pull Net Income from the Income Statement for the same fiscal period.</t>
        </is>
      </c>
      <c r="O7" t="inlineStr">
        <is>
          <t>pending</t>
        </is>
      </c>
      <c r="P7" t="inlineStr">
        <is>
          <t>net_income_link</t>
        </is>
      </c>
      <c r="Q7" t="n">
        <v>2</v>
      </c>
      <c r="R7" t="n">
        <v>0</v>
      </c>
      <c r="S7" t="inlineStr">
        <is>
          <t>2021-12-31</t>
        </is>
      </c>
    </row>
    <row r="8">
      <c r="A8" t="inlineStr">
        <is>
          <t>net_income_link__20221231</t>
        </is>
      </c>
      <c r="B8" t="n">
        <v>7</v>
      </c>
      <c r="C8" t="inlineStr">
        <is>
          <t>Net Income historical source link</t>
        </is>
      </c>
      <c r="D8" t="inlineStr">
        <is>
          <t>Link Net Income from the Income Statement into Condensed Financials.</t>
        </is>
      </c>
      <c r="E8" t="inlineStr">
        <is>
          <t>condensed.net_income_link.2022-12-31</t>
        </is>
      </c>
      <c r="F8" t="inlineStr">
        <is>
          <t>accounting</t>
        </is>
      </c>
      <c r="G8" t="inlineStr">
        <is>
          <t>Condensed Financials</t>
        </is>
      </c>
      <c r="H8" t="inlineStr">
        <is>
          <t>C20</t>
        </is>
      </c>
      <c r="I8">
        <f>'Income Statement'!C17</f>
        <v/>
      </c>
      <c r="J8" t="n">
        <v>2988</v>
      </c>
      <c r="K8" t="n">
        <v>0.01</v>
      </c>
      <c r="M8" t="inlineStr">
        <is>
          <t>Pull Net Income from the Income Statement for the same fiscal period.</t>
        </is>
      </c>
      <c r="O8" t="inlineStr">
        <is>
          <t>pending</t>
        </is>
      </c>
      <c r="P8" t="inlineStr">
        <is>
          <t>net_income_link</t>
        </is>
      </c>
      <c r="Q8" t="n">
        <v>2</v>
      </c>
      <c r="R8" t="n">
        <v>1</v>
      </c>
      <c r="S8" t="inlineStr">
        <is>
          <t>2022-12-31</t>
        </is>
      </c>
    </row>
    <row r="9">
      <c r="A9" t="inlineStr">
        <is>
          <t>net_income_link__20231231</t>
        </is>
      </c>
      <c r="B9" t="n">
        <v>8</v>
      </c>
      <c r="C9" t="inlineStr">
        <is>
          <t>Net Income historical source link</t>
        </is>
      </c>
      <c r="D9" t="inlineStr">
        <is>
          <t>Link Net Income from the Income Statement into Condensed Financials.</t>
        </is>
      </c>
      <c r="E9" t="inlineStr">
        <is>
          <t>condensed.net_income_link.2023-12-31</t>
        </is>
      </c>
      <c r="F9" t="inlineStr">
        <is>
          <t>accounting</t>
        </is>
      </c>
      <c r="G9" t="inlineStr">
        <is>
          <t>Condensed Financials</t>
        </is>
      </c>
      <c r="H9" t="inlineStr">
        <is>
          <t>D20</t>
        </is>
      </c>
      <c r="I9">
        <f>'Income Statement'!D17</f>
        <v/>
      </c>
      <c r="J9" t="n">
        <v>3283</v>
      </c>
      <c r="K9" t="n">
        <v>0.01</v>
      </c>
      <c r="M9" t="inlineStr">
        <is>
          <t>Pull Net Income from the Income Statement for the same fiscal period.</t>
        </is>
      </c>
      <c r="O9" t="inlineStr">
        <is>
          <t>pending</t>
        </is>
      </c>
      <c r="P9" t="inlineStr">
        <is>
          <t>net_income_link</t>
        </is>
      </c>
      <c r="Q9" t="n">
        <v>2</v>
      </c>
      <c r="R9" t="n">
        <v>2</v>
      </c>
      <c r="S9" t="inlineStr">
        <is>
          <t>2023-12-31</t>
        </is>
      </c>
    </row>
    <row r="10">
      <c r="A10" t="inlineStr">
        <is>
          <t>net_income_link__20241231</t>
        </is>
      </c>
      <c r="B10" t="n">
        <v>9</v>
      </c>
      <c r="C10" t="inlineStr">
        <is>
          <t>Net Income historical source link</t>
        </is>
      </c>
      <c r="D10" t="inlineStr">
        <is>
          <t>Link Net Income from the Income Statement into Condensed Financials.</t>
        </is>
      </c>
      <c r="E10" t="inlineStr">
        <is>
          <t>condensed.net_income_link.2024-12-31</t>
        </is>
      </c>
      <c r="F10" t="inlineStr">
        <is>
          <t>accounting</t>
        </is>
      </c>
      <c r="G10" t="inlineStr">
        <is>
          <t>Condensed Financials</t>
        </is>
      </c>
      <c r="H10" t="inlineStr">
        <is>
          <t>E20</t>
        </is>
      </c>
      <c r="I10">
        <f>'Income Statement'!E17</f>
        <v/>
      </c>
      <c r="J10" t="n">
        <v>3644</v>
      </c>
      <c r="K10" t="n">
        <v>0.01</v>
      </c>
      <c r="M10" t="inlineStr">
        <is>
          <t>Pull Net Income from the Income Statement for the same fiscal period.</t>
        </is>
      </c>
      <c r="O10" t="inlineStr">
        <is>
          <t>pending</t>
        </is>
      </c>
      <c r="P10" t="inlineStr">
        <is>
          <t>net_income_link</t>
        </is>
      </c>
      <c r="Q10" t="n">
        <v>2</v>
      </c>
      <c r="R10" t="n">
        <v>3</v>
      </c>
      <c r="S10" t="inlineStr">
        <is>
          <t>2024-12-31</t>
        </is>
      </c>
    </row>
    <row r="11">
      <c r="A11" t="inlineStr">
        <is>
          <t>net_income_link__20251231</t>
        </is>
      </c>
      <c r="B11" t="n">
        <v>10</v>
      </c>
      <c r="C11" t="inlineStr">
        <is>
          <t>Net Income historical source link</t>
        </is>
      </c>
      <c r="D11" t="inlineStr">
        <is>
          <t>Link Net Income from the Income Statement into Condensed Financials.</t>
        </is>
      </c>
      <c r="E11" t="inlineStr">
        <is>
          <t>condensed.net_income_link.2025-12-31</t>
        </is>
      </c>
      <c r="F11" t="inlineStr">
        <is>
          <t>accounting</t>
        </is>
      </c>
      <c r="G11" t="inlineStr">
        <is>
          <t>Condensed Financials</t>
        </is>
      </c>
      <c r="H11" t="inlineStr">
        <is>
          <t>F20</t>
        </is>
      </c>
      <c r="I11">
        <f>'Income Statement'!F17</f>
        <v/>
      </c>
      <c r="J11" t="n">
        <v>4072</v>
      </c>
      <c r="K11" t="n">
        <v>0.01</v>
      </c>
      <c r="M11" t="inlineStr">
        <is>
          <t>Pull Net Income from the Income Statement for the same fiscal period.</t>
        </is>
      </c>
      <c r="O11" t="inlineStr">
        <is>
          <t>pending</t>
        </is>
      </c>
      <c r="P11" t="inlineStr">
        <is>
          <t>net_income_link</t>
        </is>
      </c>
      <c r="Q11" t="n">
        <v>2</v>
      </c>
      <c r="R11" t="n">
        <v>4</v>
      </c>
      <c r="S11" t="inlineStr">
        <is>
          <t>2025-12-31</t>
        </is>
      </c>
    </row>
    <row r="12">
      <c r="A12" t="inlineStr">
        <is>
          <t>effective_tax_rate_fy__20211231</t>
        </is>
      </c>
      <c r="B12" t="n">
        <v>11</v>
      </c>
      <c r="C12" t="inlineStr">
        <is>
          <t>Effective tax rate</t>
        </is>
      </c>
      <c r="D12" t="inlineStr">
        <is>
          <t>Relate tax expense to pretax income using the model's sign convention.</t>
        </is>
      </c>
      <c r="E12" t="inlineStr">
        <is>
          <t>condensed.effective_tax_rate.2021-12-31</t>
        </is>
      </c>
      <c r="F12" t="inlineStr">
        <is>
          <t>accounting</t>
        </is>
      </c>
      <c r="G12" t="inlineStr">
        <is>
          <t>Condensed Financials</t>
        </is>
      </c>
      <c r="H12" t="inlineStr">
        <is>
          <t>B25</t>
        </is>
      </c>
      <c r="I12">
        <f>IF(B21=0,0,-B22/B21)</f>
        <v/>
      </c>
      <c r="J12" t="n">
        <v>0.1699248120300752</v>
      </c>
      <c r="K12" t="n">
        <v>0.01</v>
      </c>
      <c r="M12" t="inlineStr">
        <is>
          <t>Effective tax rate uses pretax income in the denominator.|Preserve the model's sign convention for tax expense.</t>
        </is>
      </c>
      <c r="O12" t="inlineStr">
        <is>
          <t>pending</t>
        </is>
      </c>
      <c r="P12" t="inlineStr">
        <is>
          <t>effective_tax_rate_fy</t>
        </is>
      </c>
      <c r="Q12" t="n">
        <v>3</v>
      </c>
      <c r="R12" t="n">
        <v>0</v>
      </c>
      <c r="S12" t="inlineStr">
        <is>
          <t>2021-12-31</t>
        </is>
      </c>
    </row>
    <row r="13">
      <c r="A13" t="inlineStr">
        <is>
          <t>effective_tax_rate_fy__20221231</t>
        </is>
      </c>
      <c r="B13" t="n">
        <v>12</v>
      </c>
      <c r="C13" t="inlineStr">
        <is>
          <t>Effective tax rate</t>
        </is>
      </c>
      <c r="D13" t="inlineStr">
        <is>
          <t>Relate tax expense to pretax income using the model's sign convention.</t>
        </is>
      </c>
      <c r="E13" t="inlineStr">
        <is>
          <t>condensed.effective_tax_rate.2022-12-31</t>
        </is>
      </c>
      <c r="F13" t="inlineStr">
        <is>
          <t>accounting</t>
        </is>
      </c>
      <c r="G13" t="inlineStr">
        <is>
          <t>Condensed Financials</t>
        </is>
      </c>
      <c r="H13" t="inlineStr">
        <is>
          <t>C25</t>
        </is>
      </c>
      <c r="I13">
        <f>IF(C21=0,0,-C22/C21)</f>
        <v/>
      </c>
      <c r="J13" t="n">
        <v>0.17</v>
      </c>
      <c r="K13" t="n">
        <v>0.01</v>
      </c>
      <c r="M13" t="inlineStr">
        <is>
          <t>Effective tax rate uses pretax income in the denominator.|Preserve the model's sign convention for tax expense.</t>
        </is>
      </c>
      <c r="O13" t="inlineStr">
        <is>
          <t>pending</t>
        </is>
      </c>
      <c r="P13" t="inlineStr">
        <is>
          <t>effective_tax_rate_fy</t>
        </is>
      </c>
      <c r="Q13" t="n">
        <v>3</v>
      </c>
      <c r="R13" t="n">
        <v>1</v>
      </c>
      <c r="S13" t="inlineStr">
        <is>
          <t>2022-12-31</t>
        </is>
      </c>
    </row>
    <row r="14">
      <c r="A14" t="inlineStr">
        <is>
          <t>effective_tax_rate_fy__20231231</t>
        </is>
      </c>
      <c r="B14" t="n">
        <v>13</v>
      </c>
      <c r="C14" t="inlineStr">
        <is>
          <t>Effective tax rate</t>
        </is>
      </c>
      <c r="D14" t="inlineStr">
        <is>
          <t>Relate tax expense to pretax income using the model's sign convention.</t>
        </is>
      </c>
      <c r="E14" t="inlineStr">
        <is>
          <t>condensed.effective_tax_rate.2023-12-31</t>
        </is>
      </c>
      <c r="F14" t="inlineStr">
        <is>
          <t>accounting</t>
        </is>
      </c>
      <c r="G14" t="inlineStr">
        <is>
          <t>Condensed Financials</t>
        </is>
      </c>
      <c r="H14" t="inlineStr">
        <is>
          <t>D25</t>
        </is>
      </c>
      <c r="I14">
        <f>IF(D21=0,0,-D22/D21)</f>
        <v/>
      </c>
      <c r="J14" t="n">
        <v>0.1699115044247788</v>
      </c>
      <c r="K14" t="n">
        <v>0.01</v>
      </c>
      <c r="M14" t="inlineStr">
        <is>
          <t>Effective tax rate uses pretax income in the denominator.|Preserve the model's sign convention for tax expense.</t>
        </is>
      </c>
      <c r="O14" t="inlineStr">
        <is>
          <t>pending</t>
        </is>
      </c>
      <c r="P14" t="inlineStr">
        <is>
          <t>effective_tax_rate_fy</t>
        </is>
      </c>
      <c r="Q14" t="n">
        <v>3</v>
      </c>
      <c r="R14" t="n">
        <v>2</v>
      </c>
      <c r="S14" t="inlineStr">
        <is>
          <t>2023-12-31</t>
        </is>
      </c>
    </row>
    <row r="15">
      <c r="A15" t="inlineStr">
        <is>
          <t>effective_tax_rate_fy__20241231</t>
        </is>
      </c>
      <c r="B15" t="n">
        <v>14</v>
      </c>
      <c r="C15" t="inlineStr">
        <is>
          <t>Effective tax rate</t>
        </is>
      </c>
      <c r="D15" t="inlineStr">
        <is>
          <t>Relate tax expense to pretax income using the model's sign convention.</t>
        </is>
      </c>
      <c r="E15" t="inlineStr">
        <is>
          <t>condensed.effective_tax_rate.2024-12-31</t>
        </is>
      </c>
      <c r="F15" t="inlineStr">
        <is>
          <t>accounting</t>
        </is>
      </c>
      <c r="G15" t="inlineStr">
        <is>
          <t>Condensed Financials</t>
        </is>
      </c>
      <c r="H15" t="inlineStr">
        <is>
          <t>E25</t>
        </is>
      </c>
      <c r="I15">
        <f>IF(E21=0,0,-E22/E21)</f>
        <v/>
      </c>
      <c r="J15" t="n">
        <v>0.1699316628701595</v>
      </c>
      <c r="K15" t="n">
        <v>0.01</v>
      </c>
      <c r="M15" t="inlineStr">
        <is>
          <t>Effective tax rate uses pretax income in the denominator.|Preserve the model's sign convention for tax expense.</t>
        </is>
      </c>
      <c r="O15" t="inlineStr">
        <is>
          <t>pending</t>
        </is>
      </c>
      <c r="P15" t="inlineStr">
        <is>
          <t>effective_tax_rate_fy</t>
        </is>
      </c>
      <c r="Q15" t="n">
        <v>3</v>
      </c>
      <c r="R15" t="n">
        <v>3</v>
      </c>
      <c r="S15" t="inlineStr">
        <is>
          <t>2024-12-31</t>
        </is>
      </c>
    </row>
    <row r="16">
      <c r="A16" t="inlineStr">
        <is>
          <t>effective_tax_rate_fy__20251231</t>
        </is>
      </c>
      <c r="B16" t="n">
        <v>15</v>
      </c>
      <c r="C16" t="inlineStr">
        <is>
          <t>Effective tax rate</t>
        </is>
      </c>
      <c r="D16" t="inlineStr">
        <is>
          <t>Relate tax expense to pretax income using the model's sign convention.</t>
        </is>
      </c>
      <c r="E16" t="inlineStr">
        <is>
          <t>condensed.effective_tax_rate.2025-12-31</t>
        </is>
      </c>
      <c r="F16" t="inlineStr">
        <is>
          <t>accounting</t>
        </is>
      </c>
      <c r="G16" t="inlineStr">
        <is>
          <t>Condensed Financials</t>
        </is>
      </c>
      <c r="H16" t="inlineStr">
        <is>
          <t>F25</t>
        </is>
      </c>
      <c r="I16">
        <f>IF(F21=0,0,-F22/F21)</f>
        <v/>
      </c>
      <c r="J16" t="n">
        <v>0.1698267074413863</v>
      </c>
      <c r="K16" t="n">
        <v>0.01</v>
      </c>
      <c r="M16" t="inlineStr">
        <is>
          <t>Effective tax rate uses pretax income in the denominator.|Preserve the model's sign convention for tax expense.</t>
        </is>
      </c>
      <c r="O16" t="inlineStr">
        <is>
          <t>pending</t>
        </is>
      </c>
      <c r="P16" t="inlineStr">
        <is>
          <t>effective_tax_rate_fy</t>
        </is>
      </c>
      <c r="Q16" t="n">
        <v>3</v>
      </c>
      <c r="R16" t="n">
        <v>4</v>
      </c>
      <c r="S16" t="inlineStr">
        <is>
          <t>2025-12-31</t>
        </is>
      </c>
    </row>
    <row r="17">
      <c r="A17" t="inlineStr">
        <is>
          <t>net_interest_fy__20211231</t>
        </is>
      </c>
      <c r="B17" t="n">
        <v>16</v>
      </c>
      <c r="C17" t="inlineStr">
        <is>
          <t>Net interest</t>
        </is>
      </c>
      <c r="D17" t="inlineStr">
        <is>
          <t>Combine interest expense and interest income into the financing result.</t>
        </is>
      </c>
      <c r="E17" t="inlineStr">
        <is>
          <t>condensed.net_interest.2021-12-31</t>
        </is>
      </c>
      <c r="F17" t="inlineStr">
        <is>
          <t>accounting</t>
        </is>
      </c>
      <c r="G17" t="inlineStr">
        <is>
          <t>Condensed Financials</t>
        </is>
      </c>
      <c r="H17" t="inlineStr">
        <is>
          <t>B26</t>
        </is>
      </c>
      <c r="I17">
        <f>-(B23+B24)</f>
        <v/>
      </c>
      <c r="J17" t="n">
        <v>75</v>
      </c>
      <c r="K17" t="n">
        <v>0.01</v>
      </c>
      <c r="M17" t="inlineStr">
        <is>
          <t>Net interest consolidates interest expense and interest income.|Missing optional interest lines are treated as zero.</t>
        </is>
      </c>
      <c r="O17" t="inlineStr">
        <is>
          <t>pending</t>
        </is>
      </c>
      <c r="P17" t="inlineStr">
        <is>
          <t>net_interest_fy</t>
        </is>
      </c>
      <c r="Q17" t="n">
        <v>4</v>
      </c>
      <c r="R17" t="n">
        <v>0</v>
      </c>
      <c r="S17" t="inlineStr">
        <is>
          <t>2021-12-31</t>
        </is>
      </c>
    </row>
    <row r="18">
      <c r="A18" t="inlineStr">
        <is>
          <t>net_interest_fy__20221231</t>
        </is>
      </c>
      <c r="B18" t="n">
        <v>17</v>
      </c>
      <c r="C18" t="inlineStr">
        <is>
          <t>Net interest</t>
        </is>
      </c>
      <c r="D18" t="inlineStr">
        <is>
          <t>Combine interest expense and interest income into the financing result.</t>
        </is>
      </c>
      <c r="E18" t="inlineStr">
        <is>
          <t>condensed.net_interest.2022-12-31</t>
        </is>
      </c>
      <c r="F18" t="inlineStr">
        <is>
          <t>accounting</t>
        </is>
      </c>
      <c r="G18" t="inlineStr">
        <is>
          <t>Condensed Financials</t>
        </is>
      </c>
      <c r="H18" t="inlineStr">
        <is>
          <t>C26</t>
        </is>
      </c>
      <c r="I18">
        <f>-(C23+C24)</f>
        <v/>
      </c>
      <c r="J18" t="n">
        <v>80</v>
      </c>
      <c r="K18" t="n">
        <v>0.01</v>
      </c>
      <c r="M18" t="inlineStr">
        <is>
          <t>Net interest consolidates interest expense and interest income.|Missing optional interest lines are treated as zero.</t>
        </is>
      </c>
      <c r="O18" t="inlineStr">
        <is>
          <t>pending</t>
        </is>
      </c>
      <c r="P18" t="inlineStr">
        <is>
          <t>net_interest_fy</t>
        </is>
      </c>
      <c r="Q18" t="n">
        <v>4</v>
      </c>
      <c r="R18" t="n">
        <v>1</v>
      </c>
      <c r="S18" t="inlineStr">
        <is>
          <t>2022-12-31</t>
        </is>
      </c>
    </row>
    <row r="19">
      <c r="A19" t="inlineStr">
        <is>
          <t>net_interest_fy__20231231</t>
        </is>
      </c>
      <c r="B19" t="n">
        <v>18</v>
      </c>
      <c r="C19" t="inlineStr">
        <is>
          <t>Net interest</t>
        </is>
      </c>
      <c r="D19" t="inlineStr">
        <is>
          <t>Combine interest expense and interest income into the financing result.</t>
        </is>
      </c>
      <c r="E19" t="inlineStr">
        <is>
          <t>condensed.net_interest.2023-12-31</t>
        </is>
      </c>
      <c r="F19" t="inlineStr">
        <is>
          <t>accounting</t>
        </is>
      </c>
      <c r="G19" t="inlineStr">
        <is>
          <t>Condensed Financials</t>
        </is>
      </c>
      <c r="H19" t="inlineStr">
        <is>
          <t>D26</t>
        </is>
      </c>
      <c r="I19">
        <f>-(D23+D24)</f>
        <v/>
      </c>
      <c r="J19" t="n">
        <v>85</v>
      </c>
      <c r="K19" t="n">
        <v>0.01</v>
      </c>
      <c r="M19" t="inlineStr">
        <is>
          <t>Net interest consolidates interest expense and interest income.|Missing optional interest lines are treated as zero.</t>
        </is>
      </c>
      <c r="O19" t="inlineStr">
        <is>
          <t>pending</t>
        </is>
      </c>
      <c r="P19" t="inlineStr">
        <is>
          <t>net_interest_fy</t>
        </is>
      </c>
      <c r="Q19" t="n">
        <v>4</v>
      </c>
      <c r="R19" t="n">
        <v>2</v>
      </c>
      <c r="S19" t="inlineStr">
        <is>
          <t>2023-12-31</t>
        </is>
      </c>
    </row>
    <row r="20">
      <c r="A20" t="inlineStr">
        <is>
          <t>net_interest_fy__20241231</t>
        </is>
      </c>
      <c r="B20" t="n">
        <v>19</v>
      </c>
      <c r="C20" t="inlineStr">
        <is>
          <t>Net interest</t>
        </is>
      </c>
      <c r="D20" t="inlineStr">
        <is>
          <t>Combine interest expense and interest income into the financing result.</t>
        </is>
      </c>
      <c r="E20" t="inlineStr">
        <is>
          <t>condensed.net_interest.2024-12-31</t>
        </is>
      </c>
      <c r="F20" t="inlineStr">
        <is>
          <t>accounting</t>
        </is>
      </c>
      <c r="G20" t="inlineStr">
        <is>
          <t>Condensed Financials</t>
        </is>
      </c>
      <c r="H20" t="inlineStr">
        <is>
          <t>E26</t>
        </is>
      </c>
      <c r="I20">
        <f>-(E23+E24)</f>
        <v/>
      </c>
      <c r="J20" t="n">
        <v>90</v>
      </c>
      <c r="K20" t="n">
        <v>0.01</v>
      </c>
      <c r="M20" t="inlineStr">
        <is>
          <t>Net interest consolidates interest expense and interest income.|Missing optional interest lines are treated as zero.</t>
        </is>
      </c>
      <c r="O20" t="inlineStr">
        <is>
          <t>pending</t>
        </is>
      </c>
      <c r="P20" t="inlineStr">
        <is>
          <t>net_interest_fy</t>
        </is>
      </c>
      <c r="Q20" t="n">
        <v>4</v>
      </c>
      <c r="R20" t="n">
        <v>3</v>
      </c>
      <c r="S20" t="inlineStr">
        <is>
          <t>2024-12-31</t>
        </is>
      </c>
    </row>
    <row r="21">
      <c r="A21" t="inlineStr">
        <is>
          <t>net_interest_fy__20251231</t>
        </is>
      </c>
      <c r="B21" t="n">
        <v>20</v>
      </c>
      <c r="C21" t="inlineStr">
        <is>
          <t>Net interest</t>
        </is>
      </c>
      <c r="D21" t="inlineStr">
        <is>
          <t>Combine interest expense and interest income into the financing result.</t>
        </is>
      </c>
      <c r="E21" t="inlineStr">
        <is>
          <t>condensed.net_interest.2025-12-31</t>
        </is>
      </c>
      <c r="F21" t="inlineStr">
        <is>
          <t>accounting</t>
        </is>
      </c>
      <c r="G21" t="inlineStr">
        <is>
          <t>Condensed Financials</t>
        </is>
      </c>
      <c r="H21" t="inlineStr">
        <is>
          <t>F26</t>
        </is>
      </c>
      <c r="I21">
        <f>-(F23+F24)</f>
        <v/>
      </c>
      <c r="J21" t="n">
        <v>95</v>
      </c>
      <c r="K21" t="n">
        <v>0.01</v>
      </c>
      <c r="M21" t="inlineStr">
        <is>
          <t>Net interest consolidates interest expense and interest income.|Missing optional interest lines are treated as zero.</t>
        </is>
      </c>
      <c r="O21" t="inlineStr">
        <is>
          <t>pending</t>
        </is>
      </c>
      <c r="P21" t="inlineStr">
        <is>
          <t>net_interest_fy</t>
        </is>
      </c>
      <c r="Q21" t="n">
        <v>4</v>
      </c>
      <c r="R21" t="n">
        <v>4</v>
      </c>
      <c r="S21" t="inlineStr">
        <is>
          <t>2025-12-31</t>
        </is>
      </c>
    </row>
    <row r="22">
      <c r="A22" t="inlineStr">
        <is>
          <t>net_interest_after_tax_fy__20211231</t>
        </is>
      </c>
      <c r="B22" t="n">
        <v>21</v>
      </c>
      <c r="C22" t="inlineStr">
        <is>
          <t>Net interest after tax</t>
        </is>
      </c>
      <c r="D22" t="inlineStr">
        <is>
          <t>Apply the effective tax rate once to net interest.</t>
        </is>
      </c>
      <c r="E22" t="inlineStr">
        <is>
          <t>condensed.net_interest_after_tax.2021-12-31</t>
        </is>
      </c>
      <c r="F22" t="inlineStr">
        <is>
          <t>accounting</t>
        </is>
      </c>
      <c r="G22" t="inlineStr">
        <is>
          <t>Condensed Financials</t>
        </is>
      </c>
      <c r="H22" t="inlineStr">
        <is>
          <t>B27</t>
        </is>
      </c>
      <c r="I22">
        <f>B26*(1-B25)</f>
        <v/>
      </c>
      <c r="J22" t="n">
        <v>62.25563909774436</v>
      </c>
      <c r="K22" t="n">
        <v>0.01</v>
      </c>
      <c r="L22" t="inlineStr">
        <is>
          <t>effective_tax_rate_fy__20211231,net_interest_fy__20211231</t>
        </is>
      </c>
      <c r="M22" t="inlineStr">
        <is>
          <t>After-tax net interest = Net Interest × (1 − Effective Tax Rate).|Do not tax-adjust a rate that is already after tax.</t>
        </is>
      </c>
      <c r="O22" t="inlineStr">
        <is>
          <t>pending</t>
        </is>
      </c>
      <c r="P22" t="inlineStr">
        <is>
          <t>net_interest_after_tax_fy</t>
        </is>
      </c>
      <c r="Q22" t="n">
        <v>5</v>
      </c>
      <c r="R22" t="n">
        <v>0</v>
      </c>
      <c r="S22" t="inlineStr">
        <is>
          <t>2021-12-31</t>
        </is>
      </c>
    </row>
    <row r="23">
      <c r="A23" t="inlineStr">
        <is>
          <t>net_interest_after_tax_fy__20221231</t>
        </is>
      </c>
      <c r="B23" t="n">
        <v>22</v>
      </c>
      <c r="C23" t="inlineStr">
        <is>
          <t>Net interest after tax</t>
        </is>
      </c>
      <c r="D23" t="inlineStr">
        <is>
          <t>Apply the effective tax rate once to net interest.</t>
        </is>
      </c>
      <c r="E23" t="inlineStr">
        <is>
          <t>condensed.net_interest_after_tax.2022-12-31</t>
        </is>
      </c>
      <c r="F23" t="inlineStr">
        <is>
          <t>accounting</t>
        </is>
      </c>
      <c r="G23" t="inlineStr">
        <is>
          <t>Condensed Financials</t>
        </is>
      </c>
      <c r="H23" t="inlineStr">
        <is>
          <t>C27</t>
        </is>
      </c>
      <c r="I23">
        <f>C26*(1-C25)</f>
        <v/>
      </c>
      <c r="J23" t="n">
        <v>66.39999999999999</v>
      </c>
      <c r="K23" t="n">
        <v>0.01</v>
      </c>
      <c r="L23" t="inlineStr">
        <is>
          <t>effective_tax_rate_fy__20221231,net_interest_fy__20221231</t>
        </is>
      </c>
      <c r="M23" t="inlineStr">
        <is>
          <t>After-tax net interest = Net Interest × (1 − Effective Tax Rate).|Do not tax-adjust a rate that is already after tax.</t>
        </is>
      </c>
      <c r="O23" t="inlineStr">
        <is>
          <t>pending</t>
        </is>
      </c>
      <c r="P23" t="inlineStr">
        <is>
          <t>net_interest_after_tax_fy</t>
        </is>
      </c>
      <c r="Q23" t="n">
        <v>5</v>
      </c>
      <c r="R23" t="n">
        <v>1</v>
      </c>
      <c r="S23" t="inlineStr">
        <is>
          <t>2022-12-31</t>
        </is>
      </c>
    </row>
    <row r="24">
      <c r="A24" t="inlineStr">
        <is>
          <t>net_interest_after_tax_fy__20231231</t>
        </is>
      </c>
      <c r="B24" t="n">
        <v>23</v>
      </c>
      <c r="C24" t="inlineStr">
        <is>
          <t>Net interest after tax</t>
        </is>
      </c>
      <c r="D24" t="inlineStr">
        <is>
          <t>Apply the effective tax rate once to net interest.</t>
        </is>
      </c>
      <c r="E24" t="inlineStr">
        <is>
          <t>condensed.net_interest_after_tax.2023-12-31</t>
        </is>
      </c>
      <c r="F24" t="inlineStr">
        <is>
          <t>accounting</t>
        </is>
      </c>
      <c r="G24" t="inlineStr">
        <is>
          <t>Condensed Financials</t>
        </is>
      </c>
      <c r="H24" t="inlineStr">
        <is>
          <t>D27</t>
        </is>
      </c>
      <c r="I24">
        <f>D26*(1-D25)</f>
        <v/>
      </c>
      <c r="J24" t="n">
        <v>70.5575221238938</v>
      </c>
      <c r="K24" t="n">
        <v>0.01</v>
      </c>
      <c r="L24" t="inlineStr">
        <is>
          <t>effective_tax_rate_fy__20231231,net_interest_fy__20231231</t>
        </is>
      </c>
      <c r="M24" t="inlineStr">
        <is>
          <t>After-tax net interest = Net Interest × (1 − Effective Tax Rate).|Do not tax-adjust a rate that is already after tax.</t>
        </is>
      </c>
      <c r="O24" t="inlineStr">
        <is>
          <t>pending</t>
        </is>
      </c>
      <c r="P24" t="inlineStr">
        <is>
          <t>net_interest_after_tax_fy</t>
        </is>
      </c>
      <c r="Q24" t="n">
        <v>5</v>
      </c>
      <c r="R24" t="n">
        <v>2</v>
      </c>
      <c r="S24" t="inlineStr">
        <is>
          <t>2023-12-31</t>
        </is>
      </c>
    </row>
    <row r="25">
      <c r="A25" t="inlineStr">
        <is>
          <t>net_interest_after_tax_fy__20241231</t>
        </is>
      </c>
      <c r="B25" t="n">
        <v>24</v>
      </c>
      <c r="C25" t="inlineStr">
        <is>
          <t>Net interest after tax</t>
        </is>
      </c>
      <c r="D25" t="inlineStr">
        <is>
          <t>Apply the effective tax rate once to net interest.</t>
        </is>
      </c>
      <c r="E25" t="inlineStr">
        <is>
          <t>condensed.net_interest_after_tax.2024-12-31</t>
        </is>
      </c>
      <c r="F25" t="inlineStr">
        <is>
          <t>accounting</t>
        </is>
      </c>
      <c r="G25" t="inlineStr">
        <is>
          <t>Condensed Financials</t>
        </is>
      </c>
      <c r="H25" t="inlineStr">
        <is>
          <t>E27</t>
        </is>
      </c>
      <c r="I25">
        <f>E26*(1-E25)</f>
        <v/>
      </c>
      <c r="J25" t="n">
        <v>74.70615034168564</v>
      </c>
      <c r="K25" t="n">
        <v>0.01</v>
      </c>
      <c r="L25" t="inlineStr">
        <is>
          <t>effective_tax_rate_fy__20241231,net_interest_fy__20241231</t>
        </is>
      </c>
      <c r="M25" t="inlineStr">
        <is>
          <t>After-tax net interest = Net Interest × (1 − Effective Tax Rate).|Do not tax-adjust a rate that is already after tax.</t>
        </is>
      </c>
      <c r="O25" t="inlineStr">
        <is>
          <t>pending</t>
        </is>
      </c>
      <c r="P25" t="inlineStr">
        <is>
          <t>net_interest_after_tax_fy</t>
        </is>
      </c>
      <c r="Q25" t="n">
        <v>5</v>
      </c>
      <c r="R25" t="n">
        <v>3</v>
      </c>
      <c r="S25" t="inlineStr">
        <is>
          <t>2024-12-31</t>
        </is>
      </c>
    </row>
    <row r="26">
      <c r="A26" t="inlineStr">
        <is>
          <t>net_interest_after_tax_fy__20251231</t>
        </is>
      </c>
      <c r="B26" t="n">
        <v>25</v>
      </c>
      <c r="C26" t="inlineStr">
        <is>
          <t>Net interest after tax</t>
        </is>
      </c>
      <c r="D26" t="inlineStr">
        <is>
          <t>Apply the effective tax rate once to net interest.</t>
        </is>
      </c>
      <c r="E26" t="inlineStr">
        <is>
          <t>condensed.net_interest_after_tax.2025-12-31</t>
        </is>
      </c>
      <c r="F26" t="inlineStr">
        <is>
          <t>accounting</t>
        </is>
      </c>
      <c r="G26" t="inlineStr">
        <is>
          <t>Condensed Financials</t>
        </is>
      </c>
      <c r="H26" t="inlineStr">
        <is>
          <t>F27</t>
        </is>
      </c>
      <c r="I26">
        <f>F26*(1-F25)</f>
        <v/>
      </c>
      <c r="J26" t="n">
        <v>78.86646279306829</v>
      </c>
      <c r="K26" t="n">
        <v>0.01</v>
      </c>
      <c r="L26" t="inlineStr">
        <is>
          <t>effective_tax_rate_fy__20251231,net_interest_fy__20251231</t>
        </is>
      </c>
      <c r="M26" t="inlineStr">
        <is>
          <t>After-tax net interest = Net Interest × (1 − Effective Tax Rate).|Do not tax-adjust a rate that is already after tax.</t>
        </is>
      </c>
      <c r="O26" t="inlineStr">
        <is>
          <t>pending</t>
        </is>
      </c>
      <c r="P26" t="inlineStr">
        <is>
          <t>net_interest_after_tax_fy</t>
        </is>
      </c>
      <c r="Q26" t="n">
        <v>5</v>
      </c>
      <c r="R26" t="n">
        <v>4</v>
      </c>
      <c r="S26" t="inlineStr">
        <is>
          <t>2025-12-31</t>
        </is>
      </c>
    </row>
    <row r="27">
      <c r="A27" t="inlineStr">
        <is>
          <t>nopat_fy__20211231</t>
        </is>
      </c>
      <c r="B27" t="n">
        <v>26</v>
      </c>
      <c r="C27" t="inlineStr">
        <is>
          <t>NOPAT</t>
        </is>
      </c>
      <c r="D27" t="inlineStr">
        <is>
          <t>Reformulate net income to operating profit after tax.</t>
        </is>
      </c>
      <c r="E27" t="inlineStr">
        <is>
          <t>condensed.nopat.2021-12-31</t>
        </is>
      </c>
      <c r="F27" t="inlineStr">
        <is>
          <t>accounting</t>
        </is>
      </c>
      <c r="G27" t="inlineStr">
        <is>
          <t>Condensed Financials</t>
        </is>
      </c>
      <c r="H27" t="inlineStr">
        <is>
          <t>B28</t>
        </is>
      </c>
      <c r="I27">
        <f>B20+B27</f>
        <v/>
      </c>
      <c r="J27" t="n">
        <v>2822.255639097744</v>
      </c>
      <c r="K27" t="n">
        <v>0.01</v>
      </c>
      <c r="L27" t="inlineStr">
        <is>
          <t>net_income_link__20211231,net_interest_after_tax_fy__20211231</t>
        </is>
      </c>
      <c r="M27" t="inlineStr">
        <is>
          <t>Start from Net Income on the Income Statement.|Add back after-tax net interest: Net Interest × (1 − Tax Rate).|NOPAT = Net Income + Net Interest After Tax.</t>
        </is>
      </c>
      <c r="O27" t="inlineStr">
        <is>
          <t>pending</t>
        </is>
      </c>
      <c r="P27" t="inlineStr">
        <is>
          <t>nopat_fy</t>
        </is>
      </c>
      <c r="Q27" t="n">
        <v>6</v>
      </c>
      <c r="R27" t="n">
        <v>0</v>
      </c>
      <c r="S27" t="inlineStr">
        <is>
          <t>2021-12-31</t>
        </is>
      </c>
    </row>
    <row r="28">
      <c r="A28" t="inlineStr">
        <is>
          <t>nopat_fy__20221231</t>
        </is>
      </c>
      <c r="B28" t="n">
        <v>27</v>
      </c>
      <c r="C28" t="inlineStr">
        <is>
          <t>NOPAT</t>
        </is>
      </c>
      <c r="D28" t="inlineStr">
        <is>
          <t>Reformulate net income to operating profit after tax.</t>
        </is>
      </c>
      <c r="E28" t="inlineStr">
        <is>
          <t>condensed.nopat.2022-12-31</t>
        </is>
      </c>
      <c r="F28" t="inlineStr">
        <is>
          <t>accounting</t>
        </is>
      </c>
      <c r="G28" t="inlineStr">
        <is>
          <t>Condensed Financials</t>
        </is>
      </c>
      <c r="H28" t="inlineStr">
        <is>
          <t>C28</t>
        </is>
      </c>
      <c r="I28">
        <f>C20+C27</f>
        <v/>
      </c>
      <c r="J28" t="n">
        <v>3054.4</v>
      </c>
      <c r="K28" t="n">
        <v>0.01</v>
      </c>
      <c r="L28" t="inlineStr">
        <is>
          <t>net_income_link__20221231,net_interest_after_tax_fy__20221231</t>
        </is>
      </c>
      <c r="M28" t="inlineStr">
        <is>
          <t>Start from Net Income on the Income Statement.|Add back after-tax net interest: Net Interest × (1 − Tax Rate).|NOPAT = Net Income + Net Interest After Tax.</t>
        </is>
      </c>
      <c r="O28" t="inlineStr">
        <is>
          <t>pending</t>
        </is>
      </c>
      <c r="P28" t="inlineStr">
        <is>
          <t>nopat_fy</t>
        </is>
      </c>
      <c r="Q28" t="n">
        <v>6</v>
      </c>
      <c r="R28" t="n">
        <v>1</v>
      </c>
      <c r="S28" t="inlineStr">
        <is>
          <t>2022-12-31</t>
        </is>
      </c>
    </row>
    <row r="29">
      <c r="A29" t="inlineStr">
        <is>
          <t>nopat_fy__20231231</t>
        </is>
      </c>
      <c r="B29" t="n">
        <v>28</v>
      </c>
      <c r="C29" t="inlineStr">
        <is>
          <t>NOPAT</t>
        </is>
      </c>
      <c r="D29" t="inlineStr">
        <is>
          <t>Reformulate net income to operating profit after tax.</t>
        </is>
      </c>
      <c r="E29" t="inlineStr">
        <is>
          <t>condensed.nopat.2023-12-31</t>
        </is>
      </c>
      <c r="F29" t="inlineStr">
        <is>
          <t>accounting</t>
        </is>
      </c>
      <c r="G29" t="inlineStr">
        <is>
          <t>Condensed Financials</t>
        </is>
      </c>
      <c r="H29" t="inlineStr">
        <is>
          <t>D28</t>
        </is>
      </c>
      <c r="I29">
        <f>D20+D27</f>
        <v/>
      </c>
      <c r="J29" t="n">
        <v>3353.557522123894</v>
      </c>
      <c r="K29" t="n">
        <v>0.01</v>
      </c>
      <c r="L29" t="inlineStr">
        <is>
          <t>net_income_link__20231231,net_interest_after_tax_fy__20231231</t>
        </is>
      </c>
      <c r="M29" t="inlineStr">
        <is>
          <t>Start from Net Income on the Income Statement.|Add back after-tax net interest: Net Interest × (1 − Tax Rate).|NOPAT = Net Income + Net Interest After Tax.</t>
        </is>
      </c>
      <c r="O29" t="inlineStr">
        <is>
          <t>pending</t>
        </is>
      </c>
      <c r="P29" t="inlineStr">
        <is>
          <t>nopat_fy</t>
        </is>
      </c>
      <c r="Q29" t="n">
        <v>6</v>
      </c>
      <c r="R29" t="n">
        <v>2</v>
      </c>
      <c r="S29" t="inlineStr">
        <is>
          <t>2023-12-31</t>
        </is>
      </c>
    </row>
    <row r="30">
      <c r="A30" t="inlineStr">
        <is>
          <t>nopat_fy__20241231</t>
        </is>
      </c>
      <c r="B30" t="n">
        <v>29</v>
      </c>
      <c r="C30" t="inlineStr">
        <is>
          <t>NOPAT</t>
        </is>
      </c>
      <c r="D30" t="inlineStr">
        <is>
          <t>Reformulate net income to operating profit after tax.</t>
        </is>
      </c>
      <c r="E30" t="inlineStr">
        <is>
          <t>condensed.nopat.2024-12-31</t>
        </is>
      </c>
      <c r="F30" t="inlineStr">
        <is>
          <t>accounting</t>
        </is>
      </c>
      <c r="G30" t="inlineStr">
        <is>
          <t>Condensed Financials</t>
        </is>
      </c>
      <c r="H30" t="inlineStr">
        <is>
          <t>E28</t>
        </is>
      </c>
      <c r="I30">
        <f>E20+E27</f>
        <v/>
      </c>
      <c r="J30" t="n">
        <v>3718.706150341686</v>
      </c>
      <c r="K30" t="n">
        <v>0.01</v>
      </c>
      <c r="L30" t="inlineStr">
        <is>
          <t>net_income_link__20241231,net_interest_after_tax_fy__20241231</t>
        </is>
      </c>
      <c r="M30" t="inlineStr">
        <is>
          <t>Start from Net Income on the Income Statement.|Add back after-tax net interest: Net Interest × (1 − Tax Rate).|NOPAT = Net Income + Net Interest After Tax.</t>
        </is>
      </c>
      <c r="O30" t="inlineStr">
        <is>
          <t>pending</t>
        </is>
      </c>
      <c r="P30" t="inlineStr">
        <is>
          <t>nopat_fy</t>
        </is>
      </c>
      <c r="Q30" t="n">
        <v>6</v>
      </c>
      <c r="R30" t="n">
        <v>3</v>
      </c>
      <c r="S30" t="inlineStr">
        <is>
          <t>2024-12-31</t>
        </is>
      </c>
    </row>
    <row r="31">
      <c r="A31" t="inlineStr">
        <is>
          <t>nopat_fy__20251231</t>
        </is>
      </c>
      <c r="B31" t="n">
        <v>30</v>
      </c>
      <c r="C31" t="inlineStr">
        <is>
          <t>NOPAT</t>
        </is>
      </c>
      <c r="D31" t="inlineStr">
        <is>
          <t>Reformulate net income to operating profit after tax.</t>
        </is>
      </c>
      <c r="E31" t="inlineStr">
        <is>
          <t>condensed.nopat.2025-12-31</t>
        </is>
      </c>
      <c r="F31" t="inlineStr">
        <is>
          <t>accounting</t>
        </is>
      </c>
      <c r="G31" t="inlineStr">
        <is>
          <t>Condensed Financials</t>
        </is>
      </c>
      <c r="H31" t="inlineStr">
        <is>
          <t>F28</t>
        </is>
      </c>
      <c r="I31">
        <f>F20+F27</f>
        <v/>
      </c>
      <c r="J31" t="n">
        <v>4150.866462793068</v>
      </c>
      <c r="K31" t="n">
        <v>0.01</v>
      </c>
      <c r="L31" t="inlineStr">
        <is>
          <t>net_income_link__20251231,net_interest_after_tax_fy__20251231</t>
        </is>
      </c>
      <c r="M31" t="inlineStr">
        <is>
          <t>Start from Net Income on the Income Statement.|Add back after-tax net interest: Net Interest × (1 − Tax Rate).|NOPAT = Net Income + Net Interest After Tax.</t>
        </is>
      </c>
      <c r="O31" t="inlineStr">
        <is>
          <t>pending</t>
        </is>
      </c>
      <c r="P31" t="inlineStr">
        <is>
          <t>nopat_fy</t>
        </is>
      </c>
      <c r="Q31" t="n">
        <v>6</v>
      </c>
      <c r="R31" t="n">
        <v>4</v>
      </c>
      <c r="S31" t="inlineStr">
        <is>
          <t>2025-12-31</t>
        </is>
      </c>
    </row>
    <row r="32">
      <c r="A32" t="inlineStr">
        <is>
          <t>owca_agg__20211231</t>
        </is>
      </c>
      <c r="B32" t="n">
        <v>31</v>
      </c>
      <c r="C32" t="inlineStr">
        <is>
          <t>Operating working capital assets</t>
        </is>
      </c>
      <c r="D32" t="inlineStr">
        <is>
          <t>Aggregate the classified balance-sheet detail with the classification column.</t>
        </is>
      </c>
      <c r="E32" t="inlineStr">
        <is>
          <t>condensed.owca.2021-12-31</t>
        </is>
      </c>
      <c r="F32" t="inlineStr">
        <is>
          <t>accounting</t>
        </is>
      </c>
      <c r="G32" t="inlineStr">
        <is>
          <t>Condensed Financials</t>
        </is>
      </c>
      <c r="H32" t="inlineStr">
        <is>
          <t>B31</t>
        </is>
      </c>
      <c r="I32">
        <f>SUMIF($B$6:$B$16,"Operating Working Capital Asset",C$6:C$16)</f>
        <v/>
      </c>
      <c r="J32" t="n">
        <v>1530</v>
      </c>
      <c r="K32" t="n">
        <v>0.01</v>
      </c>
      <c r="M32" t="inlineStr">
        <is>
          <t>Use SUMIF over the classification column for Operating Working Capital Asset.</t>
        </is>
      </c>
      <c r="O32" t="inlineStr">
        <is>
          <t>pending</t>
        </is>
      </c>
      <c r="P32" t="inlineStr">
        <is>
          <t>owca_agg</t>
        </is>
      </c>
      <c r="Q32" t="n">
        <v>7</v>
      </c>
      <c r="R32" t="n">
        <v>0</v>
      </c>
      <c r="S32" t="inlineStr">
        <is>
          <t>2021-12-31</t>
        </is>
      </c>
    </row>
    <row r="33">
      <c r="A33" t="inlineStr">
        <is>
          <t>owca_agg__20221231</t>
        </is>
      </c>
      <c r="B33" t="n">
        <v>32</v>
      </c>
      <c r="C33" t="inlineStr">
        <is>
          <t>Operating working capital assets</t>
        </is>
      </c>
      <c r="D33" t="inlineStr">
        <is>
          <t>Aggregate the classified balance-sheet detail with the classification column.</t>
        </is>
      </c>
      <c r="E33" t="inlineStr">
        <is>
          <t>condensed.owca.2022-12-31</t>
        </is>
      </c>
      <c r="F33" t="inlineStr">
        <is>
          <t>accounting</t>
        </is>
      </c>
      <c r="G33" t="inlineStr">
        <is>
          <t>Condensed Financials</t>
        </is>
      </c>
      <c r="H33" t="inlineStr">
        <is>
          <t>C31</t>
        </is>
      </c>
      <c r="I33">
        <f>SUMIF($B$6:$B$16,"Operating Working Capital Asset",D$6:D$16)</f>
        <v/>
      </c>
      <c r="J33" t="n">
        <v>1656</v>
      </c>
      <c r="K33" t="n">
        <v>0.01</v>
      </c>
      <c r="M33" t="inlineStr">
        <is>
          <t>Use SUMIF over the classification column for Operating Working Capital Asset.</t>
        </is>
      </c>
      <c r="O33" t="inlineStr">
        <is>
          <t>pending</t>
        </is>
      </c>
      <c r="P33" t="inlineStr">
        <is>
          <t>owca_agg</t>
        </is>
      </c>
      <c r="Q33" t="n">
        <v>7</v>
      </c>
      <c r="R33" t="n">
        <v>1</v>
      </c>
      <c r="S33" t="inlineStr">
        <is>
          <t>2022-12-31</t>
        </is>
      </c>
    </row>
    <row r="34">
      <c r="A34" t="inlineStr">
        <is>
          <t>owca_agg__20231231</t>
        </is>
      </c>
      <c r="B34" t="n">
        <v>33</v>
      </c>
      <c r="C34" t="inlineStr">
        <is>
          <t>Operating working capital assets</t>
        </is>
      </c>
      <c r="D34" t="inlineStr">
        <is>
          <t>Aggregate the classified balance-sheet detail with the classification column.</t>
        </is>
      </c>
      <c r="E34" t="inlineStr">
        <is>
          <t>condensed.owca.2023-12-31</t>
        </is>
      </c>
      <c r="F34" t="inlineStr">
        <is>
          <t>accounting</t>
        </is>
      </c>
      <c r="G34" t="inlineStr">
        <is>
          <t>Condensed Financials</t>
        </is>
      </c>
      <c r="H34" t="inlineStr">
        <is>
          <t>D31</t>
        </is>
      </c>
      <c r="I34">
        <f>SUMIF($B$6:$B$16,"Operating Working Capital Asset",E$6:E$16)</f>
        <v/>
      </c>
      <c r="J34" t="n">
        <v>1818</v>
      </c>
      <c r="K34" t="n">
        <v>0.01</v>
      </c>
      <c r="M34" t="inlineStr">
        <is>
          <t>Use SUMIF over the classification column for Operating Working Capital Asset.</t>
        </is>
      </c>
      <c r="O34" t="inlineStr">
        <is>
          <t>pending</t>
        </is>
      </c>
      <c r="P34" t="inlineStr">
        <is>
          <t>owca_agg</t>
        </is>
      </c>
      <c r="Q34" t="n">
        <v>7</v>
      </c>
      <c r="R34" t="n">
        <v>2</v>
      </c>
      <c r="S34" t="inlineStr">
        <is>
          <t>2023-12-31</t>
        </is>
      </c>
    </row>
    <row r="35">
      <c r="A35" t="inlineStr">
        <is>
          <t>owca_agg__20241231</t>
        </is>
      </c>
      <c r="B35" t="n">
        <v>34</v>
      </c>
      <c r="C35" t="inlineStr">
        <is>
          <t>Operating working capital assets</t>
        </is>
      </c>
      <c r="D35" t="inlineStr">
        <is>
          <t>Aggregate the classified balance-sheet detail with the classification column.</t>
        </is>
      </c>
      <c r="E35" t="inlineStr">
        <is>
          <t>condensed.owca.2024-12-31</t>
        </is>
      </c>
      <c r="F35" t="inlineStr">
        <is>
          <t>accounting</t>
        </is>
      </c>
      <c r="G35" t="inlineStr">
        <is>
          <t>Condensed Financials</t>
        </is>
      </c>
      <c r="H35" t="inlineStr">
        <is>
          <t>E31</t>
        </is>
      </c>
      <c r="I35">
        <f>SUMIF($B$6:$B$16,"Operating Working Capital Asset",F$6:F$16)</f>
        <v/>
      </c>
      <c r="J35" t="n">
        <v>2016</v>
      </c>
      <c r="K35" t="n">
        <v>0.01</v>
      </c>
      <c r="M35" t="inlineStr">
        <is>
          <t>Use SUMIF over the classification column for Operating Working Capital Asset.</t>
        </is>
      </c>
      <c r="O35" t="inlineStr">
        <is>
          <t>pending</t>
        </is>
      </c>
      <c r="P35" t="inlineStr">
        <is>
          <t>owca_agg</t>
        </is>
      </c>
      <c r="Q35" t="n">
        <v>7</v>
      </c>
      <c r="R35" t="n">
        <v>3</v>
      </c>
      <c r="S35" t="inlineStr">
        <is>
          <t>2024-12-31</t>
        </is>
      </c>
    </row>
    <row r="36">
      <c r="A36" t="inlineStr">
        <is>
          <t>owca_agg__20251231</t>
        </is>
      </c>
      <c r="B36" t="n">
        <v>35</v>
      </c>
      <c r="C36" t="inlineStr">
        <is>
          <t>Operating working capital assets</t>
        </is>
      </c>
      <c r="D36" t="inlineStr">
        <is>
          <t>Aggregate the classified balance-sheet detail with the classification column.</t>
        </is>
      </c>
      <c r="E36" t="inlineStr">
        <is>
          <t>condensed.owca.2025-12-31</t>
        </is>
      </c>
      <c r="F36" t="inlineStr">
        <is>
          <t>accounting</t>
        </is>
      </c>
      <c r="G36" t="inlineStr">
        <is>
          <t>Condensed Financials</t>
        </is>
      </c>
      <c r="H36" t="inlineStr">
        <is>
          <t>F31</t>
        </is>
      </c>
      <c r="I36">
        <f>SUMIF($B$6:$B$16,"Operating Working Capital Asset",G$6:G$16)</f>
        <v/>
      </c>
      <c r="J36" t="n">
        <v>2250</v>
      </c>
      <c r="K36" t="n">
        <v>0.01</v>
      </c>
      <c r="M36" t="inlineStr">
        <is>
          <t>Use SUMIF over the classification column for Operating Working Capital Asset.</t>
        </is>
      </c>
      <c r="O36" t="inlineStr">
        <is>
          <t>pending</t>
        </is>
      </c>
      <c r="P36" t="inlineStr">
        <is>
          <t>owca_agg</t>
        </is>
      </c>
      <c r="Q36" t="n">
        <v>7</v>
      </c>
      <c r="R36" t="n">
        <v>4</v>
      </c>
      <c r="S36" t="inlineStr">
        <is>
          <t>2025-12-31</t>
        </is>
      </c>
    </row>
    <row r="37">
      <c r="A37" t="inlineStr">
        <is>
          <t>owcl_agg__20211231</t>
        </is>
      </c>
      <c r="B37" t="n">
        <v>36</v>
      </c>
      <c r="C37" t="inlineStr">
        <is>
          <t>Operating working capital liabilities</t>
        </is>
      </c>
      <c r="D37" t="inlineStr">
        <is>
          <t>Aggregate the classified balance-sheet detail with the classification column.</t>
        </is>
      </c>
      <c r="E37" t="inlineStr">
        <is>
          <t>condensed.owcl.2021-12-31</t>
        </is>
      </c>
      <c r="F37" t="inlineStr">
        <is>
          <t>accounting</t>
        </is>
      </c>
      <c r="G37" t="inlineStr">
        <is>
          <t>Condensed Financials</t>
        </is>
      </c>
      <c r="H37" t="inlineStr">
        <is>
          <t>B32</t>
        </is>
      </c>
      <c r="I37">
        <f>SUMIF($B$6:$B$16,"Operating Working Capital Liability",C$6:C$16)</f>
        <v/>
      </c>
      <c r="J37" t="n">
        <v>595</v>
      </c>
      <c r="K37" t="n">
        <v>0.01</v>
      </c>
      <c r="M37" t="inlineStr">
        <is>
          <t>Use SUMIF over the classification column for Operating Working Capital Liability.</t>
        </is>
      </c>
      <c r="O37" t="inlineStr">
        <is>
          <t>pending</t>
        </is>
      </c>
      <c r="P37" t="inlineStr">
        <is>
          <t>owcl_agg</t>
        </is>
      </c>
      <c r="Q37" t="n">
        <v>8</v>
      </c>
      <c r="R37" t="n">
        <v>0</v>
      </c>
      <c r="S37" t="inlineStr">
        <is>
          <t>2021-12-31</t>
        </is>
      </c>
    </row>
    <row r="38">
      <c r="A38" t="inlineStr">
        <is>
          <t>owcl_agg__20221231</t>
        </is>
      </c>
      <c r="B38" t="n">
        <v>37</v>
      </c>
      <c r="C38" t="inlineStr">
        <is>
          <t>Operating working capital liabilities</t>
        </is>
      </c>
      <c r="D38" t="inlineStr">
        <is>
          <t>Aggregate the classified balance-sheet detail with the classification column.</t>
        </is>
      </c>
      <c r="E38" t="inlineStr">
        <is>
          <t>condensed.owcl.2022-12-31</t>
        </is>
      </c>
      <c r="F38" t="inlineStr">
        <is>
          <t>accounting</t>
        </is>
      </c>
      <c r="G38" t="inlineStr">
        <is>
          <t>Condensed Financials</t>
        </is>
      </c>
      <c r="H38" t="inlineStr">
        <is>
          <t>C32</t>
        </is>
      </c>
      <c r="I38">
        <f>SUMIF($B$6:$B$16,"Operating Working Capital Liability",D$6:D$16)</f>
        <v/>
      </c>
      <c r="J38" t="n">
        <v>644</v>
      </c>
      <c r="K38" t="n">
        <v>0.01</v>
      </c>
      <c r="M38" t="inlineStr">
        <is>
          <t>Use SUMIF over the classification column for Operating Working Capital Liability.</t>
        </is>
      </c>
      <c r="O38" t="inlineStr">
        <is>
          <t>pending</t>
        </is>
      </c>
      <c r="P38" t="inlineStr">
        <is>
          <t>owcl_agg</t>
        </is>
      </c>
      <c r="Q38" t="n">
        <v>8</v>
      </c>
      <c r="R38" t="n">
        <v>1</v>
      </c>
      <c r="S38" t="inlineStr">
        <is>
          <t>2022-12-31</t>
        </is>
      </c>
    </row>
    <row r="39">
      <c r="A39" t="inlineStr">
        <is>
          <t>owcl_agg__20231231</t>
        </is>
      </c>
      <c r="B39" t="n">
        <v>38</v>
      </c>
      <c r="C39" t="inlineStr">
        <is>
          <t>Operating working capital liabilities</t>
        </is>
      </c>
      <c r="D39" t="inlineStr">
        <is>
          <t>Aggregate the classified balance-sheet detail with the classification column.</t>
        </is>
      </c>
      <c r="E39" t="inlineStr">
        <is>
          <t>condensed.owcl.2023-12-31</t>
        </is>
      </c>
      <c r="F39" t="inlineStr">
        <is>
          <t>accounting</t>
        </is>
      </c>
      <c r="G39" t="inlineStr">
        <is>
          <t>Condensed Financials</t>
        </is>
      </c>
      <c r="H39" t="inlineStr">
        <is>
          <t>D32</t>
        </is>
      </c>
      <c r="I39">
        <f>SUMIF($B$6:$B$16,"Operating Working Capital Liability",E$6:E$16)</f>
        <v/>
      </c>
      <c r="J39" t="n">
        <v>707</v>
      </c>
      <c r="K39" t="n">
        <v>0.01</v>
      </c>
      <c r="M39" t="inlineStr">
        <is>
          <t>Use SUMIF over the classification column for Operating Working Capital Liability.</t>
        </is>
      </c>
      <c r="O39" t="inlineStr">
        <is>
          <t>pending</t>
        </is>
      </c>
      <c r="P39" t="inlineStr">
        <is>
          <t>owcl_agg</t>
        </is>
      </c>
      <c r="Q39" t="n">
        <v>8</v>
      </c>
      <c r="R39" t="n">
        <v>2</v>
      </c>
      <c r="S39" t="inlineStr">
        <is>
          <t>2023-12-31</t>
        </is>
      </c>
    </row>
    <row r="40">
      <c r="A40" t="inlineStr">
        <is>
          <t>owcl_agg__20241231</t>
        </is>
      </c>
      <c r="B40" t="n">
        <v>39</v>
      </c>
      <c r="C40" t="inlineStr">
        <is>
          <t>Operating working capital liabilities</t>
        </is>
      </c>
      <c r="D40" t="inlineStr">
        <is>
          <t>Aggregate the classified balance-sheet detail with the classification column.</t>
        </is>
      </c>
      <c r="E40" t="inlineStr">
        <is>
          <t>condensed.owcl.2024-12-31</t>
        </is>
      </c>
      <c r="F40" t="inlineStr">
        <is>
          <t>accounting</t>
        </is>
      </c>
      <c r="G40" t="inlineStr">
        <is>
          <t>Condensed Financials</t>
        </is>
      </c>
      <c r="H40" t="inlineStr">
        <is>
          <t>E32</t>
        </is>
      </c>
      <c r="I40">
        <f>SUMIF($B$6:$B$16,"Operating Working Capital Liability",F$6:F$16)</f>
        <v/>
      </c>
      <c r="J40" t="n">
        <v>784</v>
      </c>
      <c r="K40" t="n">
        <v>0.01</v>
      </c>
      <c r="M40" t="inlineStr">
        <is>
          <t>Use SUMIF over the classification column for Operating Working Capital Liability.</t>
        </is>
      </c>
      <c r="O40" t="inlineStr">
        <is>
          <t>pending</t>
        </is>
      </c>
      <c r="P40" t="inlineStr">
        <is>
          <t>owcl_agg</t>
        </is>
      </c>
      <c r="Q40" t="n">
        <v>8</v>
      </c>
      <c r="R40" t="n">
        <v>3</v>
      </c>
      <c r="S40" t="inlineStr">
        <is>
          <t>2024-12-31</t>
        </is>
      </c>
    </row>
    <row r="41">
      <c r="A41" t="inlineStr">
        <is>
          <t>owcl_agg__20251231</t>
        </is>
      </c>
      <c r="B41" t="n">
        <v>40</v>
      </c>
      <c r="C41" t="inlineStr">
        <is>
          <t>Operating working capital liabilities</t>
        </is>
      </c>
      <c r="D41" t="inlineStr">
        <is>
          <t>Aggregate the classified balance-sheet detail with the classification column.</t>
        </is>
      </c>
      <c r="E41" t="inlineStr">
        <is>
          <t>condensed.owcl.2025-12-31</t>
        </is>
      </c>
      <c r="F41" t="inlineStr">
        <is>
          <t>accounting</t>
        </is>
      </c>
      <c r="G41" t="inlineStr">
        <is>
          <t>Condensed Financials</t>
        </is>
      </c>
      <c r="H41" t="inlineStr">
        <is>
          <t>F32</t>
        </is>
      </c>
      <c r="I41">
        <f>SUMIF($B$6:$B$16,"Operating Working Capital Liability",G$6:G$16)</f>
        <v/>
      </c>
      <c r="J41" t="n">
        <v>875</v>
      </c>
      <c r="K41" t="n">
        <v>0.01</v>
      </c>
      <c r="M41" t="inlineStr">
        <is>
          <t>Use SUMIF over the classification column for Operating Working Capital Liability.</t>
        </is>
      </c>
      <c r="O41" t="inlineStr">
        <is>
          <t>pending</t>
        </is>
      </c>
      <c r="P41" t="inlineStr">
        <is>
          <t>owcl_agg</t>
        </is>
      </c>
      <c r="Q41" t="n">
        <v>8</v>
      </c>
      <c r="R41" t="n">
        <v>4</v>
      </c>
      <c r="S41" t="inlineStr">
        <is>
          <t>2025-12-31</t>
        </is>
      </c>
    </row>
    <row r="42">
      <c r="A42" t="inlineStr">
        <is>
          <t>nowc_agg__20211231</t>
        </is>
      </c>
      <c r="B42" t="n">
        <v>41</v>
      </c>
      <c r="C42" t="inlineStr">
        <is>
          <t>Net Operating Working Capital (NOWC)</t>
        </is>
      </c>
      <c r="D42" t="inlineStr">
        <is>
          <t>Sum operating WC assets minus operating WC liabilities.</t>
        </is>
      </c>
      <c r="E42" t="inlineStr">
        <is>
          <t>condensed.nowc.2021-12-31</t>
        </is>
      </c>
      <c r="F42" t="inlineStr">
        <is>
          <t>accounting</t>
        </is>
      </c>
      <c r="G42" t="inlineStr">
        <is>
          <t>Condensed Financials</t>
        </is>
      </c>
      <c r="H42" t="inlineStr">
        <is>
          <t>B33</t>
        </is>
      </c>
      <c r="I42">
        <f>B31-B32</f>
        <v/>
      </c>
      <c r="J42" t="n">
        <v>935</v>
      </c>
      <c r="K42" t="n">
        <v>0.01</v>
      </c>
      <c r="L42" t="inlineStr">
        <is>
          <t>owca_agg__20211231,owcl_agg__20211231</t>
        </is>
      </c>
      <c r="M42" t="inlineStr">
        <is>
          <t>Use SUMIF over the classification column for 'Operating Working Capital Asset'.|Subtract SUMIF for 'Operating Working Capital Liability'.|NOWC = Op. WC Assets − Op. WC Liabilities.</t>
        </is>
      </c>
      <c r="O42" t="inlineStr">
        <is>
          <t>pending</t>
        </is>
      </c>
      <c r="P42" t="inlineStr">
        <is>
          <t>nowc_agg</t>
        </is>
      </c>
      <c r="Q42" t="n">
        <v>9</v>
      </c>
      <c r="R42" t="n">
        <v>0</v>
      </c>
      <c r="S42" t="inlineStr">
        <is>
          <t>2021-12-31</t>
        </is>
      </c>
    </row>
    <row r="43">
      <c r="A43" t="inlineStr">
        <is>
          <t>nowc_agg__20221231</t>
        </is>
      </c>
      <c r="B43" t="n">
        <v>42</v>
      </c>
      <c r="C43" t="inlineStr">
        <is>
          <t>Net Operating Working Capital (NOWC)</t>
        </is>
      </c>
      <c r="D43" t="inlineStr">
        <is>
          <t>Sum operating WC assets minus operating WC liabilities.</t>
        </is>
      </c>
      <c r="E43" t="inlineStr">
        <is>
          <t>condensed.nowc.2022-12-31</t>
        </is>
      </c>
      <c r="F43" t="inlineStr">
        <is>
          <t>accounting</t>
        </is>
      </c>
      <c r="G43" t="inlineStr">
        <is>
          <t>Condensed Financials</t>
        </is>
      </c>
      <c r="H43" t="inlineStr">
        <is>
          <t>C33</t>
        </is>
      </c>
      <c r="I43">
        <f>C31-C32</f>
        <v/>
      </c>
      <c r="J43" t="n">
        <v>1012</v>
      </c>
      <c r="K43" t="n">
        <v>0.01</v>
      </c>
      <c r="L43" t="inlineStr">
        <is>
          <t>owca_agg__20221231,owcl_agg__20221231</t>
        </is>
      </c>
      <c r="M43" t="inlineStr">
        <is>
          <t>Use SUMIF over the classification column for 'Operating Working Capital Asset'.|Subtract SUMIF for 'Operating Working Capital Liability'.|NOWC = Op. WC Assets − Op. WC Liabilities.</t>
        </is>
      </c>
      <c r="O43" t="inlineStr">
        <is>
          <t>pending</t>
        </is>
      </c>
      <c r="P43" t="inlineStr">
        <is>
          <t>nowc_agg</t>
        </is>
      </c>
      <c r="Q43" t="n">
        <v>9</v>
      </c>
      <c r="R43" t="n">
        <v>1</v>
      </c>
      <c r="S43" t="inlineStr">
        <is>
          <t>2022-12-31</t>
        </is>
      </c>
    </row>
    <row r="44">
      <c r="A44" t="inlineStr">
        <is>
          <t>nowc_agg__20231231</t>
        </is>
      </c>
      <c r="B44" t="n">
        <v>43</v>
      </c>
      <c r="C44" t="inlineStr">
        <is>
          <t>Net Operating Working Capital (NOWC)</t>
        </is>
      </c>
      <c r="D44" t="inlineStr">
        <is>
          <t>Sum operating WC assets minus operating WC liabilities.</t>
        </is>
      </c>
      <c r="E44" t="inlineStr">
        <is>
          <t>condensed.nowc.2023-12-31</t>
        </is>
      </c>
      <c r="F44" t="inlineStr">
        <is>
          <t>accounting</t>
        </is>
      </c>
      <c r="G44" t="inlineStr">
        <is>
          <t>Condensed Financials</t>
        </is>
      </c>
      <c r="H44" t="inlineStr">
        <is>
          <t>D33</t>
        </is>
      </c>
      <c r="I44">
        <f>D31-D32</f>
        <v/>
      </c>
      <c r="J44" t="n">
        <v>1111</v>
      </c>
      <c r="K44" t="n">
        <v>0.01</v>
      </c>
      <c r="L44" t="inlineStr">
        <is>
          <t>owca_agg__20231231,owcl_agg__20231231</t>
        </is>
      </c>
      <c r="M44" t="inlineStr">
        <is>
          <t>Use SUMIF over the classification column for 'Operating Working Capital Asset'.|Subtract SUMIF for 'Operating Working Capital Liability'.|NOWC = Op. WC Assets − Op. WC Liabilities.</t>
        </is>
      </c>
      <c r="O44" t="inlineStr">
        <is>
          <t>pending</t>
        </is>
      </c>
      <c r="P44" t="inlineStr">
        <is>
          <t>nowc_agg</t>
        </is>
      </c>
      <c r="Q44" t="n">
        <v>9</v>
      </c>
      <c r="R44" t="n">
        <v>2</v>
      </c>
      <c r="S44" t="inlineStr">
        <is>
          <t>2023-12-31</t>
        </is>
      </c>
    </row>
    <row r="45">
      <c r="A45" t="inlineStr">
        <is>
          <t>nowc_agg__20241231</t>
        </is>
      </c>
      <c r="B45" t="n">
        <v>44</v>
      </c>
      <c r="C45" t="inlineStr">
        <is>
          <t>Net Operating Working Capital (NOWC)</t>
        </is>
      </c>
      <c r="D45" t="inlineStr">
        <is>
          <t>Sum operating WC assets minus operating WC liabilities.</t>
        </is>
      </c>
      <c r="E45" t="inlineStr">
        <is>
          <t>condensed.nowc.2024-12-31</t>
        </is>
      </c>
      <c r="F45" t="inlineStr">
        <is>
          <t>accounting</t>
        </is>
      </c>
      <c r="G45" t="inlineStr">
        <is>
          <t>Condensed Financials</t>
        </is>
      </c>
      <c r="H45" t="inlineStr">
        <is>
          <t>E33</t>
        </is>
      </c>
      <c r="I45">
        <f>E31-E32</f>
        <v/>
      </c>
      <c r="J45" t="n">
        <v>1232</v>
      </c>
      <c r="K45" t="n">
        <v>0.01</v>
      </c>
      <c r="L45" t="inlineStr">
        <is>
          <t>owca_agg__20241231,owcl_agg__20241231</t>
        </is>
      </c>
      <c r="M45" t="inlineStr">
        <is>
          <t>Use SUMIF over the classification column for 'Operating Working Capital Asset'.|Subtract SUMIF for 'Operating Working Capital Liability'.|NOWC = Op. WC Assets − Op. WC Liabilities.</t>
        </is>
      </c>
      <c r="O45" t="inlineStr">
        <is>
          <t>pending</t>
        </is>
      </c>
      <c r="P45" t="inlineStr">
        <is>
          <t>nowc_agg</t>
        </is>
      </c>
      <c r="Q45" t="n">
        <v>9</v>
      </c>
      <c r="R45" t="n">
        <v>3</v>
      </c>
      <c r="S45" t="inlineStr">
        <is>
          <t>2024-12-31</t>
        </is>
      </c>
    </row>
    <row r="46">
      <c r="A46" t="inlineStr">
        <is>
          <t>nowc_agg__20251231</t>
        </is>
      </c>
      <c r="B46" t="n">
        <v>45</v>
      </c>
      <c r="C46" t="inlineStr">
        <is>
          <t>Net Operating Working Capital (NOWC)</t>
        </is>
      </c>
      <c r="D46" t="inlineStr">
        <is>
          <t>Sum operating WC assets minus operating WC liabilities.</t>
        </is>
      </c>
      <c r="E46" t="inlineStr">
        <is>
          <t>condensed.nowc.2025-12-31</t>
        </is>
      </c>
      <c r="F46" t="inlineStr">
        <is>
          <t>accounting</t>
        </is>
      </c>
      <c r="G46" t="inlineStr">
        <is>
          <t>Condensed Financials</t>
        </is>
      </c>
      <c r="H46" t="inlineStr">
        <is>
          <t>F33</t>
        </is>
      </c>
      <c r="I46">
        <f>F31-F32</f>
        <v/>
      </c>
      <c r="J46" t="n">
        <v>1375</v>
      </c>
      <c r="K46" t="n">
        <v>0.01</v>
      </c>
      <c r="L46" t="inlineStr">
        <is>
          <t>owca_agg__20251231,owcl_agg__20251231</t>
        </is>
      </c>
      <c r="M46" t="inlineStr">
        <is>
          <t>Use SUMIF over the classification column for 'Operating Working Capital Asset'.|Subtract SUMIF for 'Operating Working Capital Liability'.|NOWC = Op. WC Assets − Op. WC Liabilities.</t>
        </is>
      </c>
      <c r="O46" t="inlineStr">
        <is>
          <t>pending</t>
        </is>
      </c>
      <c r="P46" t="inlineStr">
        <is>
          <t>nowc_agg</t>
        </is>
      </c>
      <c r="Q46" t="n">
        <v>9</v>
      </c>
      <c r="R46" t="n">
        <v>4</v>
      </c>
      <c r="S46" t="inlineStr">
        <is>
          <t>2025-12-31</t>
        </is>
      </c>
    </row>
    <row r="47">
      <c r="A47" t="inlineStr">
        <is>
          <t>olta_agg__20211231</t>
        </is>
      </c>
      <c r="B47" t="n">
        <v>46</v>
      </c>
      <c r="C47" t="inlineStr">
        <is>
          <t>Operating long-term assets</t>
        </is>
      </c>
      <c r="D47" t="inlineStr">
        <is>
          <t>Aggregate the classified balance-sheet detail with the classification column.</t>
        </is>
      </c>
      <c r="E47" t="inlineStr">
        <is>
          <t>condensed.olta.2021-12-31</t>
        </is>
      </c>
      <c r="F47" t="inlineStr">
        <is>
          <t>accounting</t>
        </is>
      </c>
      <c r="G47" t="inlineStr">
        <is>
          <t>Condensed Financials</t>
        </is>
      </c>
      <c r="H47" t="inlineStr">
        <is>
          <t>B34</t>
        </is>
      </c>
      <c r="I47">
        <f>SUMIF($B$6:$B$16,"Operating Long-Term Asset",C$6:C$16)</f>
        <v/>
      </c>
      <c r="J47" t="n">
        <v>5770</v>
      </c>
      <c r="K47" t="n">
        <v>0.01</v>
      </c>
      <c r="M47" t="inlineStr">
        <is>
          <t>Use SUMIF over the classification column for Operating Long-Term Asset.</t>
        </is>
      </c>
      <c r="O47" t="inlineStr">
        <is>
          <t>pending</t>
        </is>
      </c>
      <c r="P47" t="inlineStr">
        <is>
          <t>olta_agg</t>
        </is>
      </c>
      <c r="Q47" t="n">
        <v>10</v>
      </c>
      <c r="R47" t="n">
        <v>0</v>
      </c>
      <c r="S47" t="inlineStr">
        <is>
          <t>2021-12-31</t>
        </is>
      </c>
    </row>
    <row r="48">
      <c r="A48" t="inlineStr">
        <is>
          <t>olta_agg__20221231</t>
        </is>
      </c>
      <c r="B48" t="n">
        <v>47</v>
      </c>
      <c r="C48" t="inlineStr">
        <is>
          <t>Operating long-term assets</t>
        </is>
      </c>
      <c r="D48" t="inlineStr">
        <is>
          <t>Aggregate the classified balance-sheet detail with the classification column.</t>
        </is>
      </c>
      <c r="E48" t="inlineStr">
        <is>
          <t>condensed.olta.2022-12-31</t>
        </is>
      </c>
      <c r="F48" t="inlineStr">
        <is>
          <t>accounting</t>
        </is>
      </c>
      <c r="G48" t="inlineStr">
        <is>
          <t>Condensed Financials</t>
        </is>
      </c>
      <c r="H48" t="inlineStr">
        <is>
          <t>C34</t>
        </is>
      </c>
      <c r="I48">
        <f>SUMIF($B$6:$B$16,"Operating Long-Term Asset",D$6:D$16)</f>
        <v/>
      </c>
      <c r="J48" t="n">
        <v>6194</v>
      </c>
      <c r="K48" t="n">
        <v>0.01</v>
      </c>
      <c r="M48" t="inlineStr">
        <is>
          <t>Use SUMIF over the classification column for Operating Long-Term Asset.</t>
        </is>
      </c>
      <c r="O48" t="inlineStr">
        <is>
          <t>pending</t>
        </is>
      </c>
      <c r="P48" t="inlineStr">
        <is>
          <t>olta_agg</t>
        </is>
      </c>
      <c r="Q48" t="n">
        <v>10</v>
      </c>
      <c r="R48" t="n">
        <v>1</v>
      </c>
      <c r="S48" t="inlineStr">
        <is>
          <t>2022-12-31</t>
        </is>
      </c>
    </row>
    <row r="49">
      <c r="A49" t="inlineStr">
        <is>
          <t>olta_agg__20231231</t>
        </is>
      </c>
      <c r="B49" t="n">
        <v>48</v>
      </c>
      <c r="C49" t="inlineStr">
        <is>
          <t>Operating long-term assets</t>
        </is>
      </c>
      <c r="D49" t="inlineStr">
        <is>
          <t>Aggregate the classified balance-sheet detail with the classification column.</t>
        </is>
      </c>
      <c r="E49" t="inlineStr">
        <is>
          <t>condensed.olta.2023-12-31</t>
        </is>
      </c>
      <c r="F49" t="inlineStr">
        <is>
          <t>accounting</t>
        </is>
      </c>
      <c r="G49" t="inlineStr">
        <is>
          <t>Condensed Financials</t>
        </is>
      </c>
      <c r="H49" t="inlineStr">
        <is>
          <t>D34</t>
        </is>
      </c>
      <c r="I49">
        <f>SUMIF($B$6:$B$16,"Operating Long-Term Asset",E$6:E$16)</f>
        <v/>
      </c>
      <c r="J49" t="n">
        <v>6782</v>
      </c>
      <c r="K49" t="n">
        <v>0.01</v>
      </c>
      <c r="M49" t="inlineStr">
        <is>
          <t>Use SUMIF over the classification column for Operating Long-Term Asset.</t>
        </is>
      </c>
      <c r="O49" t="inlineStr">
        <is>
          <t>pending</t>
        </is>
      </c>
      <c r="P49" t="inlineStr">
        <is>
          <t>olta_agg</t>
        </is>
      </c>
      <c r="Q49" t="n">
        <v>10</v>
      </c>
      <c r="R49" t="n">
        <v>2</v>
      </c>
      <c r="S49" t="inlineStr">
        <is>
          <t>2023-12-31</t>
        </is>
      </c>
    </row>
    <row r="50">
      <c r="A50" t="inlineStr">
        <is>
          <t>olta_agg__20241231</t>
        </is>
      </c>
      <c r="B50" t="n">
        <v>49</v>
      </c>
      <c r="C50" t="inlineStr">
        <is>
          <t>Operating long-term assets</t>
        </is>
      </c>
      <c r="D50" t="inlineStr">
        <is>
          <t>Aggregate the classified balance-sheet detail with the classification column.</t>
        </is>
      </c>
      <c r="E50" t="inlineStr">
        <is>
          <t>condensed.olta.2024-12-31</t>
        </is>
      </c>
      <c r="F50" t="inlineStr">
        <is>
          <t>accounting</t>
        </is>
      </c>
      <c r="G50" t="inlineStr">
        <is>
          <t>Condensed Financials</t>
        </is>
      </c>
      <c r="H50" t="inlineStr">
        <is>
          <t>E34</t>
        </is>
      </c>
      <c r="I50">
        <f>SUMIF($B$6:$B$16,"Operating Long-Term Asset",F$6:F$16)</f>
        <v/>
      </c>
      <c r="J50" t="n">
        <v>7504</v>
      </c>
      <c r="K50" t="n">
        <v>0.01</v>
      </c>
      <c r="M50" t="inlineStr">
        <is>
          <t>Use SUMIF over the classification column for Operating Long-Term Asset.</t>
        </is>
      </c>
      <c r="O50" t="inlineStr">
        <is>
          <t>pending</t>
        </is>
      </c>
      <c r="P50" t="inlineStr">
        <is>
          <t>olta_agg</t>
        </is>
      </c>
      <c r="Q50" t="n">
        <v>10</v>
      </c>
      <c r="R50" t="n">
        <v>3</v>
      </c>
      <c r="S50" t="inlineStr">
        <is>
          <t>2024-12-31</t>
        </is>
      </c>
    </row>
    <row r="51">
      <c r="A51" t="inlineStr">
        <is>
          <t>olta_agg__20251231</t>
        </is>
      </c>
      <c r="B51" t="n">
        <v>50</v>
      </c>
      <c r="C51" t="inlineStr">
        <is>
          <t>Operating long-term assets</t>
        </is>
      </c>
      <c r="D51" t="inlineStr">
        <is>
          <t>Aggregate the classified balance-sheet detail with the classification column.</t>
        </is>
      </c>
      <c r="E51" t="inlineStr">
        <is>
          <t>condensed.olta.2025-12-31</t>
        </is>
      </c>
      <c r="F51" t="inlineStr">
        <is>
          <t>accounting</t>
        </is>
      </c>
      <c r="G51" t="inlineStr">
        <is>
          <t>Condensed Financials</t>
        </is>
      </c>
      <c r="H51" t="inlineStr">
        <is>
          <t>F34</t>
        </is>
      </c>
      <c r="I51">
        <f>SUMIF($B$6:$B$16,"Operating Long-Term Asset",G$6:G$16)</f>
        <v/>
      </c>
      <c r="J51" t="n">
        <v>8400</v>
      </c>
      <c r="K51" t="n">
        <v>0.01</v>
      </c>
      <c r="M51" t="inlineStr">
        <is>
          <t>Use SUMIF over the classification column for Operating Long-Term Asset.</t>
        </is>
      </c>
      <c r="O51" t="inlineStr">
        <is>
          <t>pending</t>
        </is>
      </c>
      <c r="P51" t="inlineStr">
        <is>
          <t>olta_agg</t>
        </is>
      </c>
      <c r="Q51" t="n">
        <v>10</v>
      </c>
      <c r="R51" t="n">
        <v>4</v>
      </c>
      <c r="S51" t="inlineStr">
        <is>
          <t>2025-12-31</t>
        </is>
      </c>
    </row>
    <row r="52">
      <c r="A52" t="inlineStr">
        <is>
          <t>oltl_agg__20211231</t>
        </is>
      </c>
      <c r="B52" t="n">
        <v>51</v>
      </c>
      <c r="C52" t="inlineStr">
        <is>
          <t>Operating long-term liabilities</t>
        </is>
      </c>
      <c r="D52" t="inlineStr">
        <is>
          <t>Aggregate the classified balance-sheet detail with the classification column.</t>
        </is>
      </c>
      <c r="E52" t="inlineStr">
        <is>
          <t>condensed.oltl.2021-12-31</t>
        </is>
      </c>
      <c r="F52" t="inlineStr">
        <is>
          <t>accounting</t>
        </is>
      </c>
      <c r="G52" t="inlineStr">
        <is>
          <t>Condensed Financials</t>
        </is>
      </c>
      <c r="H52" t="inlineStr">
        <is>
          <t>B35</t>
        </is>
      </c>
      <c r="I52">
        <f>SUMIF($B$6:$B$16,"Operating Long-Term Liability",C$6:C$16)</f>
        <v/>
      </c>
      <c r="J52" t="n">
        <v>1305</v>
      </c>
      <c r="K52" t="n">
        <v>0.01</v>
      </c>
      <c r="M52" t="inlineStr">
        <is>
          <t>Use SUMIF over the classification column for Operating Long-Term Liability.</t>
        </is>
      </c>
      <c r="O52" t="inlineStr">
        <is>
          <t>pending</t>
        </is>
      </c>
      <c r="P52" t="inlineStr">
        <is>
          <t>oltl_agg</t>
        </is>
      </c>
      <c r="Q52" t="n">
        <v>11</v>
      </c>
      <c r="R52" t="n">
        <v>0</v>
      </c>
      <c r="S52" t="inlineStr">
        <is>
          <t>2021-12-31</t>
        </is>
      </c>
    </row>
    <row r="53">
      <c r="A53" t="inlineStr">
        <is>
          <t>oltl_agg__20221231</t>
        </is>
      </c>
      <c r="B53" t="n">
        <v>52</v>
      </c>
      <c r="C53" t="inlineStr">
        <is>
          <t>Operating long-term liabilities</t>
        </is>
      </c>
      <c r="D53" t="inlineStr">
        <is>
          <t>Aggregate the classified balance-sheet detail with the classification column.</t>
        </is>
      </c>
      <c r="E53" t="inlineStr">
        <is>
          <t>condensed.oltl.2022-12-31</t>
        </is>
      </c>
      <c r="F53" t="inlineStr">
        <is>
          <t>accounting</t>
        </is>
      </c>
      <c r="G53" t="inlineStr">
        <is>
          <t>Condensed Financials</t>
        </is>
      </c>
      <c r="H53" t="inlineStr">
        <is>
          <t>C35</t>
        </is>
      </c>
      <c r="I53">
        <f>SUMIF($B$6:$B$16,"Operating Long-Term Liability",D$6:D$16)</f>
        <v/>
      </c>
      <c r="J53" t="n">
        <v>1456</v>
      </c>
      <c r="K53" t="n">
        <v>0.01</v>
      </c>
      <c r="M53" t="inlineStr">
        <is>
          <t>Use SUMIF over the classification column for Operating Long-Term Liability.</t>
        </is>
      </c>
      <c r="O53" t="inlineStr">
        <is>
          <t>pending</t>
        </is>
      </c>
      <c r="P53" t="inlineStr">
        <is>
          <t>oltl_agg</t>
        </is>
      </c>
      <c r="Q53" t="n">
        <v>11</v>
      </c>
      <c r="R53" t="n">
        <v>1</v>
      </c>
      <c r="S53" t="inlineStr">
        <is>
          <t>2022-12-31</t>
        </is>
      </c>
    </row>
    <row r="54">
      <c r="A54" t="inlineStr">
        <is>
          <t>oltl_agg__20231231</t>
        </is>
      </c>
      <c r="B54" t="n">
        <v>53</v>
      </c>
      <c r="C54" t="inlineStr">
        <is>
          <t>Operating long-term liabilities</t>
        </is>
      </c>
      <c r="D54" t="inlineStr">
        <is>
          <t>Aggregate the classified balance-sheet detail with the classification column.</t>
        </is>
      </c>
      <c r="E54" t="inlineStr">
        <is>
          <t>condensed.oltl.2023-12-31</t>
        </is>
      </c>
      <c r="F54" t="inlineStr">
        <is>
          <t>accounting</t>
        </is>
      </c>
      <c r="G54" t="inlineStr">
        <is>
          <t>Condensed Financials</t>
        </is>
      </c>
      <c r="H54" t="inlineStr">
        <is>
          <t>D35</t>
        </is>
      </c>
      <c r="I54">
        <f>SUMIF($B$6:$B$16,"Operating Long-Term Liability",E$6:E$16)</f>
        <v/>
      </c>
      <c r="J54" t="n">
        <v>1593</v>
      </c>
      <c r="K54" t="n">
        <v>0.01</v>
      </c>
      <c r="M54" t="inlineStr">
        <is>
          <t>Use SUMIF over the classification column for Operating Long-Term Liability.</t>
        </is>
      </c>
      <c r="O54" t="inlineStr">
        <is>
          <t>pending</t>
        </is>
      </c>
      <c r="P54" t="inlineStr">
        <is>
          <t>oltl_agg</t>
        </is>
      </c>
      <c r="Q54" t="n">
        <v>11</v>
      </c>
      <c r="R54" t="n">
        <v>2</v>
      </c>
      <c r="S54" t="inlineStr">
        <is>
          <t>2023-12-31</t>
        </is>
      </c>
    </row>
    <row r="55">
      <c r="A55" t="inlineStr">
        <is>
          <t>oltl_agg__20241231</t>
        </is>
      </c>
      <c r="B55" t="n">
        <v>54</v>
      </c>
      <c r="C55" t="inlineStr">
        <is>
          <t>Operating long-term liabilities</t>
        </is>
      </c>
      <c r="D55" t="inlineStr">
        <is>
          <t>Aggregate the classified balance-sheet detail with the classification column.</t>
        </is>
      </c>
      <c r="E55" t="inlineStr">
        <is>
          <t>condensed.oltl.2024-12-31</t>
        </is>
      </c>
      <c r="F55" t="inlineStr">
        <is>
          <t>accounting</t>
        </is>
      </c>
      <c r="G55" t="inlineStr">
        <is>
          <t>Condensed Financials</t>
        </is>
      </c>
      <c r="H55" t="inlineStr">
        <is>
          <t>E35</t>
        </is>
      </c>
      <c r="I55">
        <f>SUMIF($B$6:$B$16,"Operating Long-Term Liability",F$6:F$16)</f>
        <v/>
      </c>
      <c r="J55" t="n">
        <v>1716</v>
      </c>
      <c r="K55" t="n">
        <v>0.01</v>
      </c>
      <c r="M55" t="inlineStr">
        <is>
          <t>Use SUMIF over the classification column for Operating Long-Term Liability.</t>
        </is>
      </c>
      <c r="O55" t="inlineStr">
        <is>
          <t>pending</t>
        </is>
      </c>
      <c r="P55" t="inlineStr">
        <is>
          <t>oltl_agg</t>
        </is>
      </c>
      <c r="Q55" t="n">
        <v>11</v>
      </c>
      <c r="R55" t="n">
        <v>3</v>
      </c>
      <c r="S55" t="inlineStr">
        <is>
          <t>2024-12-31</t>
        </is>
      </c>
    </row>
    <row r="56">
      <c r="A56" t="inlineStr">
        <is>
          <t>oltl_agg__20251231</t>
        </is>
      </c>
      <c r="B56" t="n">
        <v>55</v>
      </c>
      <c r="C56" t="inlineStr">
        <is>
          <t>Operating long-term liabilities</t>
        </is>
      </c>
      <c r="D56" t="inlineStr">
        <is>
          <t>Aggregate the classified balance-sheet detail with the classification column.</t>
        </is>
      </c>
      <c r="E56" t="inlineStr">
        <is>
          <t>condensed.oltl.2025-12-31</t>
        </is>
      </c>
      <c r="F56" t="inlineStr">
        <is>
          <t>accounting</t>
        </is>
      </c>
      <c r="G56" t="inlineStr">
        <is>
          <t>Condensed Financials</t>
        </is>
      </c>
      <c r="H56" t="inlineStr">
        <is>
          <t>F35</t>
        </is>
      </c>
      <c r="I56">
        <f>SUMIF($B$6:$B$16,"Operating Long-Term Liability",G$6:G$16)</f>
        <v/>
      </c>
      <c r="J56" t="n">
        <v>1825</v>
      </c>
      <c r="K56" t="n">
        <v>0.01</v>
      </c>
      <c r="M56" t="inlineStr">
        <is>
          <t>Use SUMIF over the classification column for Operating Long-Term Liability.</t>
        </is>
      </c>
      <c r="O56" t="inlineStr">
        <is>
          <t>pending</t>
        </is>
      </c>
      <c r="P56" t="inlineStr">
        <is>
          <t>oltl_agg</t>
        </is>
      </c>
      <c r="Q56" t="n">
        <v>11</v>
      </c>
      <c r="R56" t="n">
        <v>4</v>
      </c>
      <c r="S56" t="inlineStr">
        <is>
          <t>2025-12-31</t>
        </is>
      </c>
    </row>
    <row r="57">
      <c r="A57" t="inlineStr">
        <is>
          <t>nola_agg__20211231</t>
        </is>
      </c>
      <c r="B57" t="n">
        <v>56</v>
      </c>
      <c r="C57" t="inlineStr">
        <is>
          <t>Net operating long-term assets (NOLA)</t>
        </is>
      </c>
      <c r="D57" t="inlineStr">
        <is>
          <t>Operating long-term assets less operating long-term liabilities.</t>
        </is>
      </c>
      <c r="E57" t="inlineStr">
        <is>
          <t>condensed.nola.2021-12-31</t>
        </is>
      </c>
      <c r="F57" t="inlineStr">
        <is>
          <t>accounting</t>
        </is>
      </c>
      <c r="G57" t="inlineStr">
        <is>
          <t>Condensed Financials</t>
        </is>
      </c>
      <c r="H57" t="inlineStr">
        <is>
          <t>B36</t>
        </is>
      </c>
      <c r="I57">
        <f>B34-B35</f>
        <v/>
      </c>
      <c r="J57" t="n">
        <v>4465</v>
      </c>
      <c r="K57" t="n">
        <v>0.01</v>
      </c>
      <c r="L57" t="inlineStr">
        <is>
          <t>olta_agg__20211231,oltl_agg__20211231</t>
        </is>
      </c>
      <c r="M57" t="inlineStr">
        <is>
          <t>NOLA = Operating LT Assets − Operating LT Liabilities.</t>
        </is>
      </c>
      <c r="O57" t="inlineStr">
        <is>
          <t>pending</t>
        </is>
      </c>
      <c r="P57" t="inlineStr">
        <is>
          <t>nola_agg</t>
        </is>
      </c>
      <c r="Q57" t="n">
        <v>12</v>
      </c>
      <c r="R57" t="n">
        <v>0</v>
      </c>
      <c r="S57" t="inlineStr">
        <is>
          <t>2021-12-31</t>
        </is>
      </c>
    </row>
    <row r="58">
      <c r="A58" t="inlineStr">
        <is>
          <t>nola_agg__20221231</t>
        </is>
      </c>
      <c r="B58" t="n">
        <v>57</v>
      </c>
      <c r="C58" t="inlineStr">
        <is>
          <t>Net operating long-term assets (NOLA)</t>
        </is>
      </c>
      <c r="D58" t="inlineStr">
        <is>
          <t>Operating long-term assets less operating long-term liabilities.</t>
        </is>
      </c>
      <c r="E58" t="inlineStr">
        <is>
          <t>condensed.nola.2022-12-31</t>
        </is>
      </c>
      <c r="F58" t="inlineStr">
        <is>
          <t>accounting</t>
        </is>
      </c>
      <c r="G58" t="inlineStr">
        <is>
          <t>Condensed Financials</t>
        </is>
      </c>
      <c r="H58" t="inlineStr">
        <is>
          <t>C36</t>
        </is>
      </c>
      <c r="I58">
        <f>C34-C35</f>
        <v/>
      </c>
      <c r="J58" t="n">
        <v>4738</v>
      </c>
      <c r="K58" t="n">
        <v>0.01</v>
      </c>
      <c r="L58" t="inlineStr">
        <is>
          <t>olta_agg__20221231,oltl_agg__20221231</t>
        </is>
      </c>
      <c r="M58" t="inlineStr">
        <is>
          <t>NOLA = Operating LT Assets − Operating LT Liabilities.</t>
        </is>
      </c>
      <c r="O58" t="inlineStr">
        <is>
          <t>pending</t>
        </is>
      </c>
      <c r="P58" t="inlineStr">
        <is>
          <t>nola_agg</t>
        </is>
      </c>
      <c r="Q58" t="n">
        <v>12</v>
      </c>
      <c r="R58" t="n">
        <v>1</v>
      </c>
      <c r="S58" t="inlineStr">
        <is>
          <t>2022-12-31</t>
        </is>
      </c>
    </row>
    <row r="59">
      <c r="A59" t="inlineStr">
        <is>
          <t>nola_agg__20231231</t>
        </is>
      </c>
      <c r="B59" t="n">
        <v>58</v>
      </c>
      <c r="C59" t="inlineStr">
        <is>
          <t>Net operating long-term assets (NOLA)</t>
        </is>
      </c>
      <c r="D59" t="inlineStr">
        <is>
          <t>Operating long-term assets less operating long-term liabilities.</t>
        </is>
      </c>
      <c r="E59" t="inlineStr">
        <is>
          <t>condensed.nola.2023-12-31</t>
        </is>
      </c>
      <c r="F59" t="inlineStr">
        <is>
          <t>accounting</t>
        </is>
      </c>
      <c r="G59" t="inlineStr">
        <is>
          <t>Condensed Financials</t>
        </is>
      </c>
      <c r="H59" t="inlineStr">
        <is>
          <t>D36</t>
        </is>
      </c>
      <c r="I59">
        <f>D34-D35</f>
        <v/>
      </c>
      <c r="J59" t="n">
        <v>5189</v>
      </c>
      <c r="K59" t="n">
        <v>0.01</v>
      </c>
      <c r="L59" t="inlineStr">
        <is>
          <t>olta_agg__20231231,oltl_agg__20231231</t>
        </is>
      </c>
      <c r="M59" t="inlineStr">
        <is>
          <t>NOLA = Operating LT Assets − Operating LT Liabilities.</t>
        </is>
      </c>
      <c r="O59" t="inlineStr">
        <is>
          <t>pending</t>
        </is>
      </c>
      <c r="P59" t="inlineStr">
        <is>
          <t>nola_agg</t>
        </is>
      </c>
      <c r="Q59" t="n">
        <v>12</v>
      </c>
      <c r="R59" t="n">
        <v>2</v>
      </c>
      <c r="S59" t="inlineStr">
        <is>
          <t>2023-12-31</t>
        </is>
      </c>
    </row>
    <row r="60">
      <c r="A60" t="inlineStr">
        <is>
          <t>nola_agg__20241231</t>
        </is>
      </c>
      <c r="B60" t="n">
        <v>59</v>
      </c>
      <c r="C60" t="inlineStr">
        <is>
          <t>Net operating long-term assets (NOLA)</t>
        </is>
      </c>
      <c r="D60" t="inlineStr">
        <is>
          <t>Operating long-term assets less operating long-term liabilities.</t>
        </is>
      </c>
      <c r="E60" t="inlineStr">
        <is>
          <t>condensed.nola.2024-12-31</t>
        </is>
      </c>
      <c r="F60" t="inlineStr">
        <is>
          <t>accounting</t>
        </is>
      </c>
      <c r="G60" t="inlineStr">
        <is>
          <t>Condensed Financials</t>
        </is>
      </c>
      <c r="H60" t="inlineStr">
        <is>
          <t>E36</t>
        </is>
      </c>
      <c r="I60">
        <f>E34-E35</f>
        <v/>
      </c>
      <c r="J60" t="n">
        <v>5788</v>
      </c>
      <c r="K60" t="n">
        <v>0.01</v>
      </c>
      <c r="L60" t="inlineStr">
        <is>
          <t>olta_agg__20241231,oltl_agg__20241231</t>
        </is>
      </c>
      <c r="M60" t="inlineStr">
        <is>
          <t>NOLA = Operating LT Assets − Operating LT Liabilities.</t>
        </is>
      </c>
      <c r="O60" t="inlineStr">
        <is>
          <t>pending</t>
        </is>
      </c>
      <c r="P60" t="inlineStr">
        <is>
          <t>nola_agg</t>
        </is>
      </c>
      <c r="Q60" t="n">
        <v>12</v>
      </c>
      <c r="R60" t="n">
        <v>3</v>
      </c>
      <c r="S60" t="inlineStr">
        <is>
          <t>2024-12-31</t>
        </is>
      </c>
    </row>
    <row r="61">
      <c r="A61" t="inlineStr">
        <is>
          <t>nola_agg__20251231</t>
        </is>
      </c>
      <c r="B61" t="n">
        <v>60</v>
      </c>
      <c r="C61" t="inlineStr">
        <is>
          <t>Net operating long-term assets (NOLA)</t>
        </is>
      </c>
      <c r="D61" t="inlineStr">
        <is>
          <t>Operating long-term assets less operating long-term liabilities.</t>
        </is>
      </c>
      <c r="E61" t="inlineStr">
        <is>
          <t>condensed.nola.2025-12-31</t>
        </is>
      </c>
      <c r="F61" t="inlineStr">
        <is>
          <t>accounting</t>
        </is>
      </c>
      <c r="G61" t="inlineStr">
        <is>
          <t>Condensed Financials</t>
        </is>
      </c>
      <c r="H61" t="inlineStr">
        <is>
          <t>F36</t>
        </is>
      </c>
      <c r="I61">
        <f>F34-F35</f>
        <v/>
      </c>
      <c r="J61" t="n">
        <v>6575</v>
      </c>
      <c r="K61" t="n">
        <v>0.01</v>
      </c>
      <c r="L61" t="inlineStr">
        <is>
          <t>olta_agg__20251231,oltl_agg__20251231</t>
        </is>
      </c>
      <c r="M61" t="inlineStr">
        <is>
          <t>NOLA = Operating LT Assets − Operating LT Liabilities.</t>
        </is>
      </c>
      <c r="O61" t="inlineStr">
        <is>
          <t>pending</t>
        </is>
      </c>
      <c r="P61" t="inlineStr">
        <is>
          <t>nola_agg</t>
        </is>
      </c>
      <c r="Q61" t="n">
        <v>12</v>
      </c>
      <c r="R61" t="n">
        <v>4</v>
      </c>
      <c r="S61" t="inlineStr">
        <is>
          <t>2025-12-31</t>
        </is>
      </c>
    </row>
    <row r="62">
      <c r="A62" t="inlineStr">
        <is>
          <t>noa_agg__20211231</t>
        </is>
      </c>
      <c r="B62" t="n">
        <v>61</v>
      </c>
      <c r="C62" t="inlineStr">
        <is>
          <t>Net Operating Assets (NOA)</t>
        </is>
      </c>
      <c r="D62" t="inlineStr">
        <is>
          <t>NOWC plus net operating long-term assets.</t>
        </is>
      </c>
      <c r="E62" t="inlineStr">
        <is>
          <t>condensed.noa.2021-12-31</t>
        </is>
      </c>
      <c r="F62" t="inlineStr">
        <is>
          <t>accounting</t>
        </is>
      </c>
      <c r="G62" t="inlineStr">
        <is>
          <t>Condensed Financials</t>
        </is>
      </c>
      <c r="H62" t="inlineStr">
        <is>
          <t>B37</t>
        </is>
      </c>
      <c r="I62">
        <f>B33+B36</f>
        <v/>
      </c>
      <c r="J62" t="n">
        <v>5400</v>
      </c>
      <c r="K62" t="n">
        <v>0.01</v>
      </c>
      <c r="L62" t="inlineStr">
        <is>
          <t>nowc_agg__20211231,nola_agg__20211231</t>
        </is>
      </c>
      <c r="M62" t="inlineStr">
        <is>
          <t>Net Operating LT Assets = Op. LT Assets − Op. LT Liabilities (SUMIF).|NOA = NOWC + Net Operating LT Assets.</t>
        </is>
      </c>
      <c r="O62" t="inlineStr">
        <is>
          <t>pending</t>
        </is>
      </c>
      <c r="P62" t="inlineStr">
        <is>
          <t>noa_agg</t>
        </is>
      </c>
      <c r="Q62" t="n">
        <v>13</v>
      </c>
      <c r="R62" t="n">
        <v>0</v>
      </c>
      <c r="S62" t="inlineStr">
        <is>
          <t>2021-12-31</t>
        </is>
      </c>
    </row>
    <row r="63">
      <c r="A63" t="inlineStr">
        <is>
          <t>noa_agg__20221231</t>
        </is>
      </c>
      <c r="B63" t="n">
        <v>62</v>
      </c>
      <c r="C63" t="inlineStr">
        <is>
          <t>Net Operating Assets (NOA)</t>
        </is>
      </c>
      <c r="D63" t="inlineStr">
        <is>
          <t>NOWC plus net operating long-term assets.</t>
        </is>
      </c>
      <c r="E63" t="inlineStr">
        <is>
          <t>condensed.noa.2022-12-31</t>
        </is>
      </c>
      <c r="F63" t="inlineStr">
        <is>
          <t>accounting</t>
        </is>
      </c>
      <c r="G63" t="inlineStr">
        <is>
          <t>Condensed Financials</t>
        </is>
      </c>
      <c r="H63" t="inlineStr">
        <is>
          <t>C37</t>
        </is>
      </c>
      <c r="I63">
        <f>C33+C36</f>
        <v/>
      </c>
      <c r="J63" t="n">
        <v>5750</v>
      </c>
      <c r="K63" t="n">
        <v>0.01</v>
      </c>
      <c r="L63" t="inlineStr">
        <is>
          <t>nowc_agg__20221231,nola_agg__20221231</t>
        </is>
      </c>
      <c r="M63" t="inlineStr">
        <is>
          <t>Net Operating LT Assets = Op. LT Assets − Op. LT Liabilities (SUMIF).|NOA = NOWC + Net Operating LT Assets.</t>
        </is>
      </c>
      <c r="O63" t="inlineStr">
        <is>
          <t>pending</t>
        </is>
      </c>
      <c r="P63" t="inlineStr">
        <is>
          <t>noa_agg</t>
        </is>
      </c>
      <c r="Q63" t="n">
        <v>13</v>
      </c>
      <c r="R63" t="n">
        <v>1</v>
      </c>
      <c r="S63" t="inlineStr">
        <is>
          <t>2022-12-31</t>
        </is>
      </c>
    </row>
    <row r="64">
      <c r="A64" t="inlineStr">
        <is>
          <t>noa_agg__20231231</t>
        </is>
      </c>
      <c r="B64" t="n">
        <v>63</v>
      </c>
      <c r="C64" t="inlineStr">
        <is>
          <t>Net Operating Assets (NOA)</t>
        </is>
      </c>
      <c r="D64" t="inlineStr">
        <is>
          <t>NOWC plus net operating long-term assets.</t>
        </is>
      </c>
      <c r="E64" t="inlineStr">
        <is>
          <t>condensed.noa.2023-12-31</t>
        </is>
      </c>
      <c r="F64" t="inlineStr">
        <is>
          <t>accounting</t>
        </is>
      </c>
      <c r="G64" t="inlineStr">
        <is>
          <t>Condensed Financials</t>
        </is>
      </c>
      <c r="H64" t="inlineStr">
        <is>
          <t>D37</t>
        </is>
      </c>
      <c r="I64">
        <f>D33+D36</f>
        <v/>
      </c>
      <c r="J64" t="n">
        <v>6300</v>
      </c>
      <c r="K64" t="n">
        <v>0.01</v>
      </c>
      <c r="L64" t="inlineStr">
        <is>
          <t>nowc_agg__20231231,nola_agg__20231231</t>
        </is>
      </c>
      <c r="M64" t="inlineStr">
        <is>
          <t>Net Operating LT Assets = Op. LT Assets − Op. LT Liabilities (SUMIF).|NOA = NOWC + Net Operating LT Assets.</t>
        </is>
      </c>
      <c r="O64" t="inlineStr">
        <is>
          <t>pending</t>
        </is>
      </c>
      <c r="P64" t="inlineStr">
        <is>
          <t>noa_agg</t>
        </is>
      </c>
      <c r="Q64" t="n">
        <v>13</v>
      </c>
      <c r="R64" t="n">
        <v>2</v>
      </c>
      <c r="S64" t="inlineStr">
        <is>
          <t>2023-12-31</t>
        </is>
      </c>
    </row>
    <row r="65">
      <c r="A65" t="inlineStr">
        <is>
          <t>noa_agg__20241231</t>
        </is>
      </c>
      <c r="B65" t="n">
        <v>64</v>
      </c>
      <c r="C65" t="inlineStr">
        <is>
          <t>Net Operating Assets (NOA)</t>
        </is>
      </c>
      <c r="D65" t="inlineStr">
        <is>
          <t>NOWC plus net operating long-term assets.</t>
        </is>
      </c>
      <c r="E65" t="inlineStr">
        <is>
          <t>condensed.noa.2024-12-31</t>
        </is>
      </c>
      <c r="F65" t="inlineStr">
        <is>
          <t>accounting</t>
        </is>
      </c>
      <c r="G65" t="inlineStr">
        <is>
          <t>Condensed Financials</t>
        </is>
      </c>
      <c r="H65" t="inlineStr">
        <is>
          <t>E37</t>
        </is>
      </c>
      <c r="I65">
        <f>E33+E36</f>
        <v/>
      </c>
      <c r="J65" t="n">
        <v>7020</v>
      </c>
      <c r="K65" t="n">
        <v>0.01</v>
      </c>
      <c r="L65" t="inlineStr">
        <is>
          <t>nowc_agg__20241231,nola_agg__20241231</t>
        </is>
      </c>
      <c r="M65" t="inlineStr">
        <is>
          <t>Net Operating LT Assets = Op. LT Assets − Op. LT Liabilities (SUMIF).|NOA = NOWC + Net Operating LT Assets.</t>
        </is>
      </c>
      <c r="O65" t="inlineStr">
        <is>
          <t>pending</t>
        </is>
      </c>
      <c r="P65" t="inlineStr">
        <is>
          <t>noa_agg</t>
        </is>
      </c>
      <c r="Q65" t="n">
        <v>13</v>
      </c>
      <c r="R65" t="n">
        <v>3</v>
      </c>
      <c r="S65" t="inlineStr">
        <is>
          <t>2024-12-31</t>
        </is>
      </c>
    </row>
    <row r="66">
      <c r="A66" t="inlineStr">
        <is>
          <t>noa_agg__20251231</t>
        </is>
      </c>
      <c r="B66" t="n">
        <v>65</v>
      </c>
      <c r="C66" t="inlineStr">
        <is>
          <t>Net Operating Assets (NOA)</t>
        </is>
      </c>
      <c r="D66" t="inlineStr">
        <is>
          <t>NOWC plus net operating long-term assets.</t>
        </is>
      </c>
      <c r="E66" t="inlineStr">
        <is>
          <t>condensed.noa.2025-12-31</t>
        </is>
      </c>
      <c r="F66" t="inlineStr">
        <is>
          <t>accounting</t>
        </is>
      </c>
      <c r="G66" t="inlineStr">
        <is>
          <t>Condensed Financials</t>
        </is>
      </c>
      <c r="H66" t="inlineStr">
        <is>
          <t>F37</t>
        </is>
      </c>
      <c r="I66">
        <f>F33+F36</f>
        <v/>
      </c>
      <c r="J66" t="n">
        <v>7950</v>
      </c>
      <c r="K66" t="n">
        <v>0.01</v>
      </c>
      <c r="L66" t="inlineStr">
        <is>
          <t>nowc_agg__20251231,nola_agg__20251231</t>
        </is>
      </c>
      <c r="M66" t="inlineStr">
        <is>
          <t>Net Operating LT Assets = Op. LT Assets − Op. LT Liabilities (SUMIF).|NOA = NOWC + Net Operating LT Assets.</t>
        </is>
      </c>
      <c r="O66" t="inlineStr">
        <is>
          <t>pending</t>
        </is>
      </c>
      <c r="P66" t="inlineStr">
        <is>
          <t>noa_agg</t>
        </is>
      </c>
      <c r="Q66" t="n">
        <v>13</v>
      </c>
      <c r="R66" t="n">
        <v>4</v>
      </c>
      <c r="S66" t="inlineStr">
        <is>
          <t>2025-12-31</t>
        </is>
      </c>
    </row>
    <row r="67">
      <c r="A67" t="inlineStr">
        <is>
          <t>financial_assets_agg__20211231</t>
        </is>
      </c>
      <c r="B67" t="n">
        <v>66</v>
      </c>
      <c r="C67" t="inlineStr">
        <is>
          <t>Financial assets</t>
        </is>
      </c>
      <c r="D67" t="inlineStr">
        <is>
          <t>Aggregate the classified balance-sheet detail with the classification column.</t>
        </is>
      </c>
      <c r="E67" t="inlineStr">
        <is>
          <t>condensed.financial_assets.2021-12-31</t>
        </is>
      </c>
      <c r="F67" t="inlineStr">
        <is>
          <t>accounting</t>
        </is>
      </c>
      <c r="G67" t="inlineStr">
        <is>
          <t>Condensed Financials</t>
        </is>
      </c>
      <c r="H67" t="inlineStr">
        <is>
          <t>B38</t>
        </is>
      </c>
      <c r="I67">
        <f>SUMIF($B$6:$B$16,"Financial Asset",C$6:C$16)</f>
        <v/>
      </c>
      <c r="J67" t="n">
        <v>1200</v>
      </c>
      <c r="K67" t="n">
        <v>0.01</v>
      </c>
      <c r="M67" t="inlineStr">
        <is>
          <t>Use SUMIF over the classification column for Financial Asset.</t>
        </is>
      </c>
      <c r="O67" t="inlineStr">
        <is>
          <t>pending</t>
        </is>
      </c>
      <c r="P67" t="inlineStr">
        <is>
          <t>financial_assets_agg</t>
        </is>
      </c>
      <c r="Q67" t="n">
        <v>14</v>
      </c>
      <c r="R67" t="n">
        <v>0</v>
      </c>
      <c r="S67" t="inlineStr">
        <is>
          <t>2021-12-31</t>
        </is>
      </c>
    </row>
    <row r="68">
      <c r="A68" t="inlineStr">
        <is>
          <t>financial_assets_agg__20221231</t>
        </is>
      </c>
      <c r="B68" t="n">
        <v>67</v>
      </c>
      <c r="C68" t="inlineStr">
        <is>
          <t>Financial assets</t>
        </is>
      </c>
      <c r="D68" t="inlineStr">
        <is>
          <t>Aggregate the classified balance-sheet detail with the classification column.</t>
        </is>
      </c>
      <c r="E68" t="inlineStr">
        <is>
          <t>condensed.financial_assets.2022-12-31</t>
        </is>
      </c>
      <c r="F68" t="inlineStr">
        <is>
          <t>accounting</t>
        </is>
      </c>
      <c r="G68" t="inlineStr">
        <is>
          <t>Condensed Financials</t>
        </is>
      </c>
      <c r="H68" t="inlineStr">
        <is>
          <t>C38</t>
        </is>
      </c>
      <c r="I68">
        <f>SUMIF($B$6:$B$16,"Financial Asset",D$6:D$16)</f>
        <v/>
      </c>
      <c r="J68" t="n">
        <v>1350</v>
      </c>
      <c r="K68" t="n">
        <v>0.01</v>
      </c>
      <c r="M68" t="inlineStr">
        <is>
          <t>Use SUMIF over the classification column for Financial Asset.</t>
        </is>
      </c>
      <c r="O68" t="inlineStr">
        <is>
          <t>pending</t>
        </is>
      </c>
      <c r="P68" t="inlineStr">
        <is>
          <t>financial_assets_agg</t>
        </is>
      </c>
      <c r="Q68" t="n">
        <v>14</v>
      </c>
      <c r="R68" t="n">
        <v>1</v>
      </c>
      <c r="S68" t="inlineStr">
        <is>
          <t>2022-12-31</t>
        </is>
      </c>
    </row>
    <row r="69">
      <c r="A69" t="inlineStr">
        <is>
          <t>financial_assets_agg__20231231</t>
        </is>
      </c>
      <c r="B69" t="n">
        <v>68</v>
      </c>
      <c r="C69" t="inlineStr">
        <is>
          <t>Financial assets</t>
        </is>
      </c>
      <c r="D69" t="inlineStr">
        <is>
          <t>Aggregate the classified balance-sheet detail with the classification column.</t>
        </is>
      </c>
      <c r="E69" t="inlineStr">
        <is>
          <t>condensed.financial_assets.2023-12-31</t>
        </is>
      </c>
      <c r="F69" t="inlineStr">
        <is>
          <t>accounting</t>
        </is>
      </c>
      <c r="G69" t="inlineStr">
        <is>
          <t>Condensed Financials</t>
        </is>
      </c>
      <c r="H69" t="inlineStr">
        <is>
          <t>D38</t>
        </is>
      </c>
      <c r="I69">
        <f>SUMIF($B$6:$B$16,"Financial Asset",E$6:E$16)</f>
        <v/>
      </c>
      <c r="J69" t="n">
        <v>1500</v>
      </c>
      <c r="K69" t="n">
        <v>0.01</v>
      </c>
      <c r="M69" t="inlineStr">
        <is>
          <t>Use SUMIF over the classification column for Financial Asset.</t>
        </is>
      </c>
      <c r="O69" t="inlineStr">
        <is>
          <t>pending</t>
        </is>
      </c>
      <c r="P69" t="inlineStr">
        <is>
          <t>financial_assets_agg</t>
        </is>
      </c>
      <c r="Q69" t="n">
        <v>14</v>
      </c>
      <c r="R69" t="n">
        <v>2</v>
      </c>
      <c r="S69" t="inlineStr">
        <is>
          <t>2023-12-31</t>
        </is>
      </c>
    </row>
    <row r="70">
      <c r="A70" t="inlineStr">
        <is>
          <t>financial_assets_agg__20241231</t>
        </is>
      </c>
      <c r="B70" t="n">
        <v>69</v>
      </c>
      <c r="C70" t="inlineStr">
        <is>
          <t>Financial assets</t>
        </is>
      </c>
      <c r="D70" t="inlineStr">
        <is>
          <t>Aggregate the classified balance-sheet detail with the classification column.</t>
        </is>
      </c>
      <c r="E70" t="inlineStr">
        <is>
          <t>condensed.financial_assets.2024-12-31</t>
        </is>
      </c>
      <c r="F70" t="inlineStr">
        <is>
          <t>accounting</t>
        </is>
      </c>
      <c r="G70" t="inlineStr">
        <is>
          <t>Condensed Financials</t>
        </is>
      </c>
      <c r="H70" t="inlineStr">
        <is>
          <t>E38</t>
        </is>
      </c>
      <c r="I70">
        <f>SUMIF($B$6:$B$16,"Financial Asset",F$6:F$16)</f>
        <v/>
      </c>
      <c r="J70" t="n">
        <v>1680</v>
      </c>
      <c r="K70" t="n">
        <v>0.01</v>
      </c>
      <c r="M70" t="inlineStr">
        <is>
          <t>Use SUMIF over the classification column for Financial Asset.</t>
        </is>
      </c>
      <c r="O70" t="inlineStr">
        <is>
          <t>pending</t>
        </is>
      </c>
      <c r="P70" t="inlineStr">
        <is>
          <t>financial_assets_agg</t>
        </is>
      </c>
      <c r="Q70" t="n">
        <v>14</v>
      </c>
      <c r="R70" t="n">
        <v>3</v>
      </c>
      <c r="S70" t="inlineStr">
        <is>
          <t>2024-12-31</t>
        </is>
      </c>
    </row>
    <row r="71">
      <c r="A71" t="inlineStr">
        <is>
          <t>financial_assets_agg__20251231</t>
        </is>
      </c>
      <c r="B71" t="n">
        <v>70</v>
      </c>
      <c r="C71" t="inlineStr">
        <is>
          <t>Financial assets</t>
        </is>
      </c>
      <c r="D71" t="inlineStr">
        <is>
          <t>Aggregate the classified balance-sheet detail with the classification column.</t>
        </is>
      </c>
      <c r="E71" t="inlineStr">
        <is>
          <t>condensed.financial_assets.2025-12-31</t>
        </is>
      </c>
      <c r="F71" t="inlineStr">
        <is>
          <t>accounting</t>
        </is>
      </c>
      <c r="G71" t="inlineStr">
        <is>
          <t>Condensed Financials</t>
        </is>
      </c>
      <c r="H71" t="inlineStr">
        <is>
          <t>F38</t>
        </is>
      </c>
      <c r="I71">
        <f>SUMIF($B$6:$B$16,"Financial Asset",G$6:G$16)</f>
        <v/>
      </c>
      <c r="J71" t="n">
        <v>1850</v>
      </c>
      <c r="K71" t="n">
        <v>0.01</v>
      </c>
      <c r="M71" t="inlineStr">
        <is>
          <t>Use SUMIF over the classification column for Financial Asset.</t>
        </is>
      </c>
      <c r="O71" t="inlineStr">
        <is>
          <t>pending</t>
        </is>
      </c>
      <c r="P71" t="inlineStr">
        <is>
          <t>financial_assets_agg</t>
        </is>
      </c>
      <c r="Q71" t="n">
        <v>14</v>
      </c>
      <c r="R71" t="n">
        <v>4</v>
      </c>
      <c r="S71" t="inlineStr">
        <is>
          <t>2025-12-31</t>
        </is>
      </c>
    </row>
    <row r="72">
      <c r="A72" t="inlineStr">
        <is>
          <t>financial_liabilities_agg__20211231</t>
        </is>
      </c>
      <c r="B72" t="n">
        <v>71</v>
      </c>
      <c r="C72" t="inlineStr">
        <is>
          <t>Financial liabilities</t>
        </is>
      </c>
      <c r="D72" t="inlineStr">
        <is>
          <t>Aggregate the classified balance-sheet detail with the classification column.</t>
        </is>
      </c>
      <c r="E72" t="inlineStr">
        <is>
          <t>condensed.financial_liabilities.2021-12-31</t>
        </is>
      </c>
      <c r="F72" t="inlineStr">
        <is>
          <t>accounting</t>
        </is>
      </c>
      <c r="G72" t="inlineStr">
        <is>
          <t>Condensed Financials</t>
        </is>
      </c>
      <c r="H72" t="inlineStr">
        <is>
          <t>B39</t>
        </is>
      </c>
      <c r="I72">
        <f>SUMIF($B$6:$B$16,"Financial Liability",C$6:C$16)</f>
        <v/>
      </c>
      <c r="J72" t="n">
        <v>1500</v>
      </c>
      <c r="K72" t="n">
        <v>0.01</v>
      </c>
      <c r="M72" t="inlineStr">
        <is>
          <t>Use SUMIF over the classification column for Financial Liability.</t>
        </is>
      </c>
      <c r="O72" t="inlineStr">
        <is>
          <t>pending</t>
        </is>
      </c>
      <c r="P72" t="inlineStr">
        <is>
          <t>financial_liabilities_agg</t>
        </is>
      </c>
      <c r="Q72" t="n">
        <v>15</v>
      </c>
      <c r="R72" t="n">
        <v>0</v>
      </c>
      <c r="S72" t="inlineStr">
        <is>
          <t>2021-12-31</t>
        </is>
      </c>
    </row>
    <row r="73">
      <c r="A73" t="inlineStr">
        <is>
          <t>financial_liabilities_agg__20221231</t>
        </is>
      </c>
      <c r="B73" t="n">
        <v>72</v>
      </c>
      <c r="C73" t="inlineStr">
        <is>
          <t>Financial liabilities</t>
        </is>
      </c>
      <c r="D73" t="inlineStr">
        <is>
          <t>Aggregate the classified balance-sheet detail with the classification column.</t>
        </is>
      </c>
      <c r="E73" t="inlineStr">
        <is>
          <t>condensed.financial_liabilities.2022-12-31</t>
        </is>
      </c>
      <c r="F73" t="inlineStr">
        <is>
          <t>accounting</t>
        </is>
      </c>
      <c r="G73" t="inlineStr">
        <is>
          <t>Condensed Financials</t>
        </is>
      </c>
      <c r="H73" t="inlineStr">
        <is>
          <t>C39</t>
        </is>
      </c>
      <c r="I73">
        <f>SUMIF($B$6:$B$16,"Financial Liability",D$6:D$16)</f>
        <v/>
      </c>
      <c r="J73" t="n">
        <v>1400</v>
      </c>
      <c r="K73" t="n">
        <v>0.01</v>
      </c>
      <c r="M73" t="inlineStr">
        <is>
          <t>Use SUMIF over the classification column for Financial Liability.</t>
        </is>
      </c>
      <c r="O73" t="inlineStr">
        <is>
          <t>pending</t>
        </is>
      </c>
      <c r="P73" t="inlineStr">
        <is>
          <t>financial_liabilities_agg</t>
        </is>
      </c>
      <c r="Q73" t="n">
        <v>15</v>
      </c>
      <c r="R73" t="n">
        <v>1</v>
      </c>
      <c r="S73" t="inlineStr">
        <is>
          <t>2022-12-31</t>
        </is>
      </c>
    </row>
    <row r="74">
      <c r="A74" t="inlineStr">
        <is>
          <t>financial_liabilities_agg__20231231</t>
        </is>
      </c>
      <c r="B74" t="n">
        <v>73</v>
      </c>
      <c r="C74" t="inlineStr">
        <is>
          <t>Financial liabilities</t>
        </is>
      </c>
      <c r="D74" t="inlineStr">
        <is>
          <t>Aggregate the classified balance-sheet detail with the classification column.</t>
        </is>
      </c>
      <c r="E74" t="inlineStr">
        <is>
          <t>condensed.financial_liabilities.2023-12-31</t>
        </is>
      </c>
      <c r="F74" t="inlineStr">
        <is>
          <t>accounting</t>
        </is>
      </c>
      <c r="G74" t="inlineStr">
        <is>
          <t>Condensed Financials</t>
        </is>
      </c>
      <c r="H74" t="inlineStr">
        <is>
          <t>D39</t>
        </is>
      </c>
      <c r="I74">
        <f>SUMIF($B$6:$B$16,"Financial Liability",E$6:E$16)</f>
        <v/>
      </c>
      <c r="J74" t="n">
        <v>1300</v>
      </c>
      <c r="K74" t="n">
        <v>0.01</v>
      </c>
      <c r="M74" t="inlineStr">
        <is>
          <t>Use SUMIF over the classification column for Financial Liability.</t>
        </is>
      </c>
      <c r="O74" t="inlineStr">
        <is>
          <t>pending</t>
        </is>
      </c>
      <c r="P74" t="inlineStr">
        <is>
          <t>financial_liabilities_agg</t>
        </is>
      </c>
      <c r="Q74" t="n">
        <v>15</v>
      </c>
      <c r="R74" t="n">
        <v>2</v>
      </c>
      <c r="S74" t="inlineStr">
        <is>
          <t>2023-12-31</t>
        </is>
      </c>
    </row>
    <row r="75">
      <c r="A75" t="inlineStr">
        <is>
          <t>financial_liabilities_agg__20241231</t>
        </is>
      </c>
      <c r="B75" t="n">
        <v>74</v>
      </c>
      <c r="C75" t="inlineStr">
        <is>
          <t>Financial liabilities</t>
        </is>
      </c>
      <c r="D75" t="inlineStr">
        <is>
          <t>Aggregate the classified balance-sheet detail with the classification column.</t>
        </is>
      </c>
      <c r="E75" t="inlineStr">
        <is>
          <t>condensed.financial_liabilities.2024-12-31</t>
        </is>
      </c>
      <c r="F75" t="inlineStr">
        <is>
          <t>accounting</t>
        </is>
      </c>
      <c r="G75" t="inlineStr">
        <is>
          <t>Condensed Financials</t>
        </is>
      </c>
      <c r="H75" t="inlineStr">
        <is>
          <t>E39</t>
        </is>
      </c>
      <c r="I75">
        <f>SUMIF($B$6:$B$16,"Financial Liability",F$6:F$16)</f>
        <v/>
      </c>
      <c r="J75" t="n">
        <v>1200</v>
      </c>
      <c r="K75" t="n">
        <v>0.01</v>
      </c>
      <c r="M75" t="inlineStr">
        <is>
          <t>Use SUMIF over the classification column for Financial Liability.</t>
        </is>
      </c>
      <c r="O75" t="inlineStr">
        <is>
          <t>pending</t>
        </is>
      </c>
      <c r="P75" t="inlineStr">
        <is>
          <t>financial_liabilities_agg</t>
        </is>
      </c>
      <c r="Q75" t="n">
        <v>15</v>
      </c>
      <c r="R75" t="n">
        <v>3</v>
      </c>
      <c r="S75" t="inlineStr">
        <is>
          <t>2024-12-31</t>
        </is>
      </c>
    </row>
    <row r="76">
      <c r="A76" t="inlineStr">
        <is>
          <t>financial_liabilities_agg__20251231</t>
        </is>
      </c>
      <c r="B76" t="n">
        <v>75</v>
      </c>
      <c r="C76" t="inlineStr">
        <is>
          <t>Financial liabilities</t>
        </is>
      </c>
      <c r="D76" t="inlineStr">
        <is>
          <t>Aggregate the classified balance-sheet detail with the classification column.</t>
        </is>
      </c>
      <c r="E76" t="inlineStr">
        <is>
          <t>condensed.financial_liabilities.2025-12-31</t>
        </is>
      </c>
      <c r="F76" t="inlineStr">
        <is>
          <t>accounting</t>
        </is>
      </c>
      <c r="G76" t="inlineStr">
        <is>
          <t>Condensed Financials</t>
        </is>
      </c>
      <c r="H76" t="inlineStr">
        <is>
          <t>F39</t>
        </is>
      </c>
      <c r="I76">
        <f>SUMIF($B$6:$B$16,"Financial Liability",G$6:G$16)</f>
        <v/>
      </c>
      <c r="J76" t="n">
        <v>1100</v>
      </c>
      <c r="K76" t="n">
        <v>0.01</v>
      </c>
      <c r="M76" t="inlineStr">
        <is>
          <t>Use SUMIF over the classification column for Financial Liability.</t>
        </is>
      </c>
      <c r="O76" t="inlineStr">
        <is>
          <t>pending</t>
        </is>
      </c>
      <c r="P76" t="inlineStr">
        <is>
          <t>financial_liabilities_agg</t>
        </is>
      </c>
      <c r="Q76" t="n">
        <v>15</v>
      </c>
      <c r="R76" t="n">
        <v>4</v>
      </c>
      <c r="S76" t="inlineStr">
        <is>
          <t>2025-12-31</t>
        </is>
      </c>
    </row>
    <row r="77">
      <c r="A77" t="inlineStr">
        <is>
          <t>net_debt__20211231</t>
        </is>
      </c>
      <c r="B77" t="n">
        <v>76</v>
      </c>
      <c r="C77" t="inlineStr">
        <is>
          <t>Net Debt</t>
        </is>
      </c>
      <c r="D77" t="inlineStr">
        <is>
          <t>Financial liabilities minus financial assets.</t>
        </is>
      </c>
      <c r="E77" t="inlineStr">
        <is>
          <t>condensed.net_debt.2021-12-31</t>
        </is>
      </c>
      <c r="F77" t="inlineStr">
        <is>
          <t>accounting</t>
        </is>
      </c>
      <c r="G77" t="inlineStr">
        <is>
          <t>Condensed Financials</t>
        </is>
      </c>
      <c r="H77" t="inlineStr">
        <is>
          <t>B40</t>
        </is>
      </c>
      <c r="I77">
        <f>B39-B38</f>
        <v/>
      </c>
      <c r="J77" t="n">
        <v>300</v>
      </c>
      <c r="K77" t="n">
        <v>0.01</v>
      </c>
      <c r="L77" t="inlineStr">
        <is>
          <t>financial_assets_agg__20211231,financial_liabilities_agg__20211231</t>
        </is>
      </c>
      <c r="M77" t="inlineStr">
        <is>
          <t>Net Debt = SUMIF(Financial Liability) − SUMIF(Financial Asset).|Positive net debt means the firm carries net financial obligations.</t>
        </is>
      </c>
      <c r="O77" t="inlineStr">
        <is>
          <t>pending</t>
        </is>
      </c>
      <c r="P77" t="inlineStr">
        <is>
          <t>net_debt</t>
        </is>
      </c>
      <c r="Q77" t="n">
        <v>16</v>
      </c>
      <c r="R77" t="n">
        <v>0</v>
      </c>
      <c r="S77" t="inlineStr">
        <is>
          <t>2021-12-31</t>
        </is>
      </c>
    </row>
    <row r="78">
      <c r="A78" t="inlineStr">
        <is>
          <t>net_debt__20221231</t>
        </is>
      </c>
      <c r="B78" t="n">
        <v>77</v>
      </c>
      <c r="C78" t="inlineStr">
        <is>
          <t>Net Debt</t>
        </is>
      </c>
      <c r="D78" t="inlineStr">
        <is>
          <t>Financial liabilities minus financial assets.</t>
        </is>
      </c>
      <c r="E78" t="inlineStr">
        <is>
          <t>condensed.net_debt.2022-12-31</t>
        </is>
      </c>
      <c r="F78" t="inlineStr">
        <is>
          <t>accounting</t>
        </is>
      </c>
      <c r="G78" t="inlineStr">
        <is>
          <t>Condensed Financials</t>
        </is>
      </c>
      <c r="H78" t="inlineStr">
        <is>
          <t>C40</t>
        </is>
      </c>
      <c r="I78">
        <f>C39-C38</f>
        <v/>
      </c>
      <c r="J78" t="n">
        <v>50</v>
      </c>
      <c r="K78" t="n">
        <v>0.01</v>
      </c>
      <c r="L78" t="inlineStr">
        <is>
          <t>financial_assets_agg__20221231,financial_liabilities_agg__20221231</t>
        </is>
      </c>
      <c r="M78" t="inlineStr">
        <is>
          <t>Net Debt = SUMIF(Financial Liability) − SUMIF(Financial Asset).|Positive net debt means the firm carries net financial obligations.</t>
        </is>
      </c>
      <c r="O78" t="inlineStr">
        <is>
          <t>pending</t>
        </is>
      </c>
      <c r="P78" t="inlineStr">
        <is>
          <t>net_debt</t>
        </is>
      </c>
      <c r="Q78" t="n">
        <v>16</v>
      </c>
      <c r="R78" t="n">
        <v>1</v>
      </c>
      <c r="S78" t="inlineStr">
        <is>
          <t>2022-12-31</t>
        </is>
      </c>
    </row>
    <row r="79">
      <c r="A79" t="inlineStr">
        <is>
          <t>net_debt__20231231</t>
        </is>
      </c>
      <c r="B79" t="n">
        <v>78</v>
      </c>
      <c r="C79" t="inlineStr">
        <is>
          <t>Net Debt</t>
        </is>
      </c>
      <c r="D79" t="inlineStr">
        <is>
          <t>Financial liabilities minus financial assets.</t>
        </is>
      </c>
      <c r="E79" t="inlineStr">
        <is>
          <t>condensed.net_debt.2023-12-31</t>
        </is>
      </c>
      <c r="F79" t="inlineStr">
        <is>
          <t>accounting</t>
        </is>
      </c>
      <c r="G79" t="inlineStr">
        <is>
          <t>Condensed Financials</t>
        </is>
      </c>
      <c r="H79" t="inlineStr">
        <is>
          <t>D40</t>
        </is>
      </c>
      <c r="I79">
        <f>D39-D38</f>
        <v/>
      </c>
      <c r="J79" t="n">
        <v>-200</v>
      </c>
      <c r="K79" t="n">
        <v>0.01</v>
      </c>
      <c r="L79" t="inlineStr">
        <is>
          <t>financial_assets_agg__20231231,financial_liabilities_agg__20231231</t>
        </is>
      </c>
      <c r="M79" t="inlineStr">
        <is>
          <t>Net Debt = SUMIF(Financial Liability) − SUMIF(Financial Asset).|Positive net debt means the firm carries net financial obligations.</t>
        </is>
      </c>
      <c r="O79" t="inlineStr">
        <is>
          <t>pending</t>
        </is>
      </c>
      <c r="P79" t="inlineStr">
        <is>
          <t>net_debt</t>
        </is>
      </c>
      <c r="Q79" t="n">
        <v>16</v>
      </c>
      <c r="R79" t="n">
        <v>2</v>
      </c>
      <c r="S79" t="inlineStr">
        <is>
          <t>2023-12-31</t>
        </is>
      </c>
    </row>
    <row r="80">
      <c r="A80" t="inlineStr">
        <is>
          <t>net_debt__20241231</t>
        </is>
      </c>
      <c r="B80" t="n">
        <v>79</v>
      </c>
      <c r="C80" t="inlineStr">
        <is>
          <t>Net Debt</t>
        </is>
      </c>
      <c r="D80" t="inlineStr">
        <is>
          <t>Financial liabilities minus financial assets.</t>
        </is>
      </c>
      <c r="E80" t="inlineStr">
        <is>
          <t>condensed.net_debt.2024-12-31</t>
        </is>
      </c>
      <c r="F80" t="inlineStr">
        <is>
          <t>accounting</t>
        </is>
      </c>
      <c r="G80" t="inlineStr">
        <is>
          <t>Condensed Financials</t>
        </is>
      </c>
      <c r="H80" t="inlineStr">
        <is>
          <t>E40</t>
        </is>
      </c>
      <c r="I80">
        <f>E39-E38</f>
        <v/>
      </c>
      <c r="J80" t="n">
        <v>-480</v>
      </c>
      <c r="K80" t="n">
        <v>0.01</v>
      </c>
      <c r="L80" t="inlineStr">
        <is>
          <t>financial_assets_agg__20241231,financial_liabilities_agg__20241231</t>
        </is>
      </c>
      <c r="M80" t="inlineStr">
        <is>
          <t>Net Debt = SUMIF(Financial Liability) − SUMIF(Financial Asset).|Positive net debt means the firm carries net financial obligations.</t>
        </is>
      </c>
      <c r="O80" t="inlineStr">
        <is>
          <t>pending</t>
        </is>
      </c>
      <c r="P80" t="inlineStr">
        <is>
          <t>net_debt</t>
        </is>
      </c>
      <c r="Q80" t="n">
        <v>16</v>
      </c>
      <c r="R80" t="n">
        <v>3</v>
      </c>
      <c r="S80" t="inlineStr">
        <is>
          <t>2024-12-31</t>
        </is>
      </c>
    </row>
    <row r="81">
      <c r="A81" t="inlineStr">
        <is>
          <t>net_debt__20251231</t>
        </is>
      </c>
      <c r="B81" t="n">
        <v>80</v>
      </c>
      <c r="C81" t="inlineStr">
        <is>
          <t>Net Debt</t>
        </is>
      </c>
      <c r="D81" t="inlineStr">
        <is>
          <t>Financial liabilities minus financial assets.</t>
        </is>
      </c>
      <c r="E81" t="inlineStr">
        <is>
          <t>condensed.net_debt.2025-12-31</t>
        </is>
      </c>
      <c r="F81" t="inlineStr">
        <is>
          <t>accounting</t>
        </is>
      </c>
      <c r="G81" t="inlineStr">
        <is>
          <t>Condensed Financials</t>
        </is>
      </c>
      <c r="H81" t="inlineStr">
        <is>
          <t>F40</t>
        </is>
      </c>
      <c r="I81">
        <f>F39-F38</f>
        <v/>
      </c>
      <c r="J81" t="n">
        <v>-750</v>
      </c>
      <c r="K81" t="n">
        <v>0.01</v>
      </c>
      <c r="L81" t="inlineStr">
        <is>
          <t>financial_assets_agg__20251231,financial_liabilities_agg__20251231</t>
        </is>
      </c>
      <c r="M81" t="inlineStr">
        <is>
          <t>Net Debt = SUMIF(Financial Liability) − SUMIF(Financial Asset).|Positive net debt means the firm carries net financial obligations.</t>
        </is>
      </c>
      <c r="O81" t="inlineStr">
        <is>
          <t>pending</t>
        </is>
      </c>
      <c r="P81" t="inlineStr">
        <is>
          <t>net_debt</t>
        </is>
      </c>
      <c r="Q81" t="n">
        <v>16</v>
      </c>
      <c r="R81" t="n">
        <v>4</v>
      </c>
      <c r="S81" t="inlineStr">
        <is>
          <t>2025-12-31</t>
        </is>
      </c>
    </row>
    <row r="82">
      <c r="A82" t="inlineStr">
        <is>
          <t>equity_reformulated_fy__20211231</t>
        </is>
      </c>
      <c r="B82" t="n">
        <v>81</v>
      </c>
      <c r="C82" t="inlineStr">
        <is>
          <t>Reformulated equity</t>
        </is>
      </c>
      <c r="D82" t="inlineStr">
        <is>
          <t>Use the operating/financing identity linking NOA, Net Debt, and Equity.</t>
        </is>
      </c>
      <c r="E82" t="inlineStr">
        <is>
          <t>condensed.equity.2021-12-31</t>
        </is>
      </c>
      <c r="F82" t="inlineStr">
        <is>
          <t>accounting</t>
        </is>
      </c>
      <c r="G82" t="inlineStr">
        <is>
          <t>Condensed Financials</t>
        </is>
      </c>
      <c r="H82" t="inlineStr">
        <is>
          <t>B41</t>
        </is>
      </c>
      <c r="I82">
        <f>B37-B40</f>
        <v/>
      </c>
      <c r="J82" t="n">
        <v>5100</v>
      </c>
      <c r="K82" t="n">
        <v>0.01</v>
      </c>
      <c r="L82" t="inlineStr">
        <is>
          <t>noa_agg__20211231,net_debt__20211231</t>
        </is>
      </c>
      <c r="M82" t="inlineStr">
        <is>
          <t>Reformulated Equity = NOA − Net Debt.|This identity must reconcile to reported equity within tolerance.</t>
        </is>
      </c>
      <c r="O82" t="inlineStr">
        <is>
          <t>pending</t>
        </is>
      </c>
      <c r="P82" t="inlineStr">
        <is>
          <t>equity_reformulated_fy</t>
        </is>
      </c>
      <c r="Q82" t="n">
        <v>17</v>
      </c>
      <c r="R82" t="n">
        <v>0</v>
      </c>
      <c r="S82" t="inlineStr">
        <is>
          <t>2021-12-31</t>
        </is>
      </c>
    </row>
    <row r="83">
      <c r="A83" t="inlineStr">
        <is>
          <t>equity_reformulated_fy__20221231</t>
        </is>
      </c>
      <c r="B83" t="n">
        <v>82</v>
      </c>
      <c r="C83" t="inlineStr">
        <is>
          <t>Reformulated equity</t>
        </is>
      </c>
      <c r="D83" t="inlineStr">
        <is>
          <t>Use the operating/financing identity linking NOA, Net Debt, and Equity.</t>
        </is>
      </c>
      <c r="E83" t="inlineStr">
        <is>
          <t>condensed.equity.2022-12-31</t>
        </is>
      </c>
      <c r="F83" t="inlineStr">
        <is>
          <t>accounting</t>
        </is>
      </c>
      <c r="G83" t="inlineStr">
        <is>
          <t>Condensed Financials</t>
        </is>
      </c>
      <c r="H83" t="inlineStr">
        <is>
          <t>C41</t>
        </is>
      </c>
      <c r="I83">
        <f>C37-C40</f>
        <v/>
      </c>
      <c r="J83" t="n">
        <v>5700</v>
      </c>
      <c r="K83" t="n">
        <v>0.01</v>
      </c>
      <c r="L83" t="inlineStr">
        <is>
          <t>noa_agg__20221231,net_debt__20221231</t>
        </is>
      </c>
      <c r="M83" t="inlineStr">
        <is>
          <t>Reformulated Equity = NOA − Net Debt.|This identity must reconcile to reported equity within tolerance.</t>
        </is>
      </c>
      <c r="O83" t="inlineStr">
        <is>
          <t>pending</t>
        </is>
      </c>
      <c r="P83" t="inlineStr">
        <is>
          <t>equity_reformulated_fy</t>
        </is>
      </c>
      <c r="Q83" t="n">
        <v>17</v>
      </c>
      <c r="R83" t="n">
        <v>1</v>
      </c>
      <c r="S83" t="inlineStr">
        <is>
          <t>2022-12-31</t>
        </is>
      </c>
    </row>
    <row r="84">
      <c r="A84" t="inlineStr">
        <is>
          <t>equity_reformulated_fy__20231231</t>
        </is>
      </c>
      <c r="B84" t="n">
        <v>83</v>
      </c>
      <c r="C84" t="inlineStr">
        <is>
          <t>Reformulated equity</t>
        </is>
      </c>
      <c r="D84" t="inlineStr">
        <is>
          <t>Use the operating/financing identity linking NOA, Net Debt, and Equity.</t>
        </is>
      </c>
      <c r="E84" t="inlineStr">
        <is>
          <t>condensed.equity.2023-12-31</t>
        </is>
      </c>
      <c r="F84" t="inlineStr">
        <is>
          <t>accounting</t>
        </is>
      </c>
      <c r="G84" t="inlineStr">
        <is>
          <t>Condensed Financials</t>
        </is>
      </c>
      <c r="H84" t="inlineStr">
        <is>
          <t>D41</t>
        </is>
      </c>
      <c r="I84">
        <f>D37-D40</f>
        <v/>
      </c>
      <c r="J84" t="n">
        <v>6500</v>
      </c>
      <c r="K84" t="n">
        <v>0.01</v>
      </c>
      <c r="L84" t="inlineStr">
        <is>
          <t>noa_agg__20231231,net_debt__20231231</t>
        </is>
      </c>
      <c r="M84" t="inlineStr">
        <is>
          <t>Reformulated Equity = NOA − Net Debt.|This identity must reconcile to reported equity within tolerance.</t>
        </is>
      </c>
      <c r="O84" t="inlineStr">
        <is>
          <t>pending</t>
        </is>
      </c>
      <c r="P84" t="inlineStr">
        <is>
          <t>equity_reformulated_fy</t>
        </is>
      </c>
      <c r="Q84" t="n">
        <v>17</v>
      </c>
      <c r="R84" t="n">
        <v>2</v>
      </c>
      <c r="S84" t="inlineStr">
        <is>
          <t>2023-12-31</t>
        </is>
      </c>
    </row>
    <row r="85">
      <c r="A85" t="inlineStr">
        <is>
          <t>equity_reformulated_fy__20241231</t>
        </is>
      </c>
      <c r="B85" t="n">
        <v>84</v>
      </c>
      <c r="C85" t="inlineStr">
        <is>
          <t>Reformulated equity</t>
        </is>
      </c>
      <c r="D85" t="inlineStr">
        <is>
          <t>Use the operating/financing identity linking NOA, Net Debt, and Equity.</t>
        </is>
      </c>
      <c r="E85" t="inlineStr">
        <is>
          <t>condensed.equity.2024-12-31</t>
        </is>
      </c>
      <c r="F85" t="inlineStr">
        <is>
          <t>accounting</t>
        </is>
      </c>
      <c r="G85" t="inlineStr">
        <is>
          <t>Condensed Financials</t>
        </is>
      </c>
      <c r="H85" t="inlineStr">
        <is>
          <t>E41</t>
        </is>
      </c>
      <c r="I85">
        <f>E37-E40</f>
        <v/>
      </c>
      <c r="J85" t="n">
        <v>7500</v>
      </c>
      <c r="K85" t="n">
        <v>0.01</v>
      </c>
      <c r="L85" t="inlineStr">
        <is>
          <t>noa_agg__20241231,net_debt__20241231</t>
        </is>
      </c>
      <c r="M85" t="inlineStr">
        <is>
          <t>Reformulated Equity = NOA − Net Debt.|This identity must reconcile to reported equity within tolerance.</t>
        </is>
      </c>
      <c r="O85" t="inlineStr">
        <is>
          <t>pending</t>
        </is>
      </c>
      <c r="P85" t="inlineStr">
        <is>
          <t>equity_reformulated_fy</t>
        </is>
      </c>
      <c r="Q85" t="n">
        <v>17</v>
      </c>
      <c r="R85" t="n">
        <v>3</v>
      </c>
      <c r="S85" t="inlineStr">
        <is>
          <t>2024-12-31</t>
        </is>
      </c>
    </row>
    <row r="86">
      <c r="A86" t="inlineStr">
        <is>
          <t>equity_reformulated_fy__20251231</t>
        </is>
      </c>
      <c r="B86" t="n">
        <v>85</v>
      </c>
      <c r="C86" t="inlineStr">
        <is>
          <t>Reformulated equity</t>
        </is>
      </c>
      <c r="D86" t="inlineStr">
        <is>
          <t>Use the operating/financing identity linking NOA, Net Debt, and Equity.</t>
        </is>
      </c>
      <c r="E86" t="inlineStr">
        <is>
          <t>condensed.equity.2025-12-31</t>
        </is>
      </c>
      <c r="F86" t="inlineStr">
        <is>
          <t>accounting</t>
        </is>
      </c>
      <c r="G86" t="inlineStr">
        <is>
          <t>Condensed Financials</t>
        </is>
      </c>
      <c r="H86" t="inlineStr">
        <is>
          <t>F41</t>
        </is>
      </c>
      <c r="I86">
        <f>F37-F40</f>
        <v/>
      </c>
      <c r="J86" t="n">
        <v>8700</v>
      </c>
      <c r="K86" t="n">
        <v>0.01</v>
      </c>
      <c r="L86" t="inlineStr">
        <is>
          <t>noa_agg__20251231,net_debt__20251231</t>
        </is>
      </c>
      <c r="M86" t="inlineStr">
        <is>
          <t>Reformulated Equity = NOA − Net Debt.|This identity must reconcile to reported equity within tolerance.</t>
        </is>
      </c>
      <c r="O86" t="inlineStr">
        <is>
          <t>pending</t>
        </is>
      </c>
      <c r="P86" t="inlineStr">
        <is>
          <t>equity_reformulated_fy</t>
        </is>
      </c>
      <c r="Q86" t="n">
        <v>17</v>
      </c>
      <c r="R86" t="n">
        <v>4</v>
      </c>
      <c r="S86" t="inlineStr">
        <is>
          <t>2025-12-31</t>
        </is>
      </c>
    </row>
    <row r="87">
      <c r="A87" t="inlineStr">
        <is>
          <t>sales_growth__20221231</t>
        </is>
      </c>
      <c r="B87" t="n">
        <v>86</v>
      </c>
      <c r="C87" t="inlineStr">
        <is>
          <t>Sales Growth</t>
        </is>
      </c>
      <c r="D87" t="inlineStr">
        <is>
          <t>Current Revenue relative to the immediately preceding fiscal year.</t>
        </is>
      </c>
      <c r="E87" t="inlineStr">
        <is>
          <t>dupont.sales_growth.2022-12-31</t>
        </is>
      </c>
      <c r="F87" t="inlineStr">
        <is>
          <t>dupont</t>
        </is>
      </c>
      <c r="G87" t="inlineStr">
        <is>
          <t>ALT DuPont</t>
        </is>
      </c>
      <c r="H87" t="inlineStr">
        <is>
          <t>C5</t>
        </is>
      </c>
      <c r="I87">
        <f>IF('Condensed Financials'!B19=0,0,'Condensed Financials'!C19/'Condensed Financials'!B19-1)</f>
        <v/>
      </c>
      <c r="J87" t="n">
        <v>0.08235294117647052</v>
      </c>
      <c r="K87" t="n">
        <v>0.01</v>
      </c>
      <c r="L87" t="inlineStr">
        <is>
          <t>revenue_link__20221231,revenue_link__20211231</t>
        </is>
      </c>
      <c r="M87" t="inlineStr">
        <is>
          <t>Sales Growth = Current Revenue / Prior Revenue − 1.</t>
        </is>
      </c>
      <c r="O87" t="inlineStr">
        <is>
          <t>pending</t>
        </is>
      </c>
      <c r="P87" t="inlineStr">
        <is>
          <t>sales_growth</t>
        </is>
      </c>
      <c r="Q87" t="n">
        <v>18</v>
      </c>
      <c r="R87" t="n">
        <v>1</v>
      </c>
      <c r="S87" t="inlineStr">
        <is>
          <t>2022-12-31</t>
        </is>
      </c>
    </row>
    <row r="88">
      <c r="A88" t="inlineStr">
        <is>
          <t>sales_growth__20231231</t>
        </is>
      </c>
      <c r="B88" t="n">
        <v>87</v>
      </c>
      <c r="C88" t="inlineStr">
        <is>
          <t>Sales Growth</t>
        </is>
      </c>
      <c r="D88" t="inlineStr">
        <is>
          <t>Current Revenue relative to the immediately preceding fiscal year.</t>
        </is>
      </c>
      <c r="E88" t="inlineStr">
        <is>
          <t>dupont.sales_growth.2023-12-31</t>
        </is>
      </c>
      <c r="F88" t="inlineStr">
        <is>
          <t>dupont</t>
        </is>
      </c>
      <c r="G88" t="inlineStr">
        <is>
          <t>ALT DuPont</t>
        </is>
      </c>
      <c r="H88" t="inlineStr">
        <is>
          <t>D5</t>
        </is>
      </c>
      <c r="I88">
        <f>IF('Condensed Financials'!C19=0,0,'Condensed Financials'!D19/'Condensed Financials'!C19-1)</f>
        <v/>
      </c>
      <c r="J88" t="n">
        <v>0.09782608695652173</v>
      </c>
      <c r="K88" t="n">
        <v>0.01</v>
      </c>
      <c r="L88" t="inlineStr">
        <is>
          <t>revenue_link__20231231,revenue_link__20221231</t>
        </is>
      </c>
      <c r="M88" t="inlineStr">
        <is>
          <t>Sales Growth = Current Revenue / Prior Revenue − 1.</t>
        </is>
      </c>
      <c r="O88" t="inlineStr">
        <is>
          <t>pending</t>
        </is>
      </c>
      <c r="P88" t="inlineStr">
        <is>
          <t>sales_growth</t>
        </is>
      </c>
      <c r="Q88" t="n">
        <v>18</v>
      </c>
      <c r="R88" t="n">
        <v>2</v>
      </c>
      <c r="S88" t="inlineStr">
        <is>
          <t>2023-12-31</t>
        </is>
      </c>
    </row>
    <row r="89">
      <c r="A89" t="inlineStr">
        <is>
          <t>sales_growth__20241231</t>
        </is>
      </c>
      <c r="B89" t="n">
        <v>88</v>
      </c>
      <c r="C89" t="inlineStr">
        <is>
          <t>Sales Growth</t>
        </is>
      </c>
      <c r="D89" t="inlineStr">
        <is>
          <t>Current Revenue relative to the immediately preceding fiscal year.</t>
        </is>
      </c>
      <c r="E89" t="inlineStr">
        <is>
          <t>dupont.sales_growth.2024-12-31</t>
        </is>
      </c>
      <c r="F89" t="inlineStr">
        <is>
          <t>dupont</t>
        </is>
      </c>
      <c r="G89" t="inlineStr">
        <is>
          <t>ALT DuPont</t>
        </is>
      </c>
      <c r="H89" t="inlineStr">
        <is>
          <t>E5</t>
        </is>
      </c>
      <c r="I89">
        <f>IF('Condensed Financials'!D19=0,0,'Condensed Financials'!E19/'Condensed Financials'!D19-1)</f>
        <v/>
      </c>
      <c r="J89" t="n">
        <v>0.108910891089109</v>
      </c>
      <c r="K89" t="n">
        <v>0.01</v>
      </c>
      <c r="L89" t="inlineStr">
        <is>
          <t>revenue_link__20241231,revenue_link__20231231</t>
        </is>
      </c>
      <c r="M89" t="inlineStr">
        <is>
          <t>Sales Growth = Current Revenue / Prior Revenue − 1.</t>
        </is>
      </c>
      <c r="O89" t="inlineStr">
        <is>
          <t>pending</t>
        </is>
      </c>
      <c r="P89" t="inlineStr">
        <is>
          <t>sales_growth</t>
        </is>
      </c>
      <c r="Q89" t="n">
        <v>18</v>
      </c>
      <c r="R89" t="n">
        <v>3</v>
      </c>
      <c r="S89" t="inlineStr">
        <is>
          <t>2024-12-31</t>
        </is>
      </c>
    </row>
    <row r="90">
      <c r="A90" t="inlineStr">
        <is>
          <t>sales_growth__20251231</t>
        </is>
      </c>
      <c r="B90" t="n">
        <v>89</v>
      </c>
      <c r="C90" t="inlineStr">
        <is>
          <t>Sales Growth</t>
        </is>
      </c>
      <c r="D90" t="inlineStr">
        <is>
          <t>Current Revenue relative to the immediately preceding fiscal year.</t>
        </is>
      </c>
      <c r="E90" t="inlineStr">
        <is>
          <t>dupont.sales_growth.2025-12-31</t>
        </is>
      </c>
      <c r="F90" t="inlineStr">
        <is>
          <t>dupont</t>
        </is>
      </c>
      <c r="G90" t="inlineStr">
        <is>
          <t>ALT DuPont</t>
        </is>
      </c>
      <c r="H90" t="inlineStr">
        <is>
          <t>F5</t>
        </is>
      </c>
      <c r="I90">
        <f>IF('Condensed Financials'!E19=0,0,'Condensed Financials'!F19/'Condensed Financials'!E19-1)</f>
        <v/>
      </c>
      <c r="J90" t="n">
        <v>0.1160714285714286</v>
      </c>
      <c r="K90" t="n">
        <v>0.01</v>
      </c>
      <c r="L90" t="inlineStr">
        <is>
          <t>revenue_link__20251231,revenue_link__20241231</t>
        </is>
      </c>
      <c r="M90" t="inlineStr">
        <is>
          <t>Sales Growth = Current Revenue / Prior Revenue − 1.</t>
        </is>
      </c>
      <c r="O90" t="inlineStr">
        <is>
          <t>pending</t>
        </is>
      </c>
      <c r="P90" t="inlineStr">
        <is>
          <t>sales_growth</t>
        </is>
      </c>
      <c r="Q90" t="n">
        <v>18</v>
      </c>
      <c r="R90" t="n">
        <v>4</v>
      </c>
      <c r="S90" t="inlineStr">
        <is>
          <t>2025-12-31</t>
        </is>
      </c>
    </row>
    <row r="91">
      <c r="A91" t="inlineStr">
        <is>
          <t>nopat_margin__20211231</t>
        </is>
      </c>
      <c r="B91" t="n">
        <v>90</v>
      </c>
      <c r="C91" t="inlineStr">
        <is>
          <t>NOPAT Margin</t>
        </is>
      </c>
      <c r="D91" t="inlineStr">
        <is>
          <t>NOPAT divided by Revenue for the same fiscal period.</t>
        </is>
      </c>
      <c r="E91" t="inlineStr">
        <is>
          <t>dupont.nopat_margin.2021-12-31</t>
        </is>
      </c>
      <c r="F91" t="inlineStr">
        <is>
          <t>dupont</t>
        </is>
      </c>
      <c r="G91" t="inlineStr">
        <is>
          <t>ALT DuPont</t>
        </is>
      </c>
      <c r="H91" t="inlineStr">
        <is>
          <t>B6</t>
        </is>
      </c>
      <c r="I91">
        <f>IF('Condensed Financials'!B19=0,0,'Condensed Financials'!B28/'Condensed Financials'!B19)</f>
        <v/>
      </c>
      <c r="J91" t="n">
        <v>0.3320300751879699</v>
      </c>
      <c r="K91" t="n">
        <v>0.01</v>
      </c>
      <c r="L91" t="inlineStr">
        <is>
          <t>nopat_fy__20211231,revenue_link__20211231</t>
        </is>
      </c>
      <c r="M91" t="inlineStr">
        <is>
          <t>NOPAT Margin = NOPAT / Revenue.</t>
        </is>
      </c>
      <c r="O91" t="inlineStr">
        <is>
          <t>pending</t>
        </is>
      </c>
      <c r="P91" t="inlineStr">
        <is>
          <t>nopat_margin</t>
        </is>
      </c>
      <c r="Q91" t="n">
        <v>19</v>
      </c>
      <c r="R91" t="n">
        <v>0</v>
      </c>
      <c r="S91" t="inlineStr">
        <is>
          <t>2021-12-31</t>
        </is>
      </c>
    </row>
    <row r="92">
      <c r="A92" t="inlineStr">
        <is>
          <t>nopat_margin__20221231</t>
        </is>
      </c>
      <c r="B92" t="n">
        <v>91</v>
      </c>
      <c r="C92" t="inlineStr">
        <is>
          <t>NOPAT Margin</t>
        </is>
      </c>
      <c r="D92" t="inlineStr">
        <is>
          <t>NOPAT divided by Revenue for the same fiscal period.</t>
        </is>
      </c>
      <c r="E92" t="inlineStr">
        <is>
          <t>dupont.nopat_margin.2022-12-31</t>
        </is>
      </c>
      <c r="F92" t="inlineStr">
        <is>
          <t>dupont</t>
        </is>
      </c>
      <c r="G92" t="inlineStr">
        <is>
          <t>ALT DuPont</t>
        </is>
      </c>
      <c r="H92" t="inlineStr">
        <is>
          <t>C6</t>
        </is>
      </c>
      <c r="I92">
        <f>IF('Condensed Financials'!C19=0,0,'Condensed Financials'!C28/'Condensed Financials'!C19)</f>
        <v/>
      </c>
      <c r="J92" t="n">
        <v>0.332</v>
      </c>
      <c r="K92" t="n">
        <v>0.01</v>
      </c>
      <c r="L92" t="inlineStr">
        <is>
          <t>nopat_fy__20221231,revenue_link__20221231</t>
        </is>
      </c>
      <c r="M92" t="inlineStr">
        <is>
          <t>NOPAT Margin = NOPAT / Revenue.</t>
        </is>
      </c>
      <c r="O92" t="inlineStr">
        <is>
          <t>pending</t>
        </is>
      </c>
      <c r="P92" t="inlineStr">
        <is>
          <t>nopat_margin</t>
        </is>
      </c>
      <c r="Q92" t="n">
        <v>19</v>
      </c>
      <c r="R92" t="n">
        <v>1</v>
      </c>
      <c r="S92" t="inlineStr">
        <is>
          <t>2022-12-31</t>
        </is>
      </c>
    </row>
    <row r="93">
      <c r="A93" t="inlineStr">
        <is>
          <t>nopat_margin__20231231</t>
        </is>
      </c>
      <c r="B93" t="n">
        <v>92</v>
      </c>
      <c r="C93" t="inlineStr">
        <is>
          <t>NOPAT Margin</t>
        </is>
      </c>
      <c r="D93" t="inlineStr">
        <is>
          <t>NOPAT divided by Revenue for the same fiscal period.</t>
        </is>
      </c>
      <c r="E93" t="inlineStr">
        <is>
          <t>dupont.nopat_margin.2023-12-31</t>
        </is>
      </c>
      <c r="F93" t="inlineStr">
        <is>
          <t>dupont</t>
        </is>
      </c>
      <c r="G93" t="inlineStr">
        <is>
          <t>ALT DuPont</t>
        </is>
      </c>
      <c r="H93" t="inlineStr">
        <is>
          <t>D6</t>
        </is>
      </c>
      <c r="I93">
        <f>IF('Condensed Financials'!D19=0,0,'Condensed Financials'!D28/'Condensed Financials'!D19)</f>
        <v/>
      </c>
      <c r="J93" t="n">
        <v>0.3320353982300885</v>
      </c>
      <c r="K93" t="n">
        <v>0.01</v>
      </c>
      <c r="L93" t="inlineStr">
        <is>
          <t>nopat_fy__20231231,revenue_link__20231231</t>
        </is>
      </c>
      <c r="M93" t="inlineStr">
        <is>
          <t>NOPAT Margin = NOPAT / Revenue.</t>
        </is>
      </c>
      <c r="O93" t="inlineStr">
        <is>
          <t>pending</t>
        </is>
      </c>
      <c r="P93" t="inlineStr">
        <is>
          <t>nopat_margin</t>
        </is>
      </c>
      <c r="Q93" t="n">
        <v>19</v>
      </c>
      <c r="R93" t="n">
        <v>2</v>
      </c>
      <c r="S93" t="inlineStr">
        <is>
          <t>2023-12-31</t>
        </is>
      </c>
    </row>
    <row r="94">
      <c r="A94" t="inlineStr">
        <is>
          <t>nopat_margin__20241231</t>
        </is>
      </c>
      <c r="B94" t="n">
        <v>93</v>
      </c>
      <c r="C94" t="inlineStr">
        <is>
          <t>NOPAT Margin</t>
        </is>
      </c>
      <c r="D94" t="inlineStr">
        <is>
          <t>NOPAT divided by Revenue for the same fiscal period.</t>
        </is>
      </c>
      <c r="E94" t="inlineStr">
        <is>
          <t>dupont.nopat_margin.2024-12-31</t>
        </is>
      </c>
      <c r="F94" t="inlineStr">
        <is>
          <t>dupont</t>
        </is>
      </c>
      <c r="G94" t="inlineStr">
        <is>
          <t>ALT DuPont</t>
        </is>
      </c>
      <c r="H94" t="inlineStr">
        <is>
          <t>E6</t>
        </is>
      </c>
      <c r="I94">
        <f>IF('Condensed Financials'!E19=0,0,'Condensed Financials'!E28/'Condensed Financials'!E19)</f>
        <v/>
      </c>
      <c r="J94" t="n">
        <v>0.3320273348519363</v>
      </c>
      <c r="K94" t="n">
        <v>0.01</v>
      </c>
      <c r="L94" t="inlineStr">
        <is>
          <t>nopat_fy__20241231,revenue_link__20241231</t>
        </is>
      </c>
      <c r="M94" t="inlineStr">
        <is>
          <t>NOPAT Margin = NOPAT / Revenue.</t>
        </is>
      </c>
      <c r="O94" t="inlineStr">
        <is>
          <t>pending</t>
        </is>
      </c>
      <c r="P94" t="inlineStr">
        <is>
          <t>nopat_margin</t>
        </is>
      </c>
      <c r="Q94" t="n">
        <v>19</v>
      </c>
      <c r="R94" t="n">
        <v>3</v>
      </c>
      <c r="S94" t="inlineStr">
        <is>
          <t>2024-12-31</t>
        </is>
      </c>
    </row>
    <row r="95">
      <c r="A95" t="inlineStr">
        <is>
          <t>nopat_margin__20251231</t>
        </is>
      </c>
      <c r="B95" t="n">
        <v>94</v>
      </c>
      <c r="C95" t="inlineStr">
        <is>
          <t>NOPAT Margin</t>
        </is>
      </c>
      <c r="D95" t="inlineStr">
        <is>
          <t>NOPAT divided by Revenue for the same fiscal period.</t>
        </is>
      </c>
      <c r="E95" t="inlineStr">
        <is>
          <t>dupont.nopat_margin.2025-12-31</t>
        </is>
      </c>
      <c r="F95" t="inlineStr">
        <is>
          <t>dupont</t>
        </is>
      </c>
      <c r="G95" t="inlineStr">
        <is>
          <t>ALT DuPont</t>
        </is>
      </c>
      <c r="H95" t="inlineStr">
        <is>
          <t>F6</t>
        </is>
      </c>
      <c r="I95">
        <f>IF('Condensed Financials'!F19=0,0,'Condensed Financials'!F28/'Condensed Financials'!F19)</f>
        <v/>
      </c>
      <c r="J95" t="n">
        <v>0.3320693170234455</v>
      </c>
      <c r="K95" t="n">
        <v>0.01</v>
      </c>
      <c r="L95" t="inlineStr">
        <is>
          <t>nopat_fy__20251231,revenue_link__20251231</t>
        </is>
      </c>
      <c r="M95" t="inlineStr">
        <is>
          <t>NOPAT Margin = NOPAT / Revenue.</t>
        </is>
      </c>
      <c r="O95" t="inlineStr">
        <is>
          <t>pending</t>
        </is>
      </c>
      <c r="P95" t="inlineStr">
        <is>
          <t>nopat_margin</t>
        </is>
      </c>
      <c r="Q95" t="n">
        <v>19</v>
      </c>
      <c r="R95" t="n">
        <v>4</v>
      </c>
      <c r="S95" t="inlineStr">
        <is>
          <t>2025-12-31</t>
        </is>
      </c>
    </row>
    <row r="96">
      <c r="A96" t="inlineStr">
        <is>
          <t>rnoa__20221231</t>
        </is>
      </c>
      <c r="B96" t="n">
        <v>95</v>
      </c>
      <c r="C96" t="inlineStr">
        <is>
          <t>Return on Net Operating Assets (RNOA)</t>
        </is>
      </c>
      <c r="D96" t="inlineStr">
        <is>
          <t>NOPAT divided by average NOA.</t>
        </is>
      </c>
      <c r="E96" t="inlineStr">
        <is>
          <t>dupont.rnoa.2022-12-31</t>
        </is>
      </c>
      <c r="F96" t="inlineStr">
        <is>
          <t>dupont</t>
        </is>
      </c>
      <c r="G96" t="inlineStr">
        <is>
          <t>ALT DuPont</t>
        </is>
      </c>
      <c r="H96" t="inlineStr">
        <is>
          <t>C7</t>
        </is>
      </c>
      <c r="I96">
        <f>IF((('Condensed Financials'!C37+'Condensed Financials'!B37)/2)=0,0,'Condensed Financials'!C28/(('Condensed Financials'!C37+'Condensed Financials'!B37)/2))</f>
        <v/>
      </c>
      <c r="J96" t="n">
        <v>0.5478744394618834</v>
      </c>
      <c r="K96" t="n">
        <v>0.01</v>
      </c>
      <c r="L96" t="inlineStr">
        <is>
          <t>nopat_fy__20221231,noa_agg__20221231,noa_agg__20211231</t>
        </is>
      </c>
      <c r="M96" t="inlineStr">
        <is>
          <t>RNOA = NOPAT / Average NOA.|Average NOA = (Beginning NOA + Ending NOA) / 2.</t>
        </is>
      </c>
      <c r="O96" t="inlineStr">
        <is>
          <t>pending</t>
        </is>
      </c>
      <c r="P96" t="inlineStr">
        <is>
          <t>rnoa</t>
        </is>
      </c>
      <c r="Q96" t="n">
        <v>20</v>
      </c>
      <c r="R96" t="n">
        <v>1</v>
      </c>
      <c r="S96" t="inlineStr">
        <is>
          <t>2022-12-31</t>
        </is>
      </c>
    </row>
    <row r="97">
      <c r="A97" t="inlineStr">
        <is>
          <t>rnoa__20231231</t>
        </is>
      </c>
      <c r="B97" t="n">
        <v>96</v>
      </c>
      <c r="C97" t="inlineStr">
        <is>
          <t>Return on Net Operating Assets (RNOA)</t>
        </is>
      </c>
      <c r="D97" t="inlineStr">
        <is>
          <t>NOPAT divided by average NOA.</t>
        </is>
      </c>
      <c r="E97" t="inlineStr">
        <is>
          <t>dupont.rnoa.2023-12-31</t>
        </is>
      </c>
      <c r="F97" t="inlineStr">
        <is>
          <t>dupont</t>
        </is>
      </c>
      <c r="G97" t="inlineStr">
        <is>
          <t>ALT DuPont</t>
        </is>
      </c>
      <c r="H97" t="inlineStr">
        <is>
          <t>D7</t>
        </is>
      </c>
      <c r="I97">
        <f>IF((('Condensed Financials'!D37+'Condensed Financials'!C37)/2)=0,0,'Condensed Financials'!D28/(('Condensed Financials'!D37+'Condensed Financials'!C37)/2))</f>
        <v/>
      </c>
      <c r="J97" t="n">
        <v>0.5566070576139243</v>
      </c>
      <c r="K97" t="n">
        <v>0.01</v>
      </c>
      <c r="L97" t="inlineStr">
        <is>
          <t>nopat_fy__20231231,noa_agg__20231231,noa_agg__20221231</t>
        </is>
      </c>
      <c r="M97" t="inlineStr">
        <is>
          <t>RNOA = NOPAT / Average NOA.|Average NOA = (Beginning NOA + Ending NOA) / 2.</t>
        </is>
      </c>
      <c r="O97" t="inlineStr">
        <is>
          <t>pending</t>
        </is>
      </c>
      <c r="P97" t="inlineStr">
        <is>
          <t>rnoa</t>
        </is>
      </c>
      <c r="Q97" t="n">
        <v>20</v>
      </c>
      <c r="R97" t="n">
        <v>2</v>
      </c>
      <c r="S97" t="inlineStr">
        <is>
          <t>2023-12-31</t>
        </is>
      </c>
    </row>
    <row r="98">
      <c r="A98" t="inlineStr">
        <is>
          <t>rnoa__20241231</t>
        </is>
      </c>
      <c r="B98" t="n">
        <v>97</v>
      </c>
      <c r="C98" t="inlineStr">
        <is>
          <t>Return on Net Operating Assets (RNOA)</t>
        </is>
      </c>
      <c r="D98" t="inlineStr">
        <is>
          <t>NOPAT divided by average NOA.</t>
        </is>
      </c>
      <c r="E98" t="inlineStr">
        <is>
          <t>dupont.rnoa.2024-12-31</t>
        </is>
      </c>
      <c r="F98" t="inlineStr">
        <is>
          <t>dupont</t>
        </is>
      </c>
      <c r="G98" t="inlineStr">
        <is>
          <t>ALT DuPont</t>
        </is>
      </c>
      <c r="H98" t="inlineStr">
        <is>
          <t>E7</t>
        </is>
      </c>
      <c r="I98">
        <f>IF((('Condensed Financials'!E37+'Condensed Financials'!D37)/2)=0,0,'Condensed Financials'!E28/(('Condensed Financials'!E37+'Condensed Financials'!D37)/2))</f>
        <v/>
      </c>
      <c r="J98" t="n">
        <v>0.5583642868380909</v>
      </c>
      <c r="K98" t="n">
        <v>0.01</v>
      </c>
      <c r="L98" t="inlineStr">
        <is>
          <t>nopat_fy__20241231,noa_agg__20241231,noa_agg__20231231</t>
        </is>
      </c>
      <c r="M98" t="inlineStr">
        <is>
          <t>RNOA = NOPAT / Average NOA.|Average NOA = (Beginning NOA + Ending NOA) / 2.</t>
        </is>
      </c>
      <c r="O98" t="inlineStr">
        <is>
          <t>pending</t>
        </is>
      </c>
      <c r="P98" t="inlineStr">
        <is>
          <t>rnoa</t>
        </is>
      </c>
      <c r="Q98" t="n">
        <v>20</v>
      </c>
      <c r="R98" t="n">
        <v>3</v>
      </c>
      <c r="S98" t="inlineStr">
        <is>
          <t>2024-12-31</t>
        </is>
      </c>
    </row>
    <row r="99">
      <c r="A99" t="inlineStr">
        <is>
          <t>rnoa__20251231</t>
        </is>
      </c>
      <c r="B99" t="n">
        <v>98</v>
      </c>
      <c r="C99" t="inlineStr">
        <is>
          <t>Return on Net Operating Assets (RNOA)</t>
        </is>
      </c>
      <c r="D99" t="inlineStr">
        <is>
          <t>NOPAT divided by average NOA.</t>
        </is>
      </c>
      <c r="E99" t="inlineStr">
        <is>
          <t>dupont.rnoa.2025-12-31</t>
        </is>
      </c>
      <c r="F99" t="inlineStr">
        <is>
          <t>dupont</t>
        </is>
      </c>
      <c r="G99" t="inlineStr">
        <is>
          <t>ALT DuPont</t>
        </is>
      </c>
      <c r="H99" t="inlineStr">
        <is>
          <t>F7</t>
        </is>
      </c>
      <c r="I99">
        <f>IF((('Condensed Financials'!F37+'Condensed Financials'!E37)/2)=0,0,'Condensed Financials'!F28/(('Condensed Financials'!F37+'Condensed Financials'!E37)/2))</f>
        <v/>
      </c>
      <c r="J99" t="n">
        <v>0.5545579776610646</v>
      </c>
      <c r="K99" t="n">
        <v>0.01</v>
      </c>
      <c r="L99" t="inlineStr">
        <is>
          <t>nopat_fy__20251231,noa_agg__20251231,noa_agg__20241231</t>
        </is>
      </c>
      <c r="M99" t="inlineStr">
        <is>
          <t>RNOA = NOPAT / Average NOA.|Average NOA = (Beginning NOA + Ending NOA) / 2.</t>
        </is>
      </c>
      <c r="O99" t="inlineStr">
        <is>
          <t>pending</t>
        </is>
      </c>
      <c r="P99" t="inlineStr">
        <is>
          <t>rnoa</t>
        </is>
      </c>
      <c r="Q99" t="n">
        <v>20</v>
      </c>
      <c r="R99" t="n">
        <v>4</v>
      </c>
      <c r="S99" t="inlineStr">
        <is>
          <t>2025-12-31</t>
        </is>
      </c>
    </row>
    <row r="100">
      <c r="A100" t="inlineStr">
        <is>
          <t>after_tax_cod__20221231</t>
        </is>
      </c>
      <c r="B100" t="n">
        <v>99</v>
      </c>
      <c r="C100" t="inlineStr">
        <is>
          <t>After-tax cost of debt</t>
        </is>
      </c>
      <c r="D100" t="inlineStr">
        <is>
          <t>Relate net interest after tax to average net debt.</t>
        </is>
      </c>
      <c r="E100" t="inlineStr">
        <is>
          <t>dupont.after_tax_cod.2022-12-31</t>
        </is>
      </c>
      <c r="F100" t="inlineStr">
        <is>
          <t>dupont</t>
        </is>
      </c>
      <c r="G100" t="inlineStr">
        <is>
          <t>ALT DuPont</t>
        </is>
      </c>
      <c r="H100" t="inlineStr">
        <is>
          <t>C8</t>
        </is>
      </c>
      <c r="I100">
        <f>IF((('Condensed Financials'!C40+'Condensed Financials'!B40)/2)=0,0,'Condensed Financials'!C27/(('Condensed Financials'!C40+'Condensed Financials'!B40)/2))</f>
        <v/>
      </c>
      <c r="J100" t="n">
        <v>0.3794285714285714</v>
      </c>
      <c r="K100" t="n">
        <v>0.01</v>
      </c>
      <c r="L100" t="inlineStr">
        <is>
          <t>net_interest_after_tax_fy__20221231,net_debt__20221231,net_debt__20211231</t>
        </is>
      </c>
      <c r="M100" t="inlineStr">
        <is>
          <t>After-tax CoD = Net Interest After Tax / Average Net Debt.|Do not apply the tax rate a second time.</t>
        </is>
      </c>
      <c r="O100" t="inlineStr">
        <is>
          <t>pending</t>
        </is>
      </c>
      <c r="P100" t="inlineStr">
        <is>
          <t>after_tax_cod</t>
        </is>
      </c>
      <c r="Q100" t="n">
        <v>21</v>
      </c>
      <c r="R100" t="n">
        <v>1</v>
      </c>
      <c r="S100" t="inlineStr">
        <is>
          <t>2022-12-31</t>
        </is>
      </c>
    </row>
    <row r="101">
      <c r="A101" t="inlineStr">
        <is>
          <t>after_tax_cod__20231231</t>
        </is>
      </c>
      <c r="B101" t="n">
        <v>100</v>
      </c>
      <c r="C101" t="inlineStr">
        <is>
          <t>After-tax cost of debt</t>
        </is>
      </c>
      <c r="D101" t="inlineStr">
        <is>
          <t>Relate net interest after tax to average net debt.</t>
        </is>
      </c>
      <c r="E101" t="inlineStr">
        <is>
          <t>dupont.after_tax_cod.2023-12-31</t>
        </is>
      </c>
      <c r="F101" t="inlineStr">
        <is>
          <t>dupont</t>
        </is>
      </c>
      <c r="G101" t="inlineStr">
        <is>
          <t>ALT DuPont</t>
        </is>
      </c>
      <c r="H101" t="inlineStr">
        <is>
          <t>D8</t>
        </is>
      </c>
      <c r="I101">
        <f>IF((('Condensed Financials'!D40+'Condensed Financials'!C40)/2)=0,0,'Condensed Financials'!D27/(('Condensed Financials'!D40+'Condensed Financials'!C40)/2))</f>
        <v/>
      </c>
      <c r="J101" t="n">
        <v>-0.9407669616519174</v>
      </c>
      <c r="K101" t="n">
        <v>0.01</v>
      </c>
      <c r="L101" t="inlineStr">
        <is>
          <t>net_interest_after_tax_fy__20231231,net_debt__20231231,net_debt__20221231</t>
        </is>
      </c>
      <c r="M101" t="inlineStr">
        <is>
          <t>After-tax CoD = Net Interest After Tax / Average Net Debt.|Do not apply the tax rate a second time.</t>
        </is>
      </c>
      <c r="O101" t="inlineStr">
        <is>
          <t>pending</t>
        </is>
      </c>
      <c r="P101" t="inlineStr">
        <is>
          <t>after_tax_cod</t>
        </is>
      </c>
      <c r="Q101" t="n">
        <v>21</v>
      </c>
      <c r="R101" t="n">
        <v>2</v>
      </c>
      <c r="S101" t="inlineStr">
        <is>
          <t>2023-12-31</t>
        </is>
      </c>
    </row>
    <row r="102">
      <c r="A102" t="inlineStr">
        <is>
          <t>after_tax_cod__20241231</t>
        </is>
      </c>
      <c r="B102" t="n">
        <v>101</v>
      </c>
      <c r="C102" t="inlineStr">
        <is>
          <t>After-tax cost of debt</t>
        </is>
      </c>
      <c r="D102" t="inlineStr">
        <is>
          <t>Relate net interest after tax to average net debt.</t>
        </is>
      </c>
      <c r="E102" t="inlineStr">
        <is>
          <t>dupont.after_tax_cod.2024-12-31</t>
        </is>
      </c>
      <c r="F102" t="inlineStr">
        <is>
          <t>dupont</t>
        </is>
      </c>
      <c r="G102" t="inlineStr">
        <is>
          <t>ALT DuPont</t>
        </is>
      </c>
      <c r="H102" t="inlineStr">
        <is>
          <t>E8</t>
        </is>
      </c>
      <c r="I102">
        <f>IF((('Condensed Financials'!E40+'Condensed Financials'!D40)/2)=0,0,'Condensed Financials'!E27/(('Condensed Financials'!E40+'Condensed Financials'!D40)/2))</f>
        <v/>
      </c>
      <c r="J102" t="n">
        <v>-0.2197239715931931</v>
      </c>
      <c r="K102" t="n">
        <v>0.01</v>
      </c>
      <c r="L102" t="inlineStr">
        <is>
          <t>net_interest_after_tax_fy__20241231,net_debt__20241231,net_debt__20231231</t>
        </is>
      </c>
      <c r="M102" t="inlineStr">
        <is>
          <t>After-tax CoD = Net Interest After Tax / Average Net Debt.|Do not apply the tax rate a second time.</t>
        </is>
      </c>
      <c r="O102" t="inlineStr">
        <is>
          <t>pending</t>
        </is>
      </c>
      <c r="P102" t="inlineStr">
        <is>
          <t>after_tax_cod</t>
        </is>
      </c>
      <c r="Q102" t="n">
        <v>21</v>
      </c>
      <c r="R102" t="n">
        <v>3</v>
      </c>
      <c r="S102" t="inlineStr">
        <is>
          <t>2024-12-31</t>
        </is>
      </c>
    </row>
    <row r="103">
      <c r="A103" t="inlineStr">
        <is>
          <t>after_tax_cod__20251231</t>
        </is>
      </c>
      <c r="B103" t="n">
        <v>102</v>
      </c>
      <c r="C103" t="inlineStr">
        <is>
          <t>After-tax cost of debt</t>
        </is>
      </c>
      <c r="D103" t="inlineStr">
        <is>
          <t>Relate net interest after tax to average net debt.</t>
        </is>
      </c>
      <c r="E103" t="inlineStr">
        <is>
          <t>dupont.after_tax_cod.2025-12-31</t>
        </is>
      </c>
      <c r="F103" t="inlineStr">
        <is>
          <t>dupont</t>
        </is>
      </c>
      <c r="G103" t="inlineStr">
        <is>
          <t>ALT DuPont</t>
        </is>
      </c>
      <c r="H103" t="inlineStr">
        <is>
          <t>F8</t>
        </is>
      </c>
      <c r="I103">
        <f>IF((('Condensed Financials'!F40+'Condensed Financials'!E40)/2)=0,0,'Condensed Financials'!F27/(('Condensed Financials'!F40+'Condensed Financials'!E40)/2))</f>
        <v/>
      </c>
      <c r="J103" t="n">
        <v>-0.1282381508830379</v>
      </c>
      <c r="K103" t="n">
        <v>0.01</v>
      </c>
      <c r="L103" t="inlineStr">
        <is>
          <t>net_interest_after_tax_fy__20251231,net_debt__20251231,net_debt__20241231</t>
        </is>
      </c>
      <c r="M103" t="inlineStr">
        <is>
          <t>After-tax CoD = Net Interest After Tax / Average Net Debt.|Do not apply the tax rate a second time.</t>
        </is>
      </c>
      <c r="O103" t="inlineStr">
        <is>
          <t>pending</t>
        </is>
      </c>
      <c r="P103" t="inlineStr">
        <is>
          <t>after_tax_cod</t>
        </is>
      </c>
      <c r="Q103" t="n">
        <v>21</v>
      </c>
      <c r="R103" t="n">
        <v>4</v>
      </c>
      <c r="S103" t="inlineStr">
        <is>
          <t>2025-12-31</t>
        </is>
      </c>
    </row>
    <row r="104">
      <c r="A104" t="inlineStr">
        <is>
          <t>spread__20221231</t>
        </is>
      </c>
      <c r="B104" t="n">
        <v>103</v>
      </c>
      <c r="C104" t="inlineStr">
        <is>
          <t>Operating Spread (RNOA − After-tax CoD)</t>
        </is>
      </c>
      <c r="D104" t="inlineStr">
        <is>
          <t>Operating return minus after-tax cost of debt.</t>
        </is>
      </c>
      <c r="E104" t="inlineStr">
        <is>
          <t>dupont.spread.2022-12-31</t>
        </is>
      </c>
      <c r="F104" t="inlineStr">
        <is>
          <t>dupont</t>
        </is>
      </c>
      <c r="G104" t="inlineStr">
        <is>
          <t>ALT DuPont</t>
        </is>
      </c>
      <c r="H104" t="inlineStr">
        <is>
          <t>C9</t>
        </is>
      </c>
      <c r="I104">
        <f>C7-C8</f>
        <v/>
      </c>
      <c r="J104" t="n">
        <v>0.168445868033312</v>
      </c>
      <c r="K104" t="n">
        <v>0.01</v>
      </c>
      <c r="L104" t="inlineStr">
        <is>
          <t>rnoa__20221231,after_tax_cod__20221231</t>
        </is>
      </c>
      <c r="M104" t="inlineStr">
        <is>
          <t>After-tax CoD = Net Interest After Tax / Average Net Debt.|Spread = RNOA − After-tax CoD.</t>
        </is>
      </c>
      <c r="O104" t="inlineStr">
        <is>
          <t>pending</t>
        </is>
      </c>
      <c r="P104" t="inlineStr">
        <is>
          <t>spread</t>
        </is>
      </c>
      <c r="Q104" t="n">
        <v>22</v>
      </c>
      <c r="R104" t="n">
        <v>1</v>
      </c>
      <c r="S104" t="inlineStr">
        <is>
          <t>2022-12-31</t>
        </is>
      </c>
    </row>
    <row r="105">
      <c r="A105" t="inlineStr">
        <is>
          <t>spread__20231231</t>
        </is>
      </c>
      <c r="B105" t="n">
        <v>104</v>
      </c>
      <c r="C105" t="inlineStr">
        <is>
          <t>Operating Spread (RNOA − After-tax CoD)</t>
        </is>
      </c>
      <c r="D105" t="inlineStr">
        <is>
          <t>Operating return minus after-tax cost of debt.</t>
        </is>
      </c>
      <c r="E105" t="inlineStr">
        <is>
          <t>dupont.spread.2023-12-31</t>
        </is>
      </c>
      <c r="F105" t="inlineStr">
        <is>
          <t>dupont</t>
        </is>
      </c>
      <c r="G105" t="inlineStr">
        <is>
          <t>ALT DuPont</t>
        </is>
      </c>
      <c r="H105" t="inlineStr">
        <is>
          <t>D9</t>
        </is>
      </c>
      <c r="I105">
        <f>D7-D8</f>
        <v/>
      </c>
      <c r="J105" t="n">
        <v>1.497374019265842</v>
      </c>
      <c r="K105" t="n">
        <v>0.01</v>
      </c>
      <c r="L105" t="inlineStr">
        <is>
          <t>rnoa__20231231,after_tax_cod__20231231</t>
        </is>
      </c>
      <c r="M105" t="inlineStr">
        <is>
          <t>After-tax CoD = Net Interest After Tax / Average Net Debt.|Spread = RNOA − After-tax CoD.</t>
        </is>
      </c>
      <c r="O105" t="inlineStr">
        <is>
          <t>pending</t>
        </is>
      </c>
      <c r="P105" t="inlineStr">
        <is>
          <t>spread</t>
        </is>
      </c>
      <c r="Q105" t="n">
        <v>22</v>
      </c>
      <c r="R105" t="n">
        <v>2</v>
      </c>
      <c r="S105" t="inlineStr">
        <is>
          <t>2023-12-31</t>
        </is>
      </c>
    </row>
    <row r="106">
      <c r="A106" t="inlineStr">
        <is>
          <t>spread__20241231</t>
        </is>
      </c>
      <c r="B106" t="n">
        <v>105</v>
      </c>
      <c r="C106" t="inlineStr">
        <is>
          <t>Operating Spread (RNOA − After-tax CoD)</t>
        </is>
      </c>
      <c r="D106" t="inlineStr">
        <is>
          <t>Operating return minus after-tax cost of debt.</t>
        </is>
      </c>
      <c r="E106" t="inlineStr">
        <is>
          <t>dupont.spread.2024-12-31</t>
        </is>
      </c>
      <c r="F106" t="inlineStr">
        <is>
          <t>dupont</t>
        </is>
      </c>
      <c r="G106" t="inlineStr">
        <is>
          <t>ALT DuPont</t>
        </is>
      </c>
      <c r="H106" t="inlineStr">
        <is>
          <t>E9</t>
        </is>
      </c>
      <c r="I106">
        <f>E7-E8</f>
        <v/>
      </c>
      <c r="J106" t="n">
        <v>0.778088258431284</v>
      </c>
      <c r="K106" t="n">
        <v>0.01</v>
      </c>
      <c r="L106" t="inlineStr">
        <is>
          <t>rnoa__20241231,after_tax_cod__20241231</t>
        </is>
      </c>
      <c r="M106" t="inlineStr">
        <is>
          <t>After-tax CoD = Net Interest After Tax / Average Net Debt.|Spread = RNOA − After-tax CoD.</t>
        </is>
      </c>
      <c r="O106" t="inlineStr">
        <is>
          <t>pending</t>
        </is>
      </c>
      <c r="P106" t="inlineStr">
        <is>
          <t>spread</t>
        </is>
      </c>
      <c r="Q106" t="n">
        <v>22</v>
      </c>
      <c r="R106" t="n">
        <v>3</v>
      </c>
      <c r="S106" t="inlineStr">
        <is>
          <t>2024-12-31</t>
        </is>
      </c>
    </row>
    <row r="107">
      <c r="A107" t="inlineStr">
        <is>
          <t>spread__20251231</t>
        </is>
      </c>
      <c r="B107" t="n">
        <v>106</v>
      </c>
      <c r="C107" t="inlineStr">
        <is>
          <t>Operating Spread (RNOA − After-tax CoD)</t>
        </is>
      </c>
      <c r="D107" t="inlineStr">
        <is>
          <t>Operating return minus after-tax cost of debt.</t>
        </is>
      </c>
      <c r="E107" t="inlineStr">
        <is>
          <t>dupont.spread.2025-12-31</t>
        </is>
      </c>
      <c r="F107" t="inlineStr">
        <is>
          <t>dupont</t>
        </is>
      </c>
      <c r="G107" t="inlineStr">
        <is>
          <t>ALT DuPont</t>
        </is>
      </c>
      <c r="H107" t="inlineStr">
        <is>
          <t>F9</t>
        </is>
      </c>
      <c r="I107">
        <f>F7-F8</f>
        <v/>
      </c>
      <c r="J107" t="n">
        <v>0.6827961285441025</v>
      </c>
      <c r="K107" t="n">
        <v>0.01</v>
      </c>
      <c r="L107" t="inlineStr">
        <is>
          <t>rnoa__20251231,after_tax_cod__20251231</t>
        </is>
      </c>
      <c r="M107" t="inlineStr">
        <is>
          <t>After-tax CoD = Net Interest After Tax / Average Net Debt.|Spread = RNOA − After-tax CoD.</t>
        </is>
      </c>
      <c r="O107" t="inlineStr">
        <is>
          <t>pending</t>
        </is>
      </c>
      <c r="P107" t="inlineStr">
        <is>
          <t>spread</t>
        </is>
      </c>
      <c r="Q107" t="n">
        <v>22</v>
      </c>
      <c r="R107" t="n">
        <v>4</v>
      </c>
      <c r="S107" t="inlineStr">
        <is>
          <t>2025-12-31</t>
        </is>
      </c>
    </row>
    <row r="108">
      <c r="A108" t="inlineStr">
        <is>
          <t>flev__20221231</t>
        </is>
      </c>
      <c r="B108" t="n">
        <v>107</v>
      </c>
      <c r="C108" t="inlineStr">
        <is>
          <t>Financial leverage (FLEV)</t>
        </is>
      </c>
      <c r="D108" t="inlineStr">
        <is>
          <t>Relate average net debt to average reformulated equity.</t>
        </is>
      </c>
      <c r="E108" t="inlineStr">
        <is>
          <t>dupont.flev.2022-12-31</t>
        </is>
      </c>
      <c r="F108" t="inlineStr">
        <is>
          <t>dupont</t>
        </is>
      </c>
      <c r="G108" t="inlineStr">
        <is>
          <t>ALT DuPont</t>
        </is>
      </c>
      <c r="H108" t="inlineStr">
        <is>
          <t>C10</t>
        </is>
      </c>
      <c r="I108">
        <f>IF((('Condensed Financials'!C41+'Condensed Financials'!B41)/2)=0,0,(('Condensed Financials'!C40+'Condensed Financials'!B40)/2)/(('Condensed Financials'!C41+'Condensed Financials'!B41)/2))</f>
        <v/>
      </c>
      <c r="J108" t="n">
        <v>0.03240740740740741</v>
      </c>
      <c r="K108" t="n">
        <v>0.01</v>
      </c>
      <c r="L108" t="inlineStr">
        <is>
          <t>net_debt__20221231,equity_reformulated_fy__20221231,net_debt__20211231,equity_reformulated_fy__20211231</t>
        </is>
      </c>
      <c r="M108" t="inlineStr">
        <is>
          <t>FLEV = Average Net Debt / Average Equity.</t>
        </is>
      </c>
      <c r="O108" t="inlineStr">
        <is>
          <t>pending</t>
        </is>
      </c>
      <c r="P108" t="inlineStr">
        <is>
          <t>flev</t>
        </is>
      </c>
      <c r="Q108" t="n">
        <v>23</v>
      </c>
      <c r="R108" t="n">
        <v>1</v>
      </c>
      <c r="S108" t="inlineStr">
        <is>
          <t>2022-12-31</t>
        </is>
      </c>
    </row>
    <row r="109">
      <c r="A109" t="inlineStr">
        <is>
          <t>flev__20231231</t>
        </is>
      </c>
      <c r="B109" t="n">
        <v>108</v>
      </c>
      <c r="C109" t="inlineStr">
        <is>
          <t>Financial leverage (FLEV)</t>
        </is>
      </c>
      <c r="D109" t="inlineStr">
        <is>
          <t>Relate average net debt to average reformulated equity.</t>
        </is>
      </c>
      <c r="E109" t="inlineStr">
        <is>
          <t>dupont.flev.2023-12-31</t>
        </is>
      </c>
      <c r="F109" t="inlineStr">
        <is>
          <t>dupont</t>
        </is>
      </c>
      <c r="G109" t="inlineStr">
        <is>
          <t>ALT DuPont</t>
        </is>
      </c>
      <c r="H109" t="inlineStr">
        <is>
          <t>D10</t>
        </is>
      </c>
      <c r="I109">
        <f>IF((('Condensed Financials'!D41+'Condensed Financials'!C41)/2)=0,0,(('Condensed Financials'!D40+'Condensed Financials'!C40)/2)/(('Condensed Financials'!D41+'Condensed Financials'!C41)/2))</f>
        <v/>
      </c>
      <c r="J109" t="n">
        <v>-0.01229508196721311</v>
      </c>
      <c r="K109" t="n">
        <v>0.01</v>
      </c>
      <c r="L109" t="inlineStr">
        <is>
          <t>net_debt__20231231,equity_reformulated_fy__20231231,net_debt__20221231,equity_reformulated_fy__20221231</t>
        </is>
      </c>
      <c r="M109" t="inlineStr">
        <is>
          <t>FLEV = Average Net Debt / Average Equity.</t>
        </is>
      </c>
      <c r="O109" t="inlineStr">
        <is>
          <t>pending</t>
        </is>
      </c>
      <c r="P109" t="inlineStr">
        <is>
          <t>flev</t>
        </is>
      </c>
      <c r="Q109" t="n">
        <v>23</v>
      </c>
      <c r="R109" t="n">
        <v>2</v>
      </c>
      <c r="S109" t="inlineStr">
        <is>
          <t>2023-12-31</t>
        </is>
      </c>
    </row>
    <row r="110">
      <c r="A110" t="inlineStr">
        <is>
          <t>flev__20241231</t>
        </is>
      </c>
      <c r="B110" t="n">
        <v>109</v>
      </c>
      <c r="C110" t="inlineStr">
        <is>
          <t>Financial leverage (FLEV)</t>
        </is>
      </c>
      <c r="D110" t="inlineStr">
        <is>
          <t>Relate average net debt to average reformulated equity.</t>
        </is>
      </c>
      <c r="E110" t="inlineStr">
        <is>
          <t>dupont.flev.2024-12-31</t>
        </is>
      </c>
      <c r="F110" t="inlineStr">
        <is>
          <t>dupont</t>
        </is>
      </c>
      <c r="G110" t="inlineStr">
        <is>
          <t>ALT DuPont</t>
        </is>
      </c>
      <c r="H110" t="inlineStr">
        <is>
          <t>E10</t>
        </is>
      </c>
      <c r="I110">
        <f>IF((('Condensed Financials'!E41+'Condensed Financials'!D41)/2)=0,0,(('Condensed Financials'!E40+'Condensed Financials'!D40)/2)/(('Condensed Financials'!E41+'Condensed Financials'!D41)/2))</f>
        <v/>
      </c>
      <c r="J110" t="n">
        <v>-0.04857142857142857</v>
      </c>
      <c r="K110" t="n">
        <v>0.01</v>
      </c>
      <c r="L110" t="inlineStr">
        <is>
          <t>net_debt__20241231,equity_reformulated_fy__20241231,net_debt__20231231,equity_reformulated_fy__20231231</t>
        </is>
      </c>
      <c r="M110" t="inlineStr">
        <is>
          <t>FLEV = Average Net Debt / Average Equity.</t>
        </is>
      </c>
      <c r="O110" t="inlineStr">
        <is>
          <t>pending</t>
        </is>
      </c>
      <c r="P110" t="inlineStr">
        <is>
          <t>flev</t>
        </is>
      </c>
      <c r="Q110" t="n">
        <v>23</v>
      </c>
      <c r="R110" t="n">
        <v>3</v>
      </c>
      <c r="S110" t="inlineStr">
        <is>
          <t>2024-12-31</t>
        </is>
      </c>
    </row>
    <row r="111">
      <c r="A111" t="inlineStr">
        <is>
          <t>flev__20251231</t>
        </is>
      </c>
      <c r="B111" t="n">
        <v>110</v>
      </c>
      <c r="C111" t="inlineStr">
        <is>
          <t>Financial leverage (FLEV)</t>
        </is>
      </c>
      <c r="D111" t="inlineStr">
        <is>
          <t>Relate average net debt to average reformulated equity.</t>
        </is>
      </c>
      <c r="E111" t="inlineStr">
        <is>
          <t>dupont.flev.2025-12-31</t>
        </is>
      </c>
      <c r="F111" t="inlineStr">
        <is>
          <t>dupont</t>
        </is>
      </c>
      <c r="G111" t="inlineStr">
        <is>
          <t>ALT DuPont</t>
        </is>
      </c>
      <c r="H111" t="inlineStr">
        <is>
          <t>F10</t>
        </is>
      </c>
      <c r="I111">
        <f>IF((('Condensed Financials'!F41+'Condensed Financials'!E41)/2)=0,0,(('Condensed Financials'!F40+'Condensed Financials'!E40)/2)/(('Condensed Financials'!F41+'Condensed Financials'!E41)/2))</f>
        <v/>
      </c>
      <c r="J111" t="n">
        <v>-0.07592592592592592</v>
      </c>
      <c r="K111" t="n">
        <v>0.01</v>
      </c>
      <c r="L111" t="inlineStr">
        <is>
          <t>net_debt__20251231,equity_reformulated_fy__20251231,net_debt__20241231,equity_reformulated_fy__20241231</t>
        </is>
      </c>
      <c r="M111" t="inlineStr">
        <is>
          <t>FLEV = Average Net Debt / Average Equity.</t>
        </is>
      </c>
      <c r="O111" t="inlineStr">
        <is>
          <t>pending</t>
        </is>
      </c>
      <c r="P111" t="inlineStr">
        <is>
          <t>flev</t>
        </is>
      </c>
      <c r="Q111" t="n">
        <v>23</v>
      </c>
      <c r="R111" t="n">
        <v>4</v>
      </c>
      <c r="S111" t="inlineStr">
        <is>
          <t>2025-12-31</t>
        </is>
      </c>
    </row>
    <row r="112">
      <c r="A112" t="inlineStr">
        <is>
          <t>roe_decomp__20221231</t>
        </is>
      </c>
      <c r="B112" t="n">
        <v>111</v>
      </c>
      <c r="C112" t="inlineStr">
        <is>
          <t>ROE decomposition</t>
        </is>
      </c>
      <c r="D112" t="inlineStr">
        <is>
          <t>ROE = RNOA + FLEV × Spread.</t>
        </is>
      </c>
      <c r="E112" t="inlineStr">
        <is>
          <t>dupont.roe_decomposed.2022-12-31</t>
        </is>
      </c>
      <c r="F112" t="inlineStr">
        <is>
          <t>dupont</t>
        </is>
      </c>
      <c r="G112" t="inlineStr">
        <is>
          <t>ALT DuPont</t>
        </is>
      </c>
      <c r="H112" t="inlineStr">
        <is>
          <t>C11</t>
        </is>
      </c>
      <c r="I112">
        <f>C7+C10*(C9)</f>
        <v/>
      </c>
      <c r="J112" t="n">
        <v>0.5533333333333333</v>
      </c>
      <c r="K112" t="n">
        <v>0.01</v>
      </c>
      <c r="L112" t="inlineStr">
        <is>
          <t>rnoa__20221231,spread__20221231,flev__20221231</t>
        </is>
      </c>
      <c r="M112" t="inlineStr">
        <is>
          <t>Financial leverage (FLEV) = Average Net Debt / Average Equity.|ROE (decomposed) = RNOA + FLEV × (RNOA − After-tax CoD).</t>
        </is>
      </c>
      <c r="O112" t="inlineStr">
        <is>
          <t>pending</t>
        </is>
      </c>
      <c r="P112" t="inlineStr">
        <is>
          <t>roe_decomp</t>
        </is>
      </c>
      <c r="Q112" t="n">
        <v>24</v>
      </c>
      <c r="R112" t="n">
        <v>1</v>
      </c>
      <c r="S112" t="inlineStr">
        <is>
          <t>2022-12-31</t>
        </is>
      </c>
    </row>
    <row r="113">
      <c r="A113" t="inlineStr">
        <is>
          <t>roe_decomp__20231231</t>
        </is>
      </c>
      <c r="B113" t="n">
        <v>112</v>
      </c>
      <c r="C113" t="inlineStr">
        <is>
          <t>ROE decomposition</t>
        </is>
      </c>
      <c r="D113" t="inlineStr">
        <is>
          <t>ROE = RNOA + FLEV × Spread.</t>
        </is>
      </c>
      <c r="E113" t="inlineStr">
        <is>
          <t>dupont.roe_decomposed.2023-12-31</t>
        </is>
      </c>
      <c r="F113" t="inlineStr">
        <is>
          <t>dupont</t>
        </is>
      </c>
      <c r="G113" t="inlineStr">
        <is>
          <t>ALT DuPont</t>
        </is>
      </c>
      <c r="H113" t="inlineStr">
        <is>
          <t>D11</t>
        </is>
      </c>
      <c r="I113">
        <f>D7+D10*(D9)</f>
        <v/>
      </c>
      <c r="J113" t="n">
        <v>0.5381967213114753</v>
      </c>
      <c r="K113" t="n">
        <v>0.01</v>
      </c>
      <c r="L113" t="inlineStr">
        <is>
          <t>rnoa__20231231,spread__20231231,flev__20231231</t>
        </is>
      </c>
      <c r="M113" t="inlineStr">
        <is>
          <t>Financial leverage (FLEV) = Average Net Debt / Average Equity.|ROE (decomposed) = RNOA + FLEV × (RNOA − After-tax CoD).</t>
        </is>
      </c>
      <c r="O113" t="inlineStr">
        <is>
          <t>pending</t>
        </is>
      </c>
      <c r="P113" t="inlineStr">
        <is>
          <t>roe_decomp</t>
        </is>
      </c>
      <c r="Q113" t="n">
        <v>24</v>
      </c>
      <c r="R113" t="n">
        <v>2</v>
      </c>
      <c r="S113" t="inlineStr">
        <is>
          <t>2023-12-31</t>
        </is>
      </c>
    </row>
    <row r="114">
      <c r="A114" t="inlineStr">
        <is>
          <t>roe_decomp__20241231</t>
        </is>
      </c>
      <c r="B114" t="n">
        <v>113</v>
      </c>
      <c r="C114" t="inlineStr">
        <is>
          <t>ROE decomposition</t>
        </is>
      </c>
      <c r="D114" t="inlineStr">
        <is>
          <t>ROE = RNOA + FLEV × Spread.</t>
        </is>
      </c>
      <c r="E114" t="inlineStr">
        <is>
          <t>dupont.roe_decomposed.2024-12-31</t>
        </is>
      </c>
      <c r="F114" t="inlineStr">
        <is>
          <t>dupont</t>
        </is>
      </c>
      <c r="G114" t="inlineStr">
        <is>
          <t>ALT DuPont</t>
        </is>
      </c>
      <c r="H114" t="inlineStr">
        <is>
          <t>E11</t>
        </is>
      </c>
      <c r="I114">
        <f>E7+E10*(E9)</f>
        <v/>
      </c>
      <c r="J114" t="n">
        <v>0.5205714285714286</v>
      </c>
      <c r="K114" t="n">
        <v>0.01</v>
      </c>
      <c r="L114" t="inlineStr">
        <is>
          <t>rnoa__20241231,spread__20241231,flev__20241231</t>
        </is>
      </c>
      <c r="M114" t="inlineStr">
        <is>
          <t>Financial leverage (FLEV) = Average Net Debt / Average Equity.|ROE (decomposed) = RNOA + FLEV × (RNOA − After-tax CoD).</t>
        </is>
      </c>
      <c r="O114" t="inlineStr">
        <is>
          <t>pending</t>
        </is>
      </c>
      <c r="P114" t="inlineStr">
        <is>
          <t>roe_decomp</t>
        </is>
      </c>
      <c r="Q114" t="n">
        <v>24</v>
      </c>
      <c r="R114" t="n">
        <v>3</v>
      </c>
      <c r="S114" t="inlineStr">
        <is>
          <t>2024-12-31</t>
        </is>
      </c>
    </row>
    <row r="115">
      <c r="A115" t="inlineStr">
        <is>
          <t>roe_decomp__20251231</t>
        </is>
      </c>
      <c r="B115" t="n">
        <v>114</v>
      </c>
      <c r="C115" t="inlineStr">
        <is>
          <t>ROE decomposition</t>
        </is>
      </c>
      <c r="D115" t="inlineStr">
        <is>
          <t>ROE = RNOA + FLEV × Spread.</t>
        </is>
      </c>
      <c r="E115" t="inlineStr">
        <is>
          <t>dupont.roe_decomposed.2025-12-31</t>
        </is>
      </c>
      <c r="F115" t="inlineStr">
        <is>
          <t>dupont</t>
        </is>
      </c>
      <c r="G115" t="inlineStr">
        <is>
          <t>ALT DuPont</t>
        </is>
      </c>
      <c r="H115" t="inlineStr">
        <is>
          <t>F11</t>
        </is>
      </c>
      <c r="I115">
        <f>F7+F10*(F9)</f>
        <v/>
      </c>
      <c r="J115" t="n">
        <v>0.5027160493827161</v>
      </c>
      <c r="K115" t="n">
        <v>0.01</v>
      </c>
      <c r="L115" t="inlineStr">
        <is>
          <t>rnoa__20251231,spread__20251231,flev__20251231</t>
        </is>
      </c>
      <c r="M115" t="inlineStr">
        <is>
          <t>Financial leverage (FLEV) = Average Net Debt / Average Equity.|ROE (decomposed) = RNOA + FLEV × (RNOA − After-tax CoD).</t>
        </is>
      </c>
      <c r="O115" t="inlineStr">
        <is>
          <t>pending</t>
        </is>
      </c>
      <c r="P115" t="inlineStr">
        <is>
          <t>roe_decomp</t>
        </is>
      </c>
      <c r="Q115" t="n">
        <v>24</v>
      </c>
      <c r="R115" t="n">
        <v>4</v>
      </c>
      <c r="S115" t="inlineStr">
        <is>
          <t>2025-12-31</t>
        </is>
      </c>
    </row>
    <row r="116">
      <c r="A116" t="inlineStr">
        <is>
          <t>actual_roe__20221231</t>
        </is>
      </c>
      <c r="B116" t="n">
        <v>115</v>
      </c>
      <c r="C116" t="inlineStr">
        <is>
          <t>Actual ROE</t>
        </is>
      </c>
      <c r="D116" t="inlineStr">
        <is>
          <t>Relate net income to average reformulated equity.</t>
        </is>
      </c>
      <c r="E116" t="inlineStr">
        <is>
          <t>dupont.actual_roe.2022-12-31</t>
        </is>
      </c>
      <c r="F116" t="inlineStr">
        <is>
          <t>dupont</t>
        </is>
      </c>
      <c r="G116" t="inlineStr">
        <is>
          <t>ALT DuPont</t>
        </is>
      </c>
      <c r="H116" t="inlineStr">
        <is>
          <t>C12</t>
        </is>
      </c>
      <c r="I116">
        <f>IF((('Condensed Financials'!C41+'Condensed Financials'!B41)/2)=0,0,'Condensed Financials'!C20/(('Condensed Financials'!C41+'Condensed Financials'!B41)/2))</f>
        <v/>
      </c>
      <c r="J116" t="n">
        <v>0.5533333333333333</v>
      </c>
      <c r="K116" t="n">
        <v>0.01</v>
      </c>
      <c r="L116" t="inlineStr">
        <is>
          <t>net_income_link__20221231,equity_reformulated_fy__20221231,equity_reformulated_fy__20211231</t>
        </is>
      </c>
      <c r="M116" t="inlineStr">
        <is>
          <t>Actual ROE = Net Income / Average Equity.</t>
        </is>
      </c>
      <c r="O116" t="inlineStr">
        <is>
          <t>pending</t>
        </is>
      </c>
      <c r="P116" t="inlineStr">
        <is>
          <t>actual_roe</t>
        </is>
      </c>
      <c r="Q116" t="n">
        <v>25</v>
      </c>
      <c r="R116" t="n">
        <v>1</v>
      </c>
      <c r="S116" t="inlineStr">
        <is>
          <t>2022-12-31</t>
        </is>
      </c>
    </row>
    <row r="117">
      <c r="A117" t="inlineStr">
        <is>
          <t>actual_roe__20231231</t>
        </is>
      </c>
      <c r="B117" t="n">
        <v>116</v>
      </c>
      <c r="C117" t="inlineStr">
        <is>
          <t>Actual ROE</t>
        </is>
      </c>
      <c r="D117" t="inlineStr">
        <is>
          <t>Relate net income to average reformulated equity.</t>
        </is>
      </c>
      <c r="E117" t="inlineStr">
        <is>
          <t>dupont.actual_roe.2023-12-31</t>
        </is>
      </c>
      <c r="F117" t="inlineStr">
        <is>
          <t>dupont</t>
        </is>
      </c>
      <c r="G117" t="inlineStr">
        <is>
          <t>ALT DuPont</t>
        </is>
      </c>
      <c r="H117" t="inlineStr">
        <is>
          <t>D12</t>
        </is>
      </c>
      <c r="I117">
        <f>IF((('Condensed Financials'!D41+'Condensed Financials'!C41)/2)=0,0,'Condensed Financials'!D20/(('Condensed Financials'!D41+'Condensed Financials'!C41)/2))</f>
        <v/>
      </c>
      <c r="J117" t="n">
        <v>0.5381967213114754</v>
      </c>
      <c r="K117" t="n">
        <v>0.01</v>
      </c>
      <c r="L117" t="inlineStr">
        <is>
          <t>net_income_link__20231231,equity_reformulated_fy__20231231,equity_reformulated_fy__20221231</t>
        </is>
      </c>
      <c r="M117" t="inlineStr">
        <is>
          <t>Actual ROE = Net Income / Average Equity.</t>
        </is>
      </c>
      <c r="O117" t="inlineStr">
        <is>
          <t>pending</t>
        </is>
      </c>
      <c r="P117" t="inlineStr">
        <is>
          <t>actual_roe</t>
        </is>
      </c>
      <c r="Q117" t="n">
        <v>25</v>
      </c>
      <c r="R117" t="n">
        <v>2</v>
      </c>
      <c r="S117" t="inlineStr">
        <is>
          <t>2023-12-31</t>
        </is>
      </c>
    </row>
    <row r="118">
      <c r="A118" t="inlineStr">
        <is>
          <t>actual_roe__20241231</t>
        </is>
      </c>
      <c r="B118" t="n">
        <v>117</v>
      </c>
      <c r="C118" t="inlineStr">
        <is>
          <t>Actual ROE</t>
        </is>
      </c>
      <c r="D118" t="inlineStr">
        <is>
          <t>Relate net income to average reformulated equity.</t>
        </is>
      </c>
      <c r="E118" t="inlineStr">
        <is>
          <t>dupont.actual_roe.2024-12-31</t>
        </is>
      </c>
      <c r="F118" t="inlineStr">
        <is>
          <t>dupont</t>
        </is>
      </c>
      <c r="G118" t="inlineStr">
        <is>
          <t>ALT DuPont</t>
        </is>
      </c>
      <c r="H118" t="inlineStr">
        <is>
          <t>E12</t>
        </is>
      </c>
      <c r="I118">
        <f>IF((('Condensed Financials'!E41+'Condensed Financials'!D41)/2)=0,0,'Condensed Financials'!E20/(('Condensed Financials'!E41+'Condensed Financials'!D41)/2))</f>
        <v/>
      </c>
      <c r="J118" t="n">
        <v>0.5205714285714286</v>
      </c>
      <c r="K118" t="n">
        <v>0.01</v>
      </c>
      <c r="L118" t="inlineStr">
        <is>
          <t>net_income_link__20241231,equity_reformulated_fy__20241231,equity_reformulated_fy__20231231</t>
        </is>
      </c>
      <c r="M118" t="inlineStr">
        <is>
          <t>Actual ROE = Net Income / Average Equity.</t>
        </is>
      </c>
      <c r="O118" t="inlineStr">
        <is>
          <t>pending</t>
        </is>
      </c>
      <c r="P118" t="inlineStr">
        <is>
          <t>actual_roe</t>
        </is>
      </c>
      <c r="Q118" t="n">
        <v>25</v>
      </c>
      <c r="R118" t="n">
        <v>3</v>
      </c>
      <c r="S118" t="inlineStr">
        <is>
          <t>2024-12-31</t>
        </is>
      </c>
    </row>
    <row r="119">
      <c r="A119" t="inlineStr">
        <is>
          <t>actual_roe__20251231</t>
        </is>
      </c>
      <c r="B119" t="n">
        <v>118</v>
      </c>
      <c r="C119" t="inlineStr">
        <is>
          <t>Actual ROE</t>
        </is>
      </c>
      <c r="D119" t="inlineStr">
        <is>
          <t>Relate net income to average reformulated equity.</t>
        </is>
      </c>
      <c r="E119" t="inlineStr">
        <is>
          <t>dupont.actual_roe.2025-12-31</t>
        </is>
      </c>
      <c r="F119" t="inlineStr">
        <is>
          <t>dupont</t>
        </is>
      </c>
      <c r="G119" t="inlineStr">
        <is>
          <t>ALT DuPont</t>
        </is>
      </c>
      <c r="H119" t="inlineStr">
        <is>
          <t>F12</t>
        </is>
      </c>
      <c r="I119">
        <f>IF((('Condensed Financials'!F41+'Condensed Financials'!E41)/2)=0,0,'Condensed Financials'!F20/(('Condensed Financials'!F41+'Condensed Financials'!E41)/2))</f>
        <v/>
      </c>
      <c r="J119" t="n">
        <v>0.5027160493827161</v>
      </c>
      <c r="K119" t="n">
        <v>0.01</v>
      </c>
      <c r="L119" t="inlineStr">
        <is>
          <t>net_income_link__20251231,equity_reformulated_fy__20251231,equity_reformulated_fy__20241231</t>
        </is>
      </c>
      <c r="M119" t="inlineStr">
        <is>
          <t>Actual ROE = Net Income / Average Equity.</t>
        </is>
      </c>
      <c r="O119" t="inlineStr">
        <is>
          <t>pending</t>
        </is>
      </c>
      <c r="P119" t="inlineStr">
        <is>
          <t>actual_roe</t>
        </is>
      </c>
      <c r="Q119" t="n">
        <v>25</v>
      </c>
      <c r="R119" t="n">
        <v>4</v>
      </c>
      <c r="S119" t="inlineStr">
        <is>
          <t>2025-12-31</t>
        </is>
      </c>
    </row>
    <row r="120">
      <c r="A120" t="inlineStr">
        <is>
          <t>pretax_normalization_adjustment__20211231</t>
        </is>
      </c>
      <c r="B120" t="n">
        <v>119</v>
      </c>
      <c r="C120" t="inlineStr">
        <is>
          <t>Pretax normalization adjustment</t>
        </is>
      </c>
      <c r="D120" t="inlineStr">
        <is>
          <t>Sum the signed pretax add-back for items marked Non-recurring on the Earnings Normalization detail block.</t>
        </is>
      </c>
      <c r="E120" t="inlineStr">
        <is>
          <t>normalization.pretax_adjustment.2021-12-31</t>
        </is>
      </c>
      <c r="F120" t="inlineStr">
        <is>
          <t>normalization</t>
        </is>
      </c>
      <c r="G120" t="inlineStr">
        <is>
          <t>Earnings Normalization</t>
        </is>
      </c>
      <c r="H120" t="inlineStr">
        <is>
          <t>C9</t>
        </is>
      </c>
      <c r="I120">
        <f>-SUMIF($B$5:$B$5,"Non-recurring",C$5:C$5)</f>
        <v/>
      </c>
      <c r="J120" t="n">
        <v>0</v>
      </c>
      <c r="K120" t="n">
        <v>0.01</v>
      </c>
      <c r="M120" t="inlineStr">
        <is>
          <t>Use SUMIF on the detail treatment column for Non-recurring items, then negate the sum so expense add-backs are positive.</t>
        </is>
      </c>
      <c r="O120" t="inlineStr">
        <is>
          <t>pending</t>
        </is>
      </c>
      <c r="P120" t="inlineStr">
        <is>
          <t>pretax_normalization_adjustment</t>
        </is>
      </c>
      <c r="Q120" t="n">
        <v>26</v>
      </c>
      <c r="R120" t="n">
        <v>0</v>
      </c>
      <c r="S120" t="inlineStr">
        <is>
          <t>2021-12-31</t>
        </is>
      </c>
    </row>
    <row r="121">
      <c r="A121" t="inlineStr">
        <is>
          <t>pretax_normalization_adjustment__20221231</t>
        </is>
      </c>
      <c r="B121" t="n">
        <v>120</v>
      </c>
      <c r="C121" t="inlineStr">
        <is>
          <t>Pretax normalization adjustment</t>
        </is>
      </c>
      <c r="D121" t="inlineStr">
        <is>
          <t>Sum the signed pretax add-back for items marked Non-recurring on the Earnings Normalization detail block.</t>
        </is>
      </c>
      <c r="E121" t="inlineStr">
        <is>
          <t>normalization.pretax_adjustment.2022-12-31</t>
        </is>
      </c>
      <c r="F121" t="inlineStr">
        <is>
          <t>normalization</t>
        </is>
      </c>
      <c r="G121" t="inlineStr">
        <is>
          <t>Earnings Normalization</t>
        </is>
      </c>
      <c r="H121" t="inlineStr">
        <is>
          <t>D9</t>
        </is>
      </c>
      <c r="I121">
        <f>-SUMIF($B$5:$B$5,"Non-recurring",D$5:D$5)</f>
        <v/>
      </c>
      <c r="J121" t="n">
        <v>0</v>
      </c>
      <c r="K121" t="n">
        <v>0.01</v>
      </c>
      <c r="M121" t="inlineStr">
        <is>
          <t>Use SUMIF on the detail treatment column for Non-recurring items, then negate the sum so expense add-backs are positive.</t>
        </is>
      </c>
      <c r="O121" t="inlineStr">
        <is>
          <t>pending</t>
        </is>
      </c>
      <c r="P121" t="inlineStr">
        <is>
          <t>pretax_normalization_adjustment</t>
        </is>
      </c>
      <c r="Q121" t="n">
        <v>26</v>
      </c>
      <c r="R121" t="n">
        <v>1</v>
      </c>
      <c r="S121" t="inlineStr">
        <is>
          <t>2022-12-31</t>
        </is>
      </c>
    </row>
    <row r="122">
      <c r="A122" t="inlineStr">
        <is>
          <t>pretax_normalization_adjustment__20231231</t>
        </is>
      </c>
      <c r="B122" t="n">
        <v>121</v>
      </c>
      <c r="C122" t="inlineStr">
        <is>
          <t>Pretax normalization adjustment</t>
        </is>
      </c>
      <c r="D122" t="inlineStr">
        <is>
          <t>Sum the signed pretax add-back for items marked Non-recurring on the Earnings Normalization detail block.</t>
        </is>
      </c>
      <c r="E122" t="inlineStr">
        <is>
          <t>normalization.pretax_adjustment.2023-12-31</t>
        </is>
      </c>
      <c r="F122" t="inlineStr">
        <is>
          <t>normalization</t>
        </is>
      </c>
      <c r="G122" t="inlineStr">
        <is>
          <t>Earnings Normalization</t>
        </is>
      </c>
      <c r="H122" t="inlineStr">
        <is>
          <t>E9</t>
        </is>
      </c>
      <c r="I122">
        <f>-SUMIF($B$5:$B$5,"Non-recurring",E$5:E$5)</f>
        <v/>
      </c>
      <c r="J122" t="n">
        <v>200</v>
      </c>
      <c r="K122" t="n">
        <v>0.01</v>
      </c>
      <c r="M122" t="inlineStr">
        <is>
          <t>Use SUMIF on the detail treatment column for Non-recurring items, then negate the sum so expense add-backs are positive.</t>
        </is>
      </c>
      <c r="O122" t="inlineStr">
        <is>
          <t>pending</t>
        </is>
      </c>
      <c r="P122" t="inlineStr">
        <is>
          <t>pretax_normalization_adjustment</t>
        </is>
      </c>
      <c r="Q122" t="n">
        <v>26</v>
      </c>
      <c r="R122" t="n">
        <v>2</v>
      </c>
      <c r="S122" t="inlineStr">
        <is>
          <t>2023-12-31</t>
        </is>
      </c>
    </row>
    <row r="123">
      <c r="A123" t="inlineStr">
        <is>
          <t>pretax_normalization_adjustment__20241231</t>
        </is>
      </c>
      <c r="B123" t="n">
        <v>122</v>
      </c>
      <c r="C123" t="inlineStr">
        <is>
          <t>Pretax normalization adjustment</t>
        </is>
      </c>
      <c r="D123" t="inlineStr">
        <is>
          <t>Sum the signed pretax add-back for items marked Non-recurring on the Earnings Normalization detail block.</t>
        </is>
      </c>
      <c r="E123" t="inlineStr">
        <is>
          <t>normalization.pretax_adjustment.2024-12-31</t>
        </is>
      </c>
      <c r="F123" t="inlineStr">
        <is>
          <t>normalization</t>
        </is>
      </c>
      <c r="G123" t="inlineStr">
        <is>
          <t>Earnings Normalization</t>
        </is>
      </c>
      <c r="H123" t="inlineStr">
        <is>
          <t>F9</t>
        </is>
      </c>
      <c r="I123">
        <f>-SUMIF($B$5:$B$5,"Non-recurring",F$5:F$5)</f>
        <v/>
      </c>
      <c r="J123" t="n">
        <v>0</v>
      </c>
      <c r="K123" t="n">
        <v>0.01</v>
      </c>
      <c r="M123" t="inlineStr">
        <is>
          <t>Use SUMIF on the detail treatment column for Non-recurring items, then negate the sum so expense add-backs are positive.</t>
        </is>
      </c>
      <c r="O123" t="inlineStr">
        <is>
          <t>pending</t>
        </is>
      </c>
      <c r="P123" t="inlineStr">
        <is>
          <t>pretax_normalization_adjustment</t>
        </is>
      </c>
      <c r="Q123" t="n">
        <v>26</v>
      </c>
      <c r="R123" t="n">
        <v>3</v>
      </c>
      <c r="S123" t="inlineStr">
        <is>
          <t>2024-12-31</t>
        </is>
      </c>
    </row>
    <row r="124">
      <c r="A124" t="inlineStr">
        <is>
          <t>pretax_normalization_adjustment__20251231</t>
        </is>
      </c>
      <c r="B124" t="n">
        <v>123</v>
      </c>
      <c r="C124" t="inlineStr">
        <is>
          <t>Pretax normalization adjustment</t>
        </is>
      </c>
      <c r="D124" t="inlineStr">
        <is>
          <t>Sum the signed pretax add-back for items marked Non-recurring on the Earnings Normalization detail block.</t>
        </is>
      </c>
      <c r="E124" t="inlineStr">
        <is>
          <t>normalization.pretax_adjustment.2025-12-31</t>
        </is>
      </c>
      <c r="F124" t="inlineStr">
        <is>
          <t>normalization</t>
        </is>
      </c>
      <c r="G124" t="inlineStr">
        <is>
          <t>Earnings Normalization</t>
        </is>
      </c>
      <c r="H124" t="inlineStr">
        <is>
          <t>G9</t>
        </is>
      </c>
      <c r="I124">
        <f>-SUMIF($B$5:$B$5,"Non-recurring",G$5:G$5)</f>
        <v/>
      </c>
      <c r="J124" t="n">
        <v>0</v>
      </c>
      <c r="K124" t="n">
        <v>0.01</v>
      </c>
      <c r="M124" t="inlineStr">
        <is>
          <t>Use SUMIF on the detail treatment column for Non-recurring items, then negate the sum so expense add-backs are positive.</t>
        </is>
      </c>
      <c r="O124" t="inlineStr">
        <is>
          <t>pending</t>
        </is>
      </c>
      <c r="P124" t="inlineStr">
        <is>
          <t>pretax_normalization_adjustment</t>
        </is>
      </c>
      <c r="Q124" t="n">
        <v>26</v>
      </c>
      <c r="R124" t="n">
        <v>4</v>
      </c>
      <c r="S124" t="inlineStr">
        <is>
          <t>2025-12-31</t>
        </is>
      </c>
    </row>
    <row r="125">
      <c r="A125" t="inlineStr">
        <is>
          <t>after_tax_normalization_adjustment__20211231</t>
        </is>
      </c>
      <c r="B125" t="n">
        <v>124</v>
      </c>
      <c r="C125" t="inlineStr">
        <is>
          <t>After-tax normalization adjustment</t>
        </is>
      </c>
      <c r="D125" t="inlineStr">
        <is>
          <t>Apply the period effective tax rate to the pretax normalization adjustment.</t>
        </is>
      </c>
      <c r="E125" t="inlineStr">
        <is>
          <t>normalization.after_tax_adjustment.2021-12-31</t>
        </is>
      </c>
      <c r="F125" t="inlineStr">
        <is>
          <t>normalization</t>
        </is>
      </c>
      <c r="G125" t="inlineStr">
        <is>
          <t>Earnings Normalization</t>
        </is>
      </c>
      <c r="H125" t="inlineStr">
        <is>
          <t>C11</t>
        </is>
      </c>
      <c r="I125">
        <f>C9*(1-C10)</f>
        <v/>
      </c>
      <c r="J125" t="n">
        <v>0</v>
      </c>
      <c r="K125" t="n">
        <v>0.01</v>
      </c>
      <c r="L125" t="inlineStr">
        <is>
          <t>pretax_normalization_adjustment__20211231</t>
        </is>
      </c>
      <c r="M125" t="inlineStr">
        <is>
          <t>After-tax adjustment = pretax adjustment × (1 − effective tax rate).</t>
        </is>
      </c>
      <c r="O125" t="inlineStr">
        <is>
          <t>pending</t>
        </is>
      </c>
      <c r="P125" t="inlineStr">
        <is>
          <t>after_tax_normalization_adjustment</t>
        </is>
      </c>
      <c r="Q125" t="n">
        <v>27</v>
      </c>
      <c r="R125" t="n">
        <v>0</v>
      </c>
      <c r="S125" t="inlineStr">
        <is>
          <t>2021-12-31</t>
        </is>
      </c>
    </row>
    <row r="126">
      <c r="A126" t="inlineStr">
        <is>
          <t>after_tax_normalization_adjustment__20221231</t>
        </is>
      </c>
      <c r="B126" t="n">
        <v>125</v>
      </c>
      <c r="C126" t="inlineStr">
        <is>
          <t>After-tax normalization adjustment</t>
        </is>
      </c>
      <c r="D126" t="inlineStr">
        <is>
          <t>Apply the period effective tax rate to the pretax normalization adjustment.</t>
        </is>
      </c>
      <c r="E126" t="inlineStr">
        <is>
          <t>normalization.after_tax_adjustment.2022-12-31</t>
        </is>
      </c>
      <c r="F126" t="inlineStr">
        <is>
          <t>normalization</t>
        </is>
      </c>
      <c r="G126" t="inlineStr">
        <is>
          <t>Earnings Normalization</t>
        </is>
      </c>
      <c r="H126" t="inlineStr">
        <is>
          <t>D11</t>
        </is>
      </c>
      <c r="I126">
        <f>D9*(1-D10)</f>
        <v/>
      </c>
      <c r="J126" t="n">
        <v>0</v>
      </c>
      <c r="K126" t="n">
        <v>0.01</v>
      </c>
      <c r="L126" t="inlineStr">
        <is>
          <t>pretax_normalization_adjustment__20221231</t>
        </is>
      </c>
      <c r="M126" t="inlineStr">
        <is>
          <t>After-tax adjustment = pretax adjustment × (1 − effective tax rate).</t>
        </is>
      </c>
      <c r="O126" t="inlineStr">
        <is>
          <t>pending</t>
        </is>
      </c>
      <c r="P126" t="inlineStr">
        <is>
          <t>after_tax_normalization_adjustment</t>
        </is>
      </c>
      <c r="Q126" t="n">
        <v>27</v>
      </c>
      <c r="R126" t="n">
        <v>1</v>
      </c>
      <c r="S126" t="inlineStr">
        <is>
          <t>2022-12-31</t>
        </is>
      </c>
    </row>
    <row r="127">
      <c r="A127" t="inlineStr">
        <is>
          <t>after_tax_normalization_adjustment__20231231</t>
        </is>
      </c>
      <c r="B127" t="n">
        <v>126</v>
      </c>
      <c r="C127" t="inlineStr">
        <is>
          <t>After-tax normalization adjustment</t>
        </is>
      </c>
      <c r="D127" t="inlineStr">
        <is>
          <t>Apply the period effective tax rate to the pretax normalization adjustment.</t>
        </is>
      </c>
      <c r="E127" t="inlineStr">
        <is>
          <t>normalization.after_tax_adjustment.2023-12-31</t>
        </is>
      </c>
      <c r="F127" t="inlineStr">
        <is>
          <t>normalization</t>
        </is>
      </c>
      <c r="G127" t="inlineStr">
        <is>
          <t>Earnings Normalization</t>
        </is>
      </c>
      <c r="H127" t="inlineStr">
        <is>
          <t>E11</t>
        </is>
      </c>
      <c r="I127">
        <f>E9*(1-E10)</f>
        <v/>
      </c>
      <c r="J127" t="n">
        <v>166.0176991150443</v>
      </c>
      <c r="K127" t="n">
        <v>0.01</v>
      </c>
      <c r="L127" t="inlineStr">
        <is>
          <t>pretax_normalization_adjustment__20231231</t>
        </is>
      </c>
      <c r="M127" t="inlineStr">
        <is>
          <t>After-tax adjustment = pretax adjustment × (1 − effective tax rate).</t>
        </is>
      </c>
      <c r="O127" t="inlineStr">
        <is>
          <t>pending</t>
        </is>
      </c>
      <c r="P127" t="inlineStr">
        <is>
          <t>after_tax_normalization_adjustment</t>
        </is>
      </c>
      <c r="Q127" t="n">
        <v>27</v>
      </c>
      <c r="R127" t="n">
        <v>2</v>
      </c>
      <c r="S127" t="inlineStr">
        <is>
          <t>2023-12-31</t>
        </is>
      </c>
    </row>
    <row r="128">
      <c r="A128" t="inlineStr">
        <is>
          <t>after_tax_normalization_adjustment__20241231</t>
        </is>
      </c>
      <c r="B128" t="n">
        <v>127</v>
      </c>
      <c r="C128" t="inlineStr">
        <is>
          <t>After-tax normalization adjustment</t>
        </is>
      </c>
      <c r="D128" t="inlineStr">
        <is>
          <t>Apply the period effective tax rate to the pretax normalization adjustment.</t>
        </is>
      </c>
      <c r="E128" t="inlineStr">
        <is>
          <t>normalization.after_tax_adjustment.2024-12-31</t>
        </is>
      </c>
      <c r="F128" t="inlineStr">
        <is>
          <t>normalization</t>
        </is>
      </c>
      <c r="G128" t="inlineStr">
        <is>
          <t>Earnings Normalization</t>
        </is>
      </c>
      <c r="H128" t="inlineStr">
        <is>
          <t>F11</t>
        </is>
      </c>
      <c r="I128">
        <f>F9*(1-F10)</f>
        <v/>
      </c>
      <c r="J128" t="n">
        <v>0</v>
      </c>
      <c r="K128" t="n">
        <v>0.01</v>
      </c>
      <c r="L128" t="inlineStr">
        <is>
          <t>pretax_normalization_adjustment__20241231</t>
        </is>
      </c>
      <c r="M128" t="inlineStr">
        <is>
          <t>After-tax adjustment = pretax adjustment × (1 − effective tax rate).</t>
        </is>
      </c>
      <c r="O128" t="inlineStr">
        <is>
          <t>pending</t>
        </is>
      </c>
      <c r="P128" t="inlineStr">
        <is>
          <t>after_tax_normalization_adjustment</t>
        </is>
      </c>
      <c r="Q128" t="n">
        <v>27</v>
      </c>
      <c r="R128" t="n">
        <v>3</v>
      </c>
      <c r="S128" t="inlineStr">
        <is>
          <t>2024-12-31</t>
        </is>
      </c>
    </row>
    <row r="129">
      <c r="A129" t="inlineStr">
        <is>
          <t>after_tax_normalization_adjustment__20251231</t>
        </is>
      </c>
      <c r="B129" t="n">
        <v>128</v>
      </c>
      <c r="C129" t="inlineStr">
        <is>
          <t>After-tax normalization adjustment</t>
        </is>
      </c>
      <c r="D129" t="inlineStr">
        <is>
          <t>Apply the period effective tax rate to the pretax normalization adjustment.</t>
        </is>
      </c>
      <c r="E129" t="inlineStr">
        <is>
          <t>normalization.after_tax_adjustment.2025-12-31</t>
        </is>
      </c>
      <c r="F129" t="inlineStr">
        <is>
          <t>normalization</t>
        </is>
      </c>
      <c r="G129" t="inlineStr">
        <is>
          <t>Earnings Normalization</t>
        </is>
      </c>
      <c r="H129" t="inlineStr">
        <is>
          <t>G11</t>
        </is>
      </c>
      <c r="I129">
        <f>G9*(1-G10)</f>
        <v/>
      </c>
      <c r="J129" t="n">
        <v>0</v>
      </c>
      <c r="K129" t="n">
        <v>0.01</v>
      </c>
      <c r="L129" t="inlineStr">
        <is>
          <t>pretax_normalization_adjustment__20251231</t>
        </is>
      </c>
      <c r="M129" t="inlineStr">
        <is>
          <t>After-tax adjustment = pretax adjustment × (1 − effective tax rate).</t>
        </is>
      </c>
      <c r="O129" t="inlineStr">
        <is>
          <t>pending</t>
        </is>
      </c>
      <c r="P129" t="inlineStr">
        <is>
          <t>after_tax_normalization_adjustment</t>
        </is>
      </c>
      <c r="Q129" t="n">
        <v>27</v>
      </c>
      <c r="R129" t="n">
        <v>4</v>
      </c>
      <c r="S129" t="inlineStr">
        <is>
          <t>2025-12-31</t>
        </is>
      </c>
    </row>
    <row r="130">
      <c r="A130" t="inlineStr">
        <is>
          <t>normalized_nopat__20211231</t>
        </is>
      </c>
      <c r="B130" t="n">
        <v>129</v>
      </c>
      <c r="C130" t="inlineStr">
        <is>
          <t>Normalized NOPAT</t>
        </is>
      </c>
      <c r="D130" t="inlineStr">
        <is>
          <t>Add the after-tax normalization adjustment to reported NOPAT.</t>
        </is>
      </c>
      <c r="E130" t="inlineStr">
        <is>
          <t>normalization.normalized_nopat.2021-12-31</t>
        </is>
      </c>
      <c r="F130" t="inlineStr">
        <is>
          <t>normalization</t>
        </is>
      </c>
      <c r="G130" t="inlineStr">
        <is>
          <t>Earnings Normalization</t>
        </is>
      </c>
      <c r="H130" t="inlineStr">
        <is>
          <t>C12</t>
        </is>
      </c>
      <c r="I130">
        <f>C7+C11</f>
        <v/>
      </c>
      <c r="J130" t="n">
        <v>2822.255639097744</v>
      </c>
      <c r="K130" t="n">
        <v>0.01</v>
      </c>
      <c r="L130" t="inlineStr">
        <is>
          <t>after_tax_normalization_adjustment__20211231</t>
        </is>
      </c>
      <c r="M130" t="inlineStr">
        <is>
          <t>Normalized NOPAT = Reported NOPAT + after-tax normalization adjustment.</t>
        </is>
      </c>
      <c r="O130" t="inlineStr">
        <is>
          <t>pending</t>
        </is>
      </c>
      <c r="P130" t="inlineStr">
        <is>
          <t>normalized_nopat</t>
        </is>
      </c>
      <c r="Q130" t="n">
        <v>28</v>
      </c>
      <c r="R130" t="n">
        <v>0</v>
      </c>
      <c r="S130" t="inlineStr">
        <is>
          <t>2021-12-31</t>
        </is>
      </c>
    </row>
    <row r="131">
      <c r="A131" t="inlineStr">
        <is>
          <t>normalized_nopat__20221231</t>
        </is>
      </c>
      <c r="B131" t="n">
        <v>130</v>
      </c>
      <c r="C131" t="inlineStr">
        <is>
          <t>Normalized NOPAT</t>
        </is>
      </c>
      <c r="D131" t="inlineStr">
        <is>
          <t>Add the after-tax normalization adjustment to reported NOPAT.</t>
        </is>
      </c>
      <c r="E131" t="inlineStr">
        <is>
          <t>normalization.normalized_nopat.2022-12-31</t>
        </is>
      </c>
      <c r="F131" t="inlineStr">
        <is>
          <t>normalization</t>
        </is>
      </c>
      <c r="G131" t="inlineStr">
        <is>
          <t>Earnings Normalization</t>
        </is>
      </c>
      <c r="H131" t="inlineStr">
        <is>
          <t>D12</t>
        </is>
      </c>
      <c r="I131">
        <f>D7+D11</f>
        <v/>
      </c>
      <c r="J131" t="n">
        <v>3054.4</v>
      </c>
      <c r="K131" t="n">
        <v>0.01</v>
      </c>
      <c r="L131" t="inlineStr">
        <is>
          <t>after_tax_normalization_adjustment__20221231</t>
        </is>
      </c>
      <c r="M131" t="inlineStr">
        <is>
          <t>Normalized NOPAT = Reported NOPAT + after-tax normalization adjustment.</t>
        </is>
      </c>
      <c r="O131" t="inlineStr">
        <is>
          <t>pending</t>
        </is>
      </c>
      <c r="P131" t="inlineStr">
        <is>
          <t>normalized_nopat</t>
        </is>
      </c>
      <c r="Q131" t="n">
        <v>28</v>
      </c>
      <c r="R131" t="n">
        <v>1</v>
      </c>
      <c r="S131" t="inlineStr">
        <is>
          <t>2022-12-31</t>
        </is>
      </c>
    </row>
    <row r="132">
      <c r="A132" t="inlineStr">
        <is>
          <t>normalized_nopat__20231231</t>
        </is>
      </c>
      <c r="B132" t="n">
        <v>131</v>
      </c>
      <c r="C132" t="inlineStr">
        <is>
          <t>Normalized NOPAT</t>
        </is>
      </c>
      <c r="D132" t="inlineStr">
        <is>
          <t>Add the after-tax normalization adjustment to reported NOPAT.</t>
        </is>
      </c>
      <c r="E132" t="inlineStr">
        <is>
          <t>normalization.normalized_nopat.2023-12-31</t>
        </is>
      </c>
      <c r="F132" t="inlineStr">
        <is>
          <t>normalization</t>
        </is>
      </c>
      <c r="G132" t="inlineStr">
        <is>
          <t>Earnings Normalization</t>
        </is>
      </c>
      <c r="H132" t="inlineStr">
        <is>
          <t>E12</t>
        </is>
      </c>
      <c r="I132">
        <f>E7+E11</f>
        <v/>
      </c>
      <c r="J132" t="n">
        <v>3519.575221238938</v>
      </c>
      <c r="K132" t="n">
        <v>0.01</v>
      </c>
      <c r="L132" t="inlineStr">
        <is>
          <t>after_tax_normalization_adjustment__20231231</t>
        </is>
      </c>
      <c r="M132" t="inlineStr">
        <is>
          <t>Normalized NOPAT = Reported NOPAT + after-tax normalization adjustment.</t>
        </is>
      </c>
      <c r="O132" t="inlineStr">
        <is>
          <t>pending</t>
        </is>
      </c>
      <c r="P132" t="inlineStr">
        <is>
          <t>normalized_nopat</t>
        </is>
      </c>
      <c r="Q132" t="n">
        <v>28</v>
      </c>
      <c r="R132" t="n">
        <v>2</v>
      </c>
      <c r="S132" t="inlineStr">
        <is>
          <t>2023-12-31</t>
        </is>
      </c>
    </row>
    <row r="133">
      <c r="A133" t="inlineStr">
        <is>
          <t>normalized_nopat__20241231</t>
        </is>
      </c>
      <c r="B133" t="n">
        <v>132</v>
      </c>
      <c r="C133" t="inlineStr">
        <is>
          <t>Normalized NOPAT</t>
        </is>
      </c>
      <c r="D133" t="inlineStr">
        <is>
          <t>Add the after-tax normalization adjustment to reported NOPAT.</t>
        </is>
      </c>
      <c r="E133" t="inlineStr">
        <is>
          <t>normalization.normalized_nopat.2024-12-31</t>
        </is>
      </c>
      <c r="F133" t="inlineStr">
        <is>
          <t>normalization</t>
        </is>
      </c>
      <c r="G133" t="inlineStr">
        <is>
          <t>Earnings Normalization</t>
        </is>
      </c>
      <c r="H133" t="inlineStr">
        <is>
          <t>F12</t>
        </is>
      </c>
      <c r="I133">
        <f>F7+F11</f>
        <v/>
      </c>
      <c r="J133" t="n">
        <v>3718.706150341686</v>
      </c>
      <c r="K133" t="n">
        <v>0.01</v>
      </c>
      <c r="L133" t="inlineStr">
        <is>
          <t>after_tax_normalization_adjustment__20241231</t>
        </is>
      </c>
      <c r="M133" t="inlineStr">
        <is>
          <t>Normalized NOPAT = Reported NOPAT + after-tax normalization adjustment.</t>
        </is>
      </c>
      <c r="O133" t="inlineStr">
        <is>
          <t>pending</t>
        </is>
      </c>
      <c r="P133" t="inlineStr">
        <is>
          <t>normalized_nopat</t>
        </is>
      </c>
      <c r="Q133" t="n">
        <v>28</v>
      </c>
      <c r="R133" t="n">
        <v>3</v>
      </c>
      <c r="S133" t="inlineStr">
        <is>
          <t>2024-12-31</t>
        </is>
      </c>
    </row>
    <row r="134">
      <c r="A134" t="inlineStr">
        <is>
          <t>normalized_nopat__20251231</t>
        </is>
      </c>
      <c r="B134" t="n">
        <v>133</v>
      </c>
      <c r="C134" t="inlineStr">
        <is>
          <t>Normalized NOPAT</t>
        </is>
      </c>
      <c r="D134" t="inlineStr">
        <is>
          <t>Add the after-tax normalization adjustment to reported NOPAT.</t>
        </is>
      </c>
      <c r="E134" t="inlineStr">
        <is>
          <t>normalization.normalized_nopat.2025-12-31</t>
        </is>
      </c>
      <c r="F134" t="inlineStr">
        <is>
          <t>normalization</t>
        </is>
      </c>
      <c r="G134" t="inlineStr">
        <is>
          <t>Earnings Normalization</t>
        </is>
      </c>
      <c r="H134" t="inlineStr">
        <is>
          <t>G12</t>
        </is>
      </c>
      <c r="I134">
        <f>G7+G11</f>
        <v/>
      </c>
      <c r="J134" t="n">
        <v>4150.866462793068</v>
      </c>
      <c r="K134" t="n">
        <v>0.01</v>
      </c>
      <c r="L134" t="inlineStr">
        <is>
          <t>after_tax_normalization_adjustment__20251231</t>
        </is>
      </c>
      <c r="M134" t="inlineStr">
        <is>
          <t>Normalized NOPAT = Reported NOPAT + after-tax normalization adjustment.</t>
        </is>
      </c>
      <c r="O134" t="inlineStr">
        <is>
          <t>pending</t>
        </is>
      </c>
      <c r="P134" t="inlineStr">
        <is>
          <t>normalized_nopat</t>
        </is>
      </c>
      <c r="Q134" t="n">
        <v>28</v>
      </c>
      <c r="R134" t="n">
        <v>4</v>
      </c>
      <c r="S134" t="inlineStr">
        <is>
          <t>2025-12-31</t>
        </is>
      </c>
    </row>
    <row r="135">
      <c r="A135" t="inlineStr">
        <is>
          <t>normalized_net_income__20211231</t>
        </is>
      </c>
      <c r="B135" t="n">
        <v>134</v>
      </c>
      <c r="C135" t="inlineStr">
        <is>
          <t>Normalized Net Income</t>
        </is>
      </c>
      <c r="D135" t="inlineStr">
        <is>
          <t>Add the after-tax normalization adjustment to reported Net Income.</t>
        </is>
      </c>
      <c r="E135" t="inlineStr">
        <is>
          <t>normalization.normalized_net_income.2021-12-31</t>
        </is>
      </c>
      <c r="F135" t="inlineStr">
        <is>
          <t>normalization</t>
        </is>
      </c>
      <c r="G135" t="inlineStr">
        <is>
          <t>Earnings Normalization</t>
        </is>
      </c>
      <c r="H135" t="inlineStr">
        <is>
          <t>C13</t>
        </is>
      </c>
      <c r="I135">
        <f>C8+C11</f>
        <v/>
      </c>
      <c r="J135" t="n">
        <v>2760</v>
      </c>
      <c r="K135" t="n">
        <v>0.01</v>
      </c>
      <c r="L135" t="inlineStr">
        <is>
          <t>after_tax_normalization_adjustment__20211231</t>
        </is>
      </c>
      <c r="M135" t="inlineStr">
        <is>
          <t>Normalized Net Income = Reported Net Income + after-tax normalization adjustment.</t>
        </is>
      </c>
      <c r="O135" t="inlineStr">
        <is>
          <t>pending</t>
        </is>
      </c>
      <c r="P135" t="inlineStr">
        <is>
          <t>normalized_net_income</t>
        </is>
      </c>
      <c r="Q135" t="n">
        <v>29</v>
      </c>
      <c r="R135" t="n">
        <v>0</v>
      </c>
      <c r="S135" t="inlineStr">
        <is>
          <t>2021-12-31</t>
        </is>
      </c>
    </row>
    <row r="136">
      <c r="A136" t="inlineStr">
        <is>
          <t>normalized_net_income__20221231</t>
        </is>
      </c>
      <c r="B136" t="n">
        <v>135</v>
      </c>
      <c r="C136" t="inlineStr">
        <is>
          <t>Normalized Net Income</t>
        </is>
      </c>
      <c r="D136" t="inlineStr">
        <is>
          <t>Add the after-tax normalization adjustment to reported Net Income.</t>
        </is>
      </c>
      <c r="E136" t="inlineStr">
        <is>
          <t>normalization.normalized_net_income.2022-12-31</t>
        </is>
      </c>
      <c r="F136" t="inlineStr">
        <is>
          <t>normalization</t>
        </is>
      </c>
      <c r="G136" t="inlineStr">
        <is>
          <t>Earnings Normalization</t>
        </is>
      </c>
      <c r="H136" t="inlineStr">
        <is>
          <t>D13</t>
        </is>
      </c>
      <c r="I136">
        <f>D8+D11</f>
        <v/>
      </c>
      <c r="J136" t="n">
        <v>2988</v>
      </c>
      <c r="K136" t="n">
        <v>0.01</v>
      </c>
      <c r="L136" t="inlineStr">
        <is>
          <t>after_tax_normalization_adjustment__20221231</t>
        </is>
      </c>
      <c r="M136" t="inlineStr">
        <is>
          <t>Normalized Net Income = Reported Net Income + after-tax normalization adjustment.</t>
        </is>
      </c>
      <c r="O136" t="inlineStr">
        <is>
          <t>pending</t>
        </is>
      </c>
      <c r="P136" t="inlineStr">
        <is>
          <t>normalized_net_income</t>
        </is>
      </c>
      <c r="Q136" t="n">
        <v>29</v>
      </c>
      <c r="R136" t="n">
        <v>1</v>
      </c>
      <c r="S136" t="inlineStr">
        <is>
          <t>2022-12-31</t>
        </is>
      </c>
    </row>
    <row r="137">
      <c r="A137" t="inlineStr">
        <is>
          <t>normalized_net_income__20231231</t>
        </is>
      </c>
      <c r="B137" t="n">
        <v>136</v>
      </c>
      <c r="C137" t="inlineStr">
        <is>
          <t>Normalized Net Income</t>
        </is>
      </c>
      <c r="D137" t="inlineStr">
        <is>
          <t>Add the after-tax normalization adjustment to reported Net Income.</t>
        </is>
      </c>
      <c r="E137" t="inlineStr">
        <is>
          <t>normalization.normalized_net_income.2023-12-31</t>
        </is>
      </c>
      <c r="F137" t="inlineStr">
        <is>
          <t>normalization</t>
        </is>
      </c>
      <c r="G137" t="inlineStr">
        <is>
          <t>Earnings Normalization</t>
        </is>
      </c>
      <c r="H137" t="inlineStr">
        <is>
          <t>E13</t>
        </is>
      </c>
      <c r="I137">
        <f>E8+E11</f>
        <v/>
      </c>
      <c r="J137" t="n">
        <v>3449.017699115044</v>
      </c>
      <c r="K137" t="n">
        <v>0.01</v>
      </c>
      <c r="L137" t="inlineStr">
        <is>
          <t>after_tax_normalization_adjustment__20231231</t>
        </is>
      </c>
      <c r="M137" t="inlineStr">
        <is>
          <t>Normalized Net Income = Reported Net Income + after-tax normalization adjustment.</t>
        </is>
      </c>
      <c r="O137" t="inlineStr">
        <is>
          <t>pending</t>
        </is>
      </c>
      <c r="P137" t="inlineStr">
        <is>
          <t>normalized_net_income</t>
        </is>
      </c>
      <c r="Q137" t="n">
        <v>29</v>
      </c>
      <c r="R137" t="n">
        <v>2</v>
      </c>
      <c r="S137" t="inlineStr">
        <is>
          <t>2023-12-31</t>
        </is>
      </c>
    </row>
    <row r="138">
      <c r="A138" t="inlineStr">
        <is>
          <t>normalized_net_income__20241231</t>
        </is>
      </c>
      <c r="B138" t="n">
        <v>137</v>
      </c>
      <c r="C138" t="inlineStr">
        <is>
          <t>Normalized Net Income</t>
        </is>
      </c>
      <c r="D138" t="inlineStr">
        <is>
          <t>Add the after-tax normalization adjustment to reported Net Income.</t>
        </is>
      </c>
      <c r="E138" t="inlineStr">
        <is>
          <t>normalization.normalized_net_income.2024-12-31</t>
        </is>
      </c>
      <c r="F138" t="inlineStr">
        <is>
          <t>normalization</t>
        </is>
      </c>
      <c r="G138" t="inlineStr">
        <is>
          <t>Earnings Normalization</t>
        </is>
      </c>
      <c r="H138" t="inlineStr">
        <is>
          <t>F13</t>
        </is>
      </c>
      <c r="I138">
        <f>F8+F11</f>
        <v/>
      </c>
      <c r="J138" t="n">
        <v>3644</v>
      </c>
      <c r="K138" t="n">
        <v>0.01</v>
      </c>
      <c r="L138" t="inlineStr">
        <is>
          <t>after_tax_normalization_adjustment__20241231</t>
        </is>
      </c>
      <c r="M138" t="inlineStr">
        <is>
          <t>Normalized Net Income = Reported Net Income + after-tax normalization adjustment.</t>
        </is>
      </c>
      <c r="O138" t="inlineStr">
        <is>
          <t>pending</t>
        </is>
      </c>
      <c r="P138" t="inlineStr">
        <is>
          <t>normalized_net_income</t>
        </is>
      </c>
      <c r="Q138" t="n">
        <v>29</v>
      </c>
      <c r="R138" t="n">
        <v>3</v>
      </c>
      <c r="S138" t="inlineStr">
        <is>
          <t>2024-12-31</t>
        </is>
      </c>
    </row>
    <row r="139">
      <c r="A139" t="inlineStr">
        <is>
          <t>normalized_net_income__20251231</t>
        </is>
      </c>
      <c r="B139" t="n">
        <v>138</v>
      </c>
      <c r="C139" t="inlineStr">
        <is>
          <t>Normalized Net Income</t>
        </is>
      </c>
      <c r="D139" t="inlineStr">
        <is>
          <t>Add the after-tax normalization adjustment to reported Net Income.</t>
        </is>
      </c>
      <c r="E139" t="inlineStr">
        <is>
          <t>normalization.normalized_net_income.2025-12-31</t>
        </is>
      </c>
      <c r="F139" t="inlineStr">
        <is>
          <t>normalization</t>
        </is>
      </c>
      <c r="G139" t="inlineStr">
        <is>
          <t>Earnings Normalization</t>
        </is>
      </c>
      <c r="H139" t="inlineStr">
        <is>
          <t>G13</t>
        </is>
      </c>
      <c r="I139">
        <f>G8+G11</f>
        <v/>
      </c>
      <c r="J139" t="n">
        <v>4072</v>
      </c>
      <c r="K139" t="n">
        <v>0.01</v>
      </c>
      <c r="L139" t="inlineStr">
        <is>
          <t>after_tax_normalization_adjustment__20251231</t>
        </is>
      </c>
      <c r="M139" t="inlineStr">
        <is>
          <t>Normalized Net Income = Reported Net Income + after-tax normalization adjustment.</t>
        </is>
      </c>
      <c r="O139" t="inlineStr">
        <is>
          <t>pending</t>
        </is>
      </c>
      <c r="P139" t="inlineStr">
        <is>
          <t>normalized_net_income</t>
        </is>
      </c>
      <c r="Q139" t="n">
        <v>29</v>
      </c>
      <c r="R139" t="n">
        <v>4</v>
      </c>
      <c r="S139" t="inlineStr">
        <is>
          <t>2025-12-31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BAV_CHECK_CONTEXT_V1</t>
        </is>
      </c>
    </row>
    <row r="2">
      <c r="A2" t="inlineStr">
        <is>
          <t>{"base_classification_overrides":{},"judgment_bindings":[{"allowed_treatments":["Operating Long-Term Liability","Financial Liability"],"case_id":"classification::concept=lease_liability|label=operating lease liabilities","line_identity":"concept=lease_liability|label=operating lease liabilities","order":1,"override_selector":"concept:lease_liability","reference_treatment":"Operating Long-Term Liability","worksheet_row":5}],"modeled_periods":["2021-12-31","2022-12-31","2023-12-31","2024-12-31","2025-12-31"],"normalization_bindings":[{"allowed_treatments":["Non-recurring","Recurring"],"case_id":"normalization::concept=restructuring_expense|label=restructuring expense","line_identity":"concept=restructuring_expense|label=restructuring expense","order":1,"reference_treatment":"Non-recurring","scope":"operating_pretax_effective_tax","source_selector":"concept:restructuring_expense","worksheet_row":5}],"schema_version":2,"source_payload":{"balance_sheet":[{"concept":"","label":"Cash and cash equivalents","values":{"2021-12-31":1200.0,"2022-12-31":1350.0,"2023-12-31":1500.0,"2024-12-31":1680.0,"2025-12-31":1850.0}},{"concept":"","label":"Trade receivables","values":{"2021-12-31":850.0,"2022-12-31":920.0,"2023-12-31":1010.0,"2024-12-31":1120.0,"2025-12-31":1250.0}},{"concept":"","label":"Inventories","values":{"2021-12-31":680.0,"2022-12-31":736.0,"2023-12-31":808.0,"2024-12-31":896.0,"2025-12-31":1000.0}},{"concept":"","label":"Property, plant and equipment","values":{"2021-12-31":3200.0,"2022-12-31":3400.0,"2023-12-31":3600.0,"2024-12-31":3800.0,"2025-12-31":4000.0}},{"concept":"","label":"Goodwill","values":{"2021-12-31":900.0,"2022-12-31":900.0,"2023-12-31":900.0,"2024-12-31":900.0,"2025-12-31":900.0}},{"concept":"","label":"Other non-current assets","values":{"2021-12-31":1670.0,"2022-12-31":1894.0,"2023-12-31":2282.0,"2024-12-31":2804.0,"2025-12-31":3500.0}},{"concept":"","label":"Total assets","values":{"2021-12-31":8500.0,"2022-12-31":9200.0,"2023-12-31":10100.0,"2024-12-31":11200.0,"2025-12-31":12500.0}},{"concept":"","label":"Trade payables","values":{"2021-12-31":595.0,"2022-12-31":644.0,"2023-12-31":707.0,"2024-12-31":784.0,"2025-12-31":875.0}},{"concept":"","label":"Bank borrowings","values":{"2021-12-31":1500.0,"2022-12-31":1400.0,"2023-12-31":1300.0,"2024-12-31":1200.0,"2025-12-31":1100.0}},{"concept":"lease_liability","label":"Operating lease liabilities","values":{"2021-12-31":300.0,"2022-12-31":320.0,"2023-12-31":340.0,"2024-12-31":360.0,"2025-12-31":380.0}},{"concept":"","label":"Other non-current liabilities","values":{"2021-12-31":1005.0,"2022-12-31":1136.0,"2023-12-31":1253.0,"2024-12-31":1356.0,"2025-12-31":1445.0}},{"concept":"","label":"Total liabilities","values":{"2021-12-31":3400.0,"2022-12-31":3500.0,"2023-12-31":3600.0,"2024-12-31":3700.0,"2025-12-31":3800.0}},{"concept":"","label":"Share capital and reserves","values":{"2021-12-31":5100.0,"2022-12-31":5700.0,"2023-12-31":6500.0,"2024-12-31":7500.0,"2025-12-31":8700.0}},{"concept":"","label":"Total equity","values":{"2021-12-31":5100.0,"2022-12-31":5700.0,"2023-12-31":6500.0,"2024-12-31":7500.0,"2025-12-31":8700.0}}],"cash_flow":[{"concept":"","label":"Profit for the year","values":{"2021-12-31":2760.0,"2022-12-31":2988.0,"2023-12-31":3283.0,"2024-12-31":3644.0,"2025-12-31":4072.0}},{"concept":"","label":"Depreciation and amortisation","values":{"2021-12-31":340.0,"2022-12-31":368.0,"2023-12-31":404.0,"2024-12-31":448.0,"2025-12-31":500.0}},{"concept":"","label":"Net cash from operating activities","values":{"2021-12-31":1450.0,"2022-12-31":1600.0,"2023-12-31":1750.0,"2024-12-31":1930.0,"2025-12-31":2070.0}},{"concept":"","label":"Net cash used in investing activities","values":{"2021-12-31":-800.0,"2022-12-31":-850.0,"2023-12-31":-900.0,"2024-12-31":-950.0,"2025-12-31":-1000.0}},{"concept":"","label":"Net cash from financing activities","values":{"2021-12-31":-500.0,"2022-12-31":-600.0,"2023-12-31":-700.0,"2024-12-31":-800.0,"2025-12-31":-900.0}},{"concept":"","label":"Net change in cash and cash equivalents","values":{"2021-12-31":150.0,"2022-12-31":150.0,"2023-12-31":150.0,"2024-12-31":180.0,"2025-12-31":170.0}}],"company_name":"Demo Holdings Limited","currency":"HKD","income_statement":[{"concept":"","label":"Revenue","values":{"2021-12-31":8500.0,"2022-12-31":9200.0,"2023-12-31":10100.0,"2024-12-31":11200.0,"2025-12-31":12500.0}},{"concept":"","label":"Cost of sales","values":{"2021-12-31":-3400.0,"2022-12-31":-3680.0,"2023-12-31":-4040.0,"2024-12-31":-4480.0,"2025-12-31":-5000.0}},{"concept":"","label":"Gross profit","values":{"2021-12-31":5100.0,"2022-12-31":5520.0,"2023-12-31":6060.0,"2024-12-31":6720.0,"2025-12-31":7500.0}},{"concept":"","label":"Administrative expenses","values":{"2021-12-31":-1700.0,"2022-12-31":-1840.0,"2023-12-31":-1820.0,"2024-12-31":-2240.0,"2025-12-31":-2500.0}},{"concept":"restructuring_expense","label":"Restructuring expense","values":{"2021-12-31":0.0,"2022-12-31":0.0,"2023-12-31":-200.0,"2024-12-31":0.0,"2025-12-31":0.0}},{"concept":"","label":"Operating profit","values":{"2021-12-31":3400.0,"2022-12-31":3680.0,"2023-12-31":4040.0,"2024-12-31":4480.0,"2025-12-31":5000.0}},{"concept":"","label":"Finance costs","values":{"2021-12-31":-120.0,"2022-12-31":-130.0,"2023-12-31":-140.0,"2024-12-31":-150.0,"2025-12-31":-160.0}},{"concept":"","label":"Finance income","values":{"2021-12-31":45.0,"2022-12-31":50.0,"2023-12-31":55.0,"2024-12-31":60.0,"2025-12-31":65.0}},{"concept":"","label":"Profit before tax","values":{"2021-12-31":3325.0,"2022-12-31":3600.0,"2023-12-31":3955.0,"2024-12-31":4390.0,"2025-12-31":4905.0}},{"concept":"","label":"Income tax expense","values":{"2021-12-31":-565.0,"2022-12-31":-612.0,"2023-12-31":-672.0,"2024-12-31":-746.0,"2025-12-31":-833.0}},{"concept":"","label":"Profit for the year","values":{"2021-12-31":2760.0,"2022-12-31":2988.0,"2023-12-31":3283.0,"2024-12-31":3644.0,"2025-12-31":4072.0}}],"jurisdiction":"HK","periods":[{"end_date":"2021-12-31","is_interim":false,"label":"FY2021"},{"end_date":"2022-12-31","is_interim":false,"label":"FY2022"},{"end_date":"2023-12-31","is_interim":false,"label":"FY2023"},{"end_date":"2024-12-31","is_interim":false,"label":"FY2024"},{"end_date":"2025-12-31","is_interim":false,"label":"FY2025"}],"stock_code":"1234.HK","ticker":"DEMO","units":"HKD in Millions"}}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2026-09-12T11:41:33Z</dcterms:created>
  <dcterms:modified xmlns:dcterms="http://purl.org/dc/terms/" xmlns:xsi="http://www.w3.org/2001/XMLSchema-instance" xsi:type="dcterms:W3CDTF">2026-09-12T11:41:33Z</dcterms:modified>
</cp:coreProperties>
</file>