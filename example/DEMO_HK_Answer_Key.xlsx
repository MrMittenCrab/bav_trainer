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iner" sheetId="1" state="visible" r:id="rId1"/>
    <sheet xmlns:r="http://schemas.openxmlformats.org/officeDocument/2006/relationships" name="Income Statement" sheetId="2" state="visible" r:id="rId2"/>
    <sheet xmlns:r="http://schemas.openxmlformats.org/officeDocument/2006/relationships" name="Balance Sheet" sheetId="3" state="visible" r:id="rId3"/>
    <sheet xmlns:r="http://schemas.openxmlformats.org/officeDocument/2006/relationships" name="Cash Flow Statement" sheetId="4" state="visible" r:id="rId4"/>
    <sheet xmlns:r="http://schemas.openxmlformats.org/officeDocument/2006/relationships" name="Condensed Financials" sheetId="5" state="visible" r:id="rId5"/>
    <sheet xmlns:r="http://schemas.openxmlformats.org/officeDocument/2006/relationships" name="ALT DuPont" sheetId="6" state="visible" r:id="rId6"/>
    <sheet xmlns:r="http://schemas.openxmlformats.org/officeDocument/2006/relationships" name="Model_Bear" sheetId="7" state="hidden" r:id="rId7"/>
    <sheet xmlns:r="http://schemas.openxmlformats.org/officeDocument/2006/relationships" name="Model_Base" sheetId="8" state="hidden" r:id="rId8"/>
    <sheet xmlns:r="http://schemas.openxmlformats.org/officeDocument/2006/relationships" name="Model_Bull" sheetId="9" state="hidden" r:id="rId9"/>
    <sheet xmlns:r="http://schemas.openxmlformats.org/officeDocument/2006/relationships" name="Scenario_Summary" sheetId="10" state="hidden" r:id="rId10"/>
    <sheet xmlns:r="http://schemas.openxmlformats.org/officeDocument/2006/relationships" name="_ComponentMap" sheetId="11" state="hidden" r:id="rId11"/>
  </sheets>
  <definedNames/>
  <calcPr calcId="124519" fullCalcOnLoad="1"/>
</workbook>
</file>

<file path=xl/styles.xml><?xml version="1.0" encoding="utf-8"?>
<styleSheet xmlns="http://schemas.openxmlformats.org/spreadsheetml/2006/main">
  <numFmts count="3">
    <numFmt numFmtId="164" formatCode="mmm dd, yyyy"/>
    <numFmt numFmtId="165" formatCode="#,##0;(#,##0)"/>
    <numFmt numFmtId="166" formatCode="0.0%"/>
  </numFmts>
  <fonts count="6">
    <font>
      <name val="Calibri"/>
      <family val="2"/>
      <color theme="1"/>
      <sz val="11"/>
      <scheme val="minor"/>
    </font>
    <font>
      <b val="1"/>
    </font>
    <font/>
    <font>
      <name val="Aptos Narrow"/>
      <b val="1"/>
      <color rgb="00000000"/>
      <sz val="20"/>
    </font>
    <font>
      <name val="Aptos Narrow"/>
      <color rgb="00000000"/>
      <sz val="11"/>
    </font>
    <font>
      <name val="Aptos Narrow"/>
      <b val="1"/>
      <color rgb="00000000"/>
      <sz val="11"/>
    </font>
  </fonts>
  <fills count="5">
    <fill>
      <patternFill/>
    </fill>
    <fill>
      <patternFill patternType="gray125"/>
    </fill>
    <fill>
      <patternFill patternType="solid">
        <fgColor rgb="00D9EAD3"/>
      </patternFill>
    </fill>
    <fill>
      <patternFill patternType="solid">
        <fgColor rgb="00FFFFFF"/>
      </patternFill>
    </fill>
    <fill>
      <patternFill patternType="solid">
        <fgColor rgb="00FFFF00"/>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22">
    <xf numFmtId="0" fontId="0" fillId="0" borderId="0" pivotButton="0" quotePrefix="0" xfId="0"/>
    <xf numFmtId="0" fontId="1" fillId="0" borderId="0" pivotButton="0" quotePrefix="0" xfId="0"/>
    <xf numFmtId="164" fontId="1" fillId="0" borderId="0" pivotButton="0" quotePrefix="0" xfId="0"/>
    <xf numFmtId="165" fontId="0" fillId="0" borderId="0" pivotButton="0" quotePrefix="0" xfId="0"/>
    <xf numFmtId="0" fontId="2" fillId="0" borderId="0" pivotButton="0" quotePrefix="0" xfId="0"/>
    <xf numFmtId="166" fontId="0" fillId="0" borderId="0" pivotButton="0" quotePrefix="0" xfId="0"/>
    <xf numFmtId="165" fontId="0" fillId="2" borderId="0" pivotButton="0" quotePrefix="0" xfId="0"/>
    <xf numFmtId="0" fontId="3" fillId="0" borderId="0" pivotButton="0" quotePrefix="0" xfId="0"/>
    <xf numFmtId="0" fontId="4" fillId="0" borderId="0" pivotButton="0" quotePrefix="0" xfId="0"/>
    <xf numFmtId="0" fontId="5" fillId="0" borderId="1" pivotButton="0" quotePrefix="0" xfId="0"/>
    <xf numFmtId="0" fontId="3" fillId="0" borderId="1" pivotButton="0" quotePrefix="0" xfId="0"/>
    <xf numFmtId="0" fontId="4" fillId="0" borderId="1" pivotButton="0" quotePrefix="0" xfId="0"/>
    <xf numFmtId="164" fontId="5" fillId="0" borderId="1" pivotButton="0" quotePrefix="0" xfId="0"/>
    <xf numFmtId="165" fontId="4" fillId="0" borderId="0" pivotButton="0" quotePrefix="0" xfId="0"/>
    <xf numFmtId="165" fontId="4" fillId="0" borderId="1" pivotButton="0" quotePrefix="0" xfId="0"/>
    <xf numFmtId="0" fontId="4" fillId="4" borderId="0" pivotButton="0" quotePrefix="0" xfId="0"/>
    <xf numFmtId="0" fontId="4" fillId="4" borderId="1" pivotButton="0" quotePrefix="0" xfId="0"/>
    <xf numFmtId="166" fontId="4" fillId="4" borderId="1" pivotButton="0" quotePrefix="0" xfId="0"/>
    <xf numFmtId="165" fontId="4" fillId="4" borderId="1" pivotButton="0" quotePrefix="0" xfId="0"/>
    <xf numFmtId="0" fontId="5" fillId="0" borderId="0" pivotButton="0" quotePrefix="0" xfId="0"/>
    <xf numFmtId="165" fontId="4" fillId="4" borderId="0" pivotButton="0" quotePrefix="0" xfId="0"/>
    <xf numFmtId="166"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BAV Trainer</author>
  </authors>
  <commentList>
    <comment ref="B18" authorId="0" shapeId="0">
      <text>
        <t>Link Revenue from the Income Statement into Condensed Financials.</t>
      </text>
    </comment>
    <comment ref="C18" authorId="0" shapeId="0">
      <text>
        <t>Link Revenue from the Income Statement into Condensed Financials.</t>
      </text>
    </comment>
    <comment ref="D18" authorId="0" shapeId="0">
      <text>
        <t>Link Revenue from the Income Statement into Condensed Financials.</t>
      </text>
    </comment>
    <comment ref="E18" authorId="0" shapeId="0">
      <text>
        <t>Link Revenue from the Income Statement into Condensed Financials.</t>
      </text>
    </comment>
    <comment ref="F18" authorId="0" shapeId="0">
      <text>
        <t>Link Revenue from the Income Statement into Condensed Financials.</t>
      </text>
    </comment>
    <comment ref="B19" authorId="0" shapeId="0">
      <text>
        <t>Link Net Income from the Income Statement into Condensed Financials.</t>
      </text>
    </comment>
    <comment ref="C19" authorId="0" shapeId="0">
      <text>
        <t>Link Net Income from the Income Statement into Condensed Financials.</t>
      </text>
    </comment>
    <comment ref="D19" authorId="0" shapeId="0">
      <text>
        <t>Link Net Income from the Income Statement into Condensed Financials.</t>
      </text>
    </comment>
    <comment ref="E19" authorId="0" shapeId="0">
      <text>
        <t>Link Net Income from the Income Statement into Condensed Financials.</t>
      </text>
    </comment>
    <comment ref="F19" authorId="0" shapeId="0">
      <text>
        <t>Link Net Income from the Income Statement into Condensed Financials.</t>
      </text>
    </comment>
    <comment ref="B24" authorId="0" shapeId="0">
      <text>
        <t>Relate tax expense to pretax income using the model's sign convention.</t>
      </text>
    </comment>
    <comment ref="C24" authorId="0" shapeId="0">
      <text>
        <t>Relate tax expense to pretax income using the model's sign convention.</t>
      </text>
    </comment>
    <comment ref="D24" authorId="0" shapeId="0">
      <text>
        <t>Relate tax expense to pretax income using the model's sign convention.</t>
      </text>
    </comment>
    <comment ref="E24" authorId="0" shapeId="0">
      <text>
        <t>Relate tax expense to pretax income using the model's sign convention.</t>
      </text>
    </comment>
    <comment ref="F24" authorId="0" shapeId="0">
      <text>
        <t>Relate tax expense to pretax income using the model's sign convention.</t>
      </text>
    </comment>
    <comment ref="B25" authorId="0" shapeId="0">
      <text>
        <t>Combine interest expense and interest income into the financing result.</t>
      </text>
    </comment>
    <comment ref="C25" authorId="0" shapeId="0">
      <text>
        <t>Combine interest expense and interest income into the financing result.</t>
      </text>
    </comment>
    <comment ref="D25" authorId="0" shapeId="0">
      <text>
        <t>Combine interest expense and interest income into the financing result.</t>
      </text>
    </comment>
    <comment ref="E25" authorId="0" shapeId="0">
      <text>
        <t>Combine interest expense and interest income into the financing result.</t>
      </text>
    </comment>
    <comment ref="F25" authorId="0" shapeId="0">
      <text>
        <t>Combine interest expense and interest income into the financing result.</t>
      </text>
    </comment>
    <comment ref="B26" authorId="0" shapeId="0">
      <text>
        <t>Apply the effective tax rate once to net interest.</t>
      </text>
    </comment>
    <comment ref="C26" authorId="0" shapeId="0">
      <text>
        <t>Apply the effective tax rate once to net interest.</t>
      </text>
    </comment>
    <comment ref="D26" authorId="0" shapeId="0">
      <text>
        <t>Apply the effective tax rate once to net interest.</t>
      </text>
    </comment>
    <comment ref="E26" authorId="0" shapeId="0">
      <text>
        <t>Apply the effective tax rate once to net interest.</t>
      </text>
    </comment>
    <comment ref="F26" authorId="0" shapeId="0">
      <text>
        <t>Apply the effective tax rate once to net interest.</t>
      </text>
    </comment>
    <comment ref="B27" authorId="0" shapeId="0">
      <text>
        <t>Reformulate net income to operating profit after tax.</t>
      </text>
    </comment>
    <comment ref="C27" authorId="0" shapeId="0">
      <text>
        <t>Reformulate net income to operating profit after tax.</t>
      </text>
    </comment>
    <comment ref="D27" authorId="0" shapeId="0">
      <text>
        <t>Reformulate net income to operating profit after tax.</t>
      </text>
    </comment>
    <comment ref="E27" authorId="0" shapeId="0">
      <text>
        <t>Reformulate net income to operating profit after tax.</t>
      </text>
    </comment>
    <comment ref="F27" authorId="0" shapeId="0">
      <text>
        <t>Reformulate net income to operating profit after tax.</t>
      </text>
    </comment>
    <comment ref="B30" authorId="0" shapeId="0">
      <text>
        <t>Aggregate the classified balance-sheet detail with the classification column.</t>
      </text>
    </comment>
    <comment ref="C30" authorId="0" shapeId="0">
      <text>
        <t>Aggregate the classified balance-sheet detail with the classification column.</t>
      </text>
    </comment>
    <comment ref="D30" authorId="0" shapeId="0">
      <text>
        <t>Aggregate the classified balance-sheet detail with the classification column.</t>
      </text>
    </comment>
    <comment ref="E30" authorId="0" shapeId="0">
      <text>
        <t>Aggregate the classified balance-sheet detail with the classification column.</t>
      </text>
    </comment>
    <comment ref="F30" authorId="0" shapeId="0">
      <text>
        <t>Aggregate the classified balance-sheet detail with the classification column.</t>
      </text>
    </comment>
    <comment ref="B31" authorId="0" shapeId="0">
      <text>
        <t>Aggregate the classified balance-sheet detail with the classification column.</t>
      </text>
    </comment>
    <comment ref="C31" authorId="0" shapeId="0">
      <text>
        <t>Aggregate the classified balance-sheet detail with the classification column.</t>
      </text>
    </comment>
    <comment ref="D31" authorId="0" shapeId="0">
      <text>
        <t>Aggregate the classified balance-sheet detail with the classification column.</t>
      </text>
    </comment>
    <comment ref="E31" authorId="0" shapeId="0">
      <text>
        <t>Aggregate the classified balance-sheet detail with the classification column.</t>
      </text>
    </comment>
    <comment ref="F31" authorId="0" shapeId="0">
      <text>
        <t>Aggregate the classified balance-sheet detail with the classification column.</t>
      </text>
    </comment>
    <comment ref="B32" authorId="0" shapeId="0">
      <text>
        <t>Sum operating WC assets minus operating WC liabilities.</t>
      </text>
    </comment>
    <comment ref="C32" authorId="0" shapeId="0">
      <text>
        <t>Sum operating WC assets minus operating WC liabilities.</t>
      </text>
    </comment>
    <comment ref="D32" authorId="0" shapeId="0">
      <text>
        <t>Sum operating WC assets minus operating WC liabilities.</t>
      </text>
    </comment>
    <comment ref="E32" authorId="0" shapeId="0">
      <text>
        <t>Sum operating WC assets minus operating WC liabilities.</t>
      </text>
    </comment>
    <comment ref="F32" authorId="0" shapeId="0">
      <text>
        <t>Sum operating WC assets minus operating WC liabilities.</t>
      </text>
    </comment>
    <comment ref="B33" authorId="0" shapeId="0">
      <text>
        <t>Aggregate the classified balance-sheet detail with the classification column.</t>
      </text>
    </comment>
    <comment ref="C33" authorId="0" shapeId="0">
      <text>
        <t>Aggregate the classified balance-sheet detail with the classification column.</t>
      </text>
    </comment>
    <comment ref="D33" authorId="0" shapeId="0">
      <text>
        <t>Aggregate the classified balance-sheet detail with the classification column.</t>
      </text>
    </comment>
    <comment ref="E33" authorId="0" shapeId="0">
      <text>
        <t>Aggregate the classified balance-sheet detail with the classification column.</t>
      </text>
    </comment>
    <comment ref="F33" authorId="0" shapeId="0">
      <text>
        <t>Aggregate the classified balance-sheet detail with the classification column.</t>
      </text>
    </comment>
    <comment ref="B34" authorId="0" shapeId="0">
      <text>
        <t>Aggregate the classified balance-sheet detail with the classification column.</t>
      </text>
    </comment>
    <comment ref="C34" authorId="0" shapeId="0">
      <text>
        <t>Aggregate the classified balance-sheet detail with the classification column.</t>
      </text>
    </comment>
    <comment ref="D34" authorId="0" shapeId="0">
      <text>
        <t>Aggregate the classified balance-sheet detail with the classification column.</t>
      </text>
    </comment>
    <comment ref="E34" authorId="0" shapeId="0">
      <text>
        <t>Aggregate the classified balance-sheet detail with the classification column.</t>
      </text>
    </comment>
    <comment ref="F34" authorId="0" shapeId="0">
      <text>
        <t>Aggregate the classified balance-sheet detail with the classification column.</t>
      </text>
    </comment>
    <comment ref="B35" authorId="0" shapeId="0">
      <text>
        <t>Operating long-term assets less operating long-term liabilities.</t>
      </text>
    </comment>
    <comment ref="C35" authorId="0" shapeId="0">
      <text>
        <t>Operating long-term assets less operating long-term liabilities.</t>
      </text>
    </comment>
    <comment ref="D35" authorId="0" shapeId="0">
      <text>
        <t>Operating long-term assets less operating long-term liabilities.</t>
      </text>
    </comment>
    <comment ref="E35" authorId="0" shapeId="0">
      <text>
        <t>Operating long-term assets less operating long-term liabilities.</t>
      </text>
    </comment>
    <comment ref="F35" authorId="0" shapeId="0">
      <text>
        <t>Operating long-term assets less operating long-term liabilities.</t>
      </text>
    </comment>
    <comment ref="B36" authorId="0" shapeId="0">
      <text>
        <t>NOWC plus net operating long-term assets.</t>
      </text>
    </comment>
    <comment ref="C36" authorId="0" shapeId="0">
      <text>
        <t>NOWC plus net operating long-term assets.</t>
      </text>
    </comment>
    <comment ref="D36" authorId="0" shapeId="0">
      <text>
        <t>NOWC plus net operating long-term assets.</t>
      </text>
    </comment>
    <comment ref="E36" authorId="0" shapeId="0">
      <text>
        <t>NOWC plus net operating long-term assets.</t>
      </text>
    </comment>
    <comment ref="F36" authorId="0" shapeId="0">
      <text>
        <t>NOWC plus net operating long-term assets.</t>
      </text>
    </comment>
    <comment ref="B37" authorId="0" shapeId="0">
      <text>
        <t>Aggregate the classified balance-sheet detail with the classification column.</t>
      </text>
    </comment>
    <comment ref="C37" authorId="0" shapeId="0">
      <text>
        <t>Aggregate the classified balance-sheet detail with the classification column.</t>
      </text>
    </comment>
    <comment ref="D37" authorId="0" shapeId="0">
      <text>
        <t>Aggregate the classified balance-sheet detail with the classification column.</t>
      </text>
    </comment>
    <comment ref="E37" authorId="0" shapeId="0">
      <text>
        <t>Aggregate the classified balance-sheet detail with the classification column.</t>
      </text>
    </comment>
    <comment ref="F37" authorId="0" shapeId="0">
      <text>
        <t>Aggregate the classified balance-sheet detail with the classification column.</t>
      </text>
    </comment>
    <comment ref="B38" authorId="0" shapeId="0">
      <text>
        <t>Aggregate the classified balance-sheet detail with the classification column.</t>
      </text>
    </comment>
    <comment ref="C38" authorId="0" shapeId="0">
      <text>
        <t>Aggregate the classified balance-sheet detail with the classification column.</t>
      </text>
    </comment>
    <comment ref="D38" authorId="0" shapeId="0">
      <text>
        <t>Aggregate the classified balance-sheet detail with the classification column.</t>
      </text>
    </comment>
    <comment ref="E38" authorId="0" shapeId="0">
      <text>
        <t>Aggregate the classified balance-sheet detail with the classification column.</t>
      </text>
    </comment>
    <comment ref="F38" authorId="0" shapeId="0">
      <text>
        <t>Aggregate the classified balance-sheet detail with the classification column.</t>
      </text>
    </comment>
    <comment ref="B39" authorId="0" shapeId="0">
      <text>
        <t>Financial liabilities minus financial assets.</t>
      </text>
    </comment>
    <comment ref="C39" authorId="0" shapeId="0">
      <text>
        <t>Financial liabilities minus financial assets.</t>
      </text>
    </comment>
    <comment ref="D39" authorId="0" shapeId="0">
      <text>
        <t>Financial liabilities minus financial assets.</t>
      </text>
    </comment>
    <comment ref="E39" authorId="0" shapeId="0">
      <text>
        <t>Financial liabilities minus financial assets.</t>
      </text>
    </comment>
    <comment ref="F39" authorId="0" shapeId="0">
      <text>
        <t>Financial liabilities minus financial assets.</t>
      </text>
    </comment>
    <comment ref="B40" authorId="0" shapeId="0">
      <text>
        <t>Use the operating/financing identity linking NOA, Net Debt, and Equity.</t>
      </text>
    </comment>
    <comment ref="C40" authorId="0" shapeId="0">
      <text>
        <t>Use the operating/financing identity linking NOA, Net Debt, and Equity.</t>
      </text>
    </comment>
    <comment ref="D40" authorId="0" shapeId="0">
      <text>
        <t>Use the operating/financing identity linking NOA, Net Debt, and Equity.</t>
      </text>
    </comment>
    <comment ref="E40" authorId="0" shapeId="0">
      <text>
        <t>Use the operating/financing identity linking NOA, Net Debt, and Equity.</t>
      </text>
    </comment>
    <comment ref="F40" authorId="0" shapeId="0">
      <text>
        <t>Use the operating/financing identity linking NOA, Net Debt, and Equity.</t>
      </text>
    </comment>
  </commentList>
</comments>
</file>

<file path=xl/comments/comment2.xml><?xml version="1.0" encoding="utf-8"?>
<comments xmlns="http://schemas.openxmlformats.org/spreadsheetml/2006/main">
  <authors>
    <author>BAV Trainer</author>
  </authors>
  <commentList>
    <comment ref="C5" authorId="0" shapeId="0">
      <text>
        <t>Current Revenue relative to the immediately preceding fiscal year.</t>
      </text>
    </comment>
    <comment ref="D5" authorId="0" shapeId="0">
      <text>
        <t>Current Revenue relative to the immediately preceding fiscal year.</t>
      </text>
    </comment>
    <comment ref="E5" authorId="0" shapeId="0">
      <text>
        <t>Current Revenue relative to the immediately preceding fiscal year.</t>
      </text>
    </comment>
    <comment ref="F5" authorId="0" shapeId="0">
      <text>
        <t>Current Revenue relative to the immediately preceding fiscal year.</t>
      </text>
    </comment>
    <comment ref="B6" authorId="0" shapeId="0">
      <text>
        <t>NOPAT divided by Revenue for the same fiscal period.</t>
      </text>
    </comment>
    <comment ref="C6" authorId="0" shapeId="0">
      <text>
        <t>NOPAT divided by Revenue for the same fiscal period.</t>
      </text>
    </comment>
    <comment ref="D6" authorId="0" shapeId="0">
      <text>
        <t>NOPAT divided by Revenue for the same fiscal period.</t>
      </text>
    </comment>
    <comment ref="E6" authorId="0" shapeId="0">
      <text>
        <t>NOPAT divided by Revenue for the same fiscal period.</t>
      </text>
    </comment>
    <comment ref="F6" authorId="0" shapeId="0">
      <text>
        <t>NOPAT divided by Revenue for the same fiscal period.</t>
      </text>
    </comment>
    <comment ref="C7" authorId="0" shapeId="0">
      <text>
        <t>NOPAT divided by average NOA.</t>
      </text>
    </comment>
    <comment ref="D7" authorId="0" shapeId="0">
      <text>
        <t>NOPAT divided by average NOA.</t>
      </text>
    </comment>
    <comment ref="E7" authorId="0" shapeId="0">
      <text>
        <t>NOPAT divided by average NOA.</t>
      </text>
    </comment>
    <comment ref="F7" authorId="0" shapeId="0">
      <text>
        <t>NOPAT divided by average NOA.</t>
      </text>
    </comment>
    <comment ref="C8" authorId="0" shapeId="0">
      <text>
        <t>Relate net interest after tax to average net debt.</t>
      </text>
    </comment>
    <comment ref="D8" authorId="0" shapeId="0">
      <text>
        <t>Relate net interest after tax to average net debt.</t>
      </text>
    </comment>
    <comment ref="E8" authorId="0" shapeId="0">
      <text>
        <t>Relate net interest after tax to average net debt.</t>
      </text>
    </comment>
    <comment ref="F8" authorId="0" shapeId="0">
      <text>
        <t>Relate net interest after tax to average net debt.</t>
      </text>
    </comment>
    <comment ref="C9" authorId="0" shapeId="0">
      <text>
        <t>Operating return minus after-tax cost of debt.</t>
      </text>
    </comment>
    <comment ref="D9" authorId="0" shapeId="0">
      <text>
        <t>Operating return minus after-tax cost of debt.</t>
      </text>
    </comment>
    <comment ref="E9" authorId="0" shapeId="0">
      <text>
        <t>Operating return minus after-tax cost of debt.</t>
      </text>
    </comment>
    <comment ref="F9" authorId="0" shapeId="0">
      <text>
        <t>Operating return minus after-tax cost of debt.</t>
      </text>
    </comment>
    <comment ref="C10" authorId="0" shapeId="0">
      <text>
        <t>Relate average net debt to average reformulated equity.</t>
      </text>
    </comment>
    <comment ref="D10" authorId="0" shapeId="0">
      <text>
        <t>Relate average net debt to average reformulated equity.</t>
      </text>
    </comment>
    <comment ref="E10" authorId="0" shapeId="0">
      <text>
        <t>Relate average net debt to average reformulated equity.</t>
      </text>
    </comment>
    <comment ref="F10" authorId="0" shapeId="0">
      <text>
        <t>Relate average net debt to average reformulated equity.</t>
      </text>
    </comment>
    <comment ref="C11" authorId="0" shapeId="0">
      <text>
        <t>ROE = RNOA + FLEV × Spread.</t>
      </text>
    </comment>
    <comment ref="D11" authorId="0" shapeId="0">
      <text>
        <t>ROE = RNOA + FLEV × Spread.</t>
      </text>
    </comment>
    <comment ref="E11" authorId="0" shapeId="0">
      <text>
        <t>ROE = RNOA + FLEV × Spread.</t>
      </text>
    </comment>
    <comment ref="F11" authorId="0" shapeId="0">
      <text>
        <t>ROE = RNOA + FLEV × Spread.</t>
      </text>
    </comment>
    <comment ref="C12" authorId="0" shapeId="0">
      <text>
        <t>Relate net income to average reformulated equity.</t>
      </text>
    </comment>
    <comment ref="D12" authorId="0" shapeId="0">
      <text>
        <t>Relate net income to average reformulated equity.</t>
      </text>
    </comment>
    <comment ref="E12" authorId="0" shapeId="0">
      <text>
        <t>Relate net income to average reformulated equity.</t>
      </text>
    </comment>
    <comment ref="F12" authorId="0" shapeId="0">
      <text>
        <t>Relate net income to average reformulated equity.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6" customWidth="1" min="1" max="1"/>
    <col width="36" customWidth="1" min="2" max="2"/>
    <col width="22" customWidth="1" min="3" max="3"/>
    <col width="22" customWidth="1" min="4" max="4"/>
    <col width="28" customWidth="1" min="5" max="5"/>
    <col width="28" customWidth="1" min="6" max="6"/>
  </cols>
  <sheetData>
    <row r="1">
      <c r="A1" s="7" t="inlineStr">
        <is>
          <t>BAV Excel Trainer</t>
        </is>
      </c>
    </row>
    <row r="2">
      <c r="A2" s="8" t="inlineStr">
        <is>
          <t>Complete each historical schedule left-to-right in dependency order. Each schedule is one modeling concept repeated across fiscal periods. Run Check to validate every yellow cell in the workbook. Open the matching Answer Key for the formula/input and Note hint.</t>
        </is>
      </c>
    </row>
    <row r="4">
      <c r="A4" s="9" t="inlineStr">
        <is>
          <t>Order</t>
        </is>
      </c>
      <c r="B4" s="9" t="inlineStr">
        <is>
          <t>Schedule</t>
        </is>
      </c>
      <c r="C4" s="9" t="inlineStr">
        <is>
          <t>Period scope</t>
        </is>
      </c>
      <c r="D4" s="9" t="inlineStr">
        <is>
          <t>Tab</t>
        </is>
      </c>
      <c r="E4" s="9" t="inlineStr">
        <is>
          <t>Practice cells</t>
        </is>
      </c>
      <c r="F4" s="9" t="inlineStr">
        <is>
          <t>Depends on</t>
        </is>
      </c>
    </row>
    <row r="5">
      <c r="A5" s="8" t="n">
        <v>1</v>
      </c>
      <c r="B5" s="8" t="inlineStr">
        <is>
          <t>Revenue historical source link</t>
        </is>
      </c>
      <c r="C5" s="8" t="inlineStr">
        <is>
          <t>2021–2025 (5 cells)</t>
        </is>
      </c>
      <c r="D5" s="8" t="inlineStr">
        <is>
          <t>Condensed Financials</t>
        </is>
      </c>
      <c r="E5" s="8" t="inlineStr">
        <is>
          <t>B18:F18</t>
        </is>
      </c>
      <c r="F5" s="8" t="inlineStr">
        <is>
          <t>—</t>
        </is>
      </c>
    </row>
    <row r="6">
      <c r="A6" s="8" t="n">
        <v>2</v>
      </c>
      <c r="B6" s="8" t="inlineStr">
        <is>
          <t>Net Income historical source link</t>
        </is>
      </c>
      <c r="C6" s="8" t="inlineStr">
        <is>
          <t>2021–2025 (5 cells)</t>
        </is>
      </c>
      <c r="D6" s="8" t="inlineStr">
        <is>
          <t>Condensed Financials</t>
        </is>
      </c>
      <c r="E6" s="8" t="inlineStr">
        <is>
          <t>B19:F19</t>
        </is>
      </c>
      <c r="F6" s="8" t="inlineStr">
        <is>
          <t>—</t>
        </is>
      </c>
    </row>
    <row r="7">
      <c r="A7" s="8" t="n">
        <v>3</v>
      </c>
      <c r="B7" s="8" t="inlineStr">
        <is>
          <t>Effective tax rate</t>
        </is>
      </c>
      <c r="C7" s="8" t="inlineStr">
        <is>
          <t>2021–2025 (5 cells)</t>
        </is>
      </c>
      <c r="D7" s="8" t="inlineStr">
        <is>
          <t>Condensed Financials</t>
        </is>
      </c>
      <c r="E7" s="8" t="inlineStr">
        <is>
          <t>B24:F24</t>
        </is>
      </c>
      <c r="F7" s="8" t="inlineStr">
        <is>
          <t>—</t>
        </is>
      </c>
    </row>
    <row r="8">
      <c r="A8" s="8" t="n">
        <v>4</v>
      </c>
      <c r="B8" s="8" t="inlineStr">
        <is>
          <t>Net interest</t>
        </is>
      </c>
      <c r="C8" s="8" t="inlineStr">
        <is>
          <t>2021–2025 (5 cells)</t>
        </is>
      </c>
      <c r="D8" s="8" t="inlineStr">
        <is>
          <t>Condensed Financials</t>
        </is>
      </c>
      <c r="E8" s="8" t="inlineStr">
        <is>
          <t>B25:F25</t>
        </is>
      </c>
      <c r="F8" s="8" t="inlineStr">
        <is>
          <t>—</t>
        </is>
      </c>
    </row>
    <row r="9">
      <c r="A9" s="8" t="n">
        <v>5</v>
      </c>
      <c r="B9" s="8" t="inlineStr">
        <is>
          <t>Net interest after tax</t>
        </is>
      </c>
      <c r="C9" s="8" t="inlineStr">
        <is>
          <t>2021–2025 (5 cells)</t>
        </is>
      </c>
      <c r="D9" s="8" t="inlineStr">
        <is>
          <t>Condensed Financials</t>
        </is>
      </c>
      <c r="E9" s="8" t="inlineStr">
        <is>
          <t>B26:F26</t>
        </is>
      </c>
      <c r="F9" s="8" t="inlineStr">
        <is>
          <t>effective_tax_rate_fy, net_interest_fy</t>
        </is>
      </c>
    </row>
    <row r="10">
      <c r="A10" s="8" t="n">
        <v>6</v>
      </c>
      <c r="B10" s="8" t="inlineStr">
        <is>
          <t>NOPAT</t>
        </is>
      </c>
      <c r="C10" s="8" t="inlineStr">
        <is>
          <t>2021–2025 (5 cells)</t>
        </is>
      </c>
      <c r="D10" s="8" t="inlineStr">
        <is>
          <t>Condensed Financials</t>
        </is>
      </c>
      <c r="E10" s="8" t="inlineStr">
        <is>
          <t>B27:F27</t>
        </is>
      </c>
      <c r="F10" s="8" t="inlineStr">
        <is>
          <t>net_income_link, net_interest_after_tax_fy</t>
        </is>
      </c>
    </row>
    <row r="11">
      <c r="A11" s="8" t="n">
        <v>7</v>
      </c>
      <c r="B11" s="8" t="inlineStr">
        <is>
          <t>Operating working capital assets</t>
        </is>
      </c>
      <c r="C11" s="8" t="inlineStr">
        <is>
          <t>2021–2025 (5 cells)</t>
        </is>
      </c>
      <c r="D11" s="8" t="inlineStr">
        <is>
          <t>Condensed Financials</t>
        </is>
      </c>
      <c r="E11" s="8" t="inlineStr">
        <is>
          <t>B30:F30</t>
        </is>
      </c>
      <c r="F11" s="8" t="inlineStr">
        <is>
          <t>—</t>
        </is>
      </c>
    </row>
    <row r="12">
      <c r="A12" s="8" t="n">
        <v>8</v>
      </c>
      <c r="B12" s="8" t="inlineStr">
        <is>
          <t>Operating working capital liabilities</t>
        </is>
      </c>
      <c r="C12" s="8" t="inlineStr">
        <is>
          <t>2021–2025 (5 cells)</t>
        </is>
      </c>
      <c r="D12" s="8" t="inlineStr">
        <is>
          <t>Condensed Financials</t>
        </is>
      </c>
      <c r="E12" s="8" t="inlineStr">
        <is>
          <t>B31:F31</t>
        </is>
      </c>
      <c r="F12" s="8" t="inlineStr">
        <is>
          <t>—</t>
        </is>
      </c>
    </row>
    <row r="13">
      <c r="A13" s="8" t="n">
        <v>9</v>
      </c>
      <c r="B13" s="8" t="inlineStr">
        <is>
          <t>Net Operating Working Capital (NOWC)</t>
        </is>
      </c>
      <c r="C13" s="8" t="inlineStr">
        <is>
          <t>2021–2025 (5 cells)</t>
        </is>
      </c>
      <c r="D13" s="8" t="inlineStr">
        <is>
          <t>Condensed Financials</t>
        </is>
      </c>
      <c r="E13" s="8" t="inlineStr">
        <is>
          <t>B32:F32</t>
        </is>
      </c>
      <c r="F13" s="8" t="inlineStr">
        <is>
          <t>owca_agg, owcl_agg</t>
        </is>
      </c>
    </row>
    <row r="14">
      <c r="A14" s="8" t="n">
        <v>10</v>
      </c>
      <c r="B14" s="8" t="inlineStr">
        <is>
          <t>Operating long-term assets</t>
        </is>
      </c>
      <c r="C14" s="8" t="inlineStr">
        <is>
          <t>2021–2025 (5 cells)</t>
        </is>
      </c>
      <c r="D14" s="8" t="inlineStr">
        <is>
          <t>Condensed Financials</t>
        </is>
      </c>
      <c r="E14" s="8" t="inlineStr">
        <is>
          <t>B33:F33</t>
        </is>
      </c>
      <c r="F14" s="8" t="inlineStr">
        <is>
          <t>—</t>
        </is>
      </c>
    </row>
    <row r="15">
      <c r="A15" s="8" t="n">
        <v>11</v>
      </c>
      <c r="B15" s="8" t="inlineStr">
        <is>
          <t>Operating long-term liabilities</t>
        </is>
      </c>
      <c r="C15" s="8" t="inlineStr">
        <is>
          <t>2021–2025 (5 cells)</t>
        </is>
      </c>
      <c r="D15" s="8" t="inlineStr">
        <is>
          <t>Condensed Financials</t>
        </is>
      </c>
      <c r="E15" s="8" t="inlineStr">
        <is>
          <t>B34:F34</t>
        </is>
      </c>
      <c r="F15" s="8" t="inlineStr">
        <is>
          <t>—</t>
        </is>
      </c>
    </row>
    <row r="16">
      <c r="A16" s="8" t="n">
        <v>12</v>
      </c>
      <c r="B16" s="8" t="inlineStr">
        <is>
          <t>Net operating long-term assets (NOLA)</t>
        </is>
      </c>
      <c r="C16" s="8" t="inlineStr">
        <is>
          <t>2021–2025 (5 cells)</t>
        </is>
      </c>
      <c r="D16" s="8" t="inlineStr">
        <is>
          <t>Condensed Financials</t>
        </is>
      </c>
      <c r="E16" s="8" t="inlineStr">
        <is>
          <t>B35:F35</t>
        </is>
      </c>
      <c r="F16" s="8" t="inlineStr">
        <is>
          <t>olta_agg, oltl_agg</t>
        </is>
      </c>
    </row>
    <row r="17">
      <c r="A17" s="8" t="n">
        <v>13</v>
      </c>
      <c r="B17" s="8" t="inlineStr">
        <is>
          <t>Net Operating Assets (NOA)</t>
        </is>
      </c>
      <c r="C17" s="8" t="inlineStr">
        <is>
          <t>2021–2025 (5 cells)</t>
        </is>
      </c>
      <c r="D17" s="8" t="inlineStr">
        <is>
          <t>Condensed Financials</t>
        </is>
      </c>
      <c r="E17" s="8" t="inlineStr">
        <is>
          <t>B36:F36</t>
        </is>
      </c>
      <c r="F17" s="8" t="inlineStr">
        <is>
          <t>nowc_agg, nola_agg</t>
        </is>
      </c>
    </row>
    <row r="18">
      <c r="A18" s="8" t="n">
        <v>14</v>
      </c>
      <c r="B18" s="8" t="inlineStr">
        <is>
          <t>Financial assets</t>
        </is>
      </c>
      <c r="C18" s="8" t="inlineStr">
        <is>
          <t>2021–2025 (5 cells)</t>
        </is>
      </c>
      <c r="D18" s="8" t="inlineStr">
        <is>
          <t>Condensed Financials</t>
        </is>
      </c>
      <c r="E18" s="8" t="inlineStr">
        <is>
          <t>B37:F37</t>
        </is>
      </c>
      <c r="F18" s="8" t="inlineStr">
        <is>
          <t>—</t>
        </is>
      </c>
    </row>
    <row r="19">
      <c r="A19" s="8" t="n">
        <v>15</v>
      </c>
      <c r="B19" s="8" t="inlineStr">
        <is>
          <t>Financial liabilities</t>
        </is>
      </c>
      <c r="C19" s="8" t="inlineStr">
        <is>
          <t>2021–2025 (5 cells)</t>
        </is>
      </c>
      <c r="D19" s="8" t="inlineStr">
        <is>
          <t>Condensed Financials</t>
        </is>
      </c>
      <c r="E19" s="8" t="inlineStr">
        <is>
          <t>B38:F38</t>
        </is>
      </c>
      <c r="F19" s="8" t="inlineStr">
        <is>
          <t>—</t>
        </is>
      </c>
    </row>
    <row r="20">
      <c r="A20" s="8" t="n">
        <v>16</v>
      </c>
      <c r="B20" s="8" t="inlineStr">
        <is>
          <t>Net Debt</t>
        </is>
      </c>
      <c r="C20" s="8" t="inlineStr">
        <is>
          <t>2021–2025 (5 cells)</t>
        </is>
      </c>
      <c r="D20" s="8" t="inlineStr">
        <is>
          <t>Condensed Financials</t>
        </is>
      </c>
      <c r="E20" s="8" t="inlineStr">
        <is>
          <t>B39:F39</t>
        </is>
      </c>
      <c r="F20" s="8" t="inlineStr">
        <is>
          <t>financial_assets_agg, financial_liabilities_agg</t>
        </is>
      </c>
    </row>
    <row r="21">
      <c r="A21" s="8" t="n">
        <v>17</v>
      </c>
      <c r="B21" s="8" t="inlineStr">
        <is>
          <t>Reformulated equity</t>
        </is>
      </c>
      <c r="C21" s="8" t="inlineStr">
        <is>
          <t>2021–2025 (5 cells)</t>
        </is>
      </c>
      <c r="D21" s="8" t="inlineStr">
        <is>
          <t>Condensed Financials</t>
        </is>
      </c>
      <c r="E21" s="8" t="inlineStr">
        <is>
          <t>B40:F40</t>
        </is>
      </c>
      <c r="F21" s="8" t="inlineStr">
        <is>
          <t>noa_agg, net_debt</t>
        </is>
      </c>
    </row>
    <row r="22">
      <c r="A22" s="8" t="n">
        <v>18</v>
      </c>
      <c r="B22" s="8" t="inlineStr">
        <is>
          <t>Sales Growth</t>
        </is>
      </c>
      <c r="C22" s="8" t="inlineStr">
        <is>
          <t>2022–2025 (4 cells)</t>
        </is>
      </c>
      <c r="D22" s="8" t="inlineStr">
        <is>
          <t>ALT DuPont</t>
        </is>
      </c>
      <c r="E22" s="8" t="inlineStr">
        <is>
          <t>C5:F5</t>
        </is>
      </c>
      <c r="F22" s="8" t="inlineStr">
        <is>
          <t>revenue_link</t>
        </is>
      </c>
    </row>
    <row r="23">
      <c r="A23" s="8" t="n">
        <v>19</v>
      </c>
      <c r="B23" s="8" t="inlineStr">
        <is>
          <t>NOPAT Margin</t>
        </is>
      </c>
      <c r="C23" s="8" t="inlineStr">
        <is>
          <t>2021–2025 (5 cells)</t>
        </is>
      </c>
      <c r="D23" s="8" t="inlineStr">
        <is>
          <t>ALT DuPont</t>
        </is>
      </c>
      <c r="E23" s="8" t="inlineStr">
        <is>
          <t>B6:F6</t>
        </is>
      </c>
      <c r="F23" s="8" t="inlineStr">
        <is>
          <t>nopat_fy, revenue_link</t>
        </is>
      </c>
    </row>
    <row r="24">
      <c r="A24" s="8" t="n">
        <v>20</v>
      </c>
      <c r="B24" s="8" t="inlineStr">
        <is>
          <t>Return on Net Operating Assets (RNOA)</t>
        </is>
      </c>
      <c r="C24" s="8" t="inlineStr">
        <is>
          <t>2022–2025 (4 cells)</t>
        </is>
      </c>
      <c r="D24" s="8" t="inlineStr">
        <is>
          <t>ALT DuPont</t>
        </is>
      </c>
      <c r="E24" s="8" t="inlineStr">
        <is>
          <t>C7:F7</t>
        </is>
      </c>
      <c r="F24" s="8" t="inlineStr">
        <is>
          <t>nopat_fy, noa_agg</t>
        </is>
      </c>
    </row>
    <row r="25">
      <c r="A25" s="8" t="n">
        <v>21</v>
      </c>
      <c r="B25" s="8" t="inlineStr">
        <is>
          <t>After-tax cost of debt</t>
        </is>
      </c>
      <c r="C25" s="8" t="inlineStr">
        <is>
          <t>2022–2025 (4 cells)</t>
        </is>
      </c>
      <c r="D25" s="8" t="inlineStr">
        <is>
          <t>ALT DuPont</t>
        </is>
      </c>
      <c r="E25" s="8" t="inlineStr">
        <is>
          <t>C8:F8</t>
        </is>
      </c>
      <c r="F25" s="8" t="inlineStr">
        <is>
          <t>net_interest_after_tax_fy, net_debt</t>
        </is>
      </c>
    </row>
    <row r="26">
      <c r="A26" s="8" t="n">
        <v>22</v>
      </c>
      <c r="B26" s="8" t="inlineStr">
        <is>
          <t>Operating Spread (RNOA − After-tax CoD)</t>
        </is>
      </c>
      <c r="C26" s="8" t="inlineStr">
        <is>
          <t>2022–2025 (4 cells)</t>
        </is>
      </c>
      <c r="D26" s="8" t="inlineStr">
        <is>
          <t>ALT DuPont</t>
        </is>
      </c>
      <c r="E26" s="8" t="inlineStr">
        <is>
          <t>C9:F9</t>
        </is>
      </c>
      <c r="F26" s="8" t="inlineStr">
        <is>
          <t>rnoa, after_tax_cod</t>
        </is>
      </c>
    </row>
    <row r="27">
      <c r="A27" s="8" t="n">
        <v>23</v>
      </c>
      <c r="B27" s="8" t="inlineStr">
        <is>
          <t>Financial leverage (FLEV)</t>
        </is>
      </c>
      <c r="C27" s="8" t="inlineStr">
        <is>
          <t>2022–2025 (4 cells)</t>
        </is>
      </c>
      <c r="D27" s="8" t="inlineStr">
        <is>
          <t>ALT DuPont</t>
        </is>
      </c>
      <c r="E27" s="8" t="inlineStr">
        <is>
          <t>C10:F10</t>
        </is>
      </c>
      <c r="F27" s="8" t="inlineStr">
        <is>
          <t>net_debt, equity_reformulated_fy</t>
        </is>
      </c>
    </row>
    <row r="28">
      <c r="A28" s="8" t="n">
        <v>24</v>
      </c>
      <c r="B28" s="8" t="inlineStr">
        <is>
          <t>ROE decomposition</t>
        </is>
      </c>
      <c r="C28" s="8" t="inlineStr">
        <is>
          <t>2022–2025 (4 cells)</t>
        </is>
      </c>
      <c r="D28" s="8" t="inlineStr">
        <is>
          <t>ALT DuPont</t>
        </is>
      </c>
      <c r="E28" s="8" t="inlineStr">
        <is>
          <t>C11:F11</t>
        </is>
      </c>
      <c r="F28" s="8" t="inlineStr">
        <is>
          <t>rnoa, spread, flev</t>
        </is>
      </c>
    </row>
    <row r="29">
      <c r="A29" s="8" t="n">
        <v>25</v>
      </c>
      <c r="B29" s="8" t="inlineStr">
        <is>
          <t>Actual ROE</t>
        </is>
      </c>
      <c r="C29" s="8" t="inlineStr">
        <is>
          <t>2022–2025 (4 cells)</t>
        </is>
      </c>
      <c r="D29" s="8" t="inlineStr">
        <is>
          <t>ALT DuPont</t>
        </is>
      </c>
      <c r="E29" s="8" t="inlineStr">
        <is>
          <t>C12:F12</t>
        </is>
      </c>
      <c r="F29" s="8" t="inlineStr">
        <is>
          <t>net_income_link, equity_reformulated_fy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0" t="inlineStr">
        <is>
          <t>Company: Demo Holdings Limited (DEMO)</t>
        </is>
      </c>
    </row>
    <row r="2">
      <c r="A2" s="11" t="inlineStr">
        <is>
          <t>Statement: Income Statement</t>
        </is>
      </c>
    </row>
    <row r="3">
      <c r="A3" s="11" t="inlineStr">
        <is>
          <t>Units: HKD in Millions</t>
        </is>
      </c>
    </row>
    <row r="4">
      <c r="A4" s="11" t="inlineStr">
        <is>
          <t>Source: manual ingestion (HK)</t>
        </is>
      </c>
    </row>
    <row r="5"/>
    <row r="6">
      <c r="A6" s="9" t="inlineStr">
        <is>
          <t>Line Item</t>
        </is>
      </c>
      <c r="B6" s="12" t="n">
        <v>44561</v>
      </c>
      <c r="C6" s="12" t="n">
        <v>44926</v>
      </c>
      <c r="D6" s="12" t="n">
        <v>45291</v>
      </c>
      <c r="E6" s="12" t="n">
        <v>45657</v>
      </c>
      <c r="F6" s="12" t="n">
        <v>46022</v>
      </c>
    </row>
    <row r="7">
      <c r="A7" s="8" t="inlineStr">
        <is>
          <t>Revenue</t>
        </is>
      </c>
      <c r="B7" s="13" t="n">
        <v>8500</v>
      </c>
      <c r="C7" s="13" t="n">
        <v>9200</v>
      </c>
      <c r="D7" s="13" t="n">
        <v>10100</v>
      </c>
      <c r="E7" s="13" t="n">
        <v>11200</v>
      </c>
      <c r="F7" s="13" t="n">
        <v>12500</v>
      </c>
    </row>
    <row r="8">
      <c r="A8" s="11" t="inlineStr">
        <is>
          <t>Cost of sales</t>
        </is>
      </c>
      <c r="B8" s="14" t="n">
        <v>-3400</v>
      </c>
      <c r="C8" s="14" t="n">
        <v>-3680</v>
      </c>
      <c r="D8" s="14" t="n">
        <v>-4040</v>
      </c>
      <c r="E8" s="14" t="n">
        <v>-4480</v>
      </c>
      <c r="F8" s="14" t="n">
        <v>-5000</v>
      </c>
    </row>
    <row r="9">
      <c r="A9" s="11" t="inlineStr">
        <is>
          <t>Gross profit</t>
        </is>
      </c>
      <c r="B9" s="14" t="n">
        <v>5100</v>
      </c>
      <c r="C9" s="14" t="n">
        <v>5520</v>
      </c>
      <c r="D9" s="14" t="n">
        <v>6060</v>
      </c>
      <c r="E9" s="14" t="n">
        <v>6720</v>
      </c>
      <c r="F9" s="14" t="n">
        <v>7500</v>
      </c>
    </row>
    <row r="10">
      <c r="A10" s="11" t="inlineStr">
        <is>
          <t>Administrative expenses</t>
        </is>
      </c>
      <c r="B10" s="14" t="n">
        <v>-1700</v>
      </c>
      <c r="C10" s="14" t="n">
        <v>-1840</v>
      </c>
      <c r="D10" s="14" t="n">
        <v>-2020</v>
      </c>
      <c r="E10" s="14" t="n">
        <v>-2240</v>
      </c>
      <c r="F10" s="14" t="n">
        <v>-2500</v>
      </c>
    </row>
    <row r="11">
      <c r="A11" s="11" t="inlineStr">
        <is>
          <t>Operating profit</t>
        </is>
      </c>
      <c r="B11" s="14" t="n">
        <v>3400</v>
      </c>
      <c r="C11" s="14" t="n">
        <v>3680</v>
      </c>
      <c r="D11" s="14" t="n">
        <v>4040</v>
      </c>
      <c r="E11" s="14" t="n">
        <v>4480</v>
      </c>
      <c r="F11" s="14" t="n">
        <v>5000</v>
      </c>
    </row>
    <row r="12">
      <c r="A12" s="11" t="inlineStr">
        <is>
          <t>Finance costs</t>
        </is>
      </c>
      <c r="B12" s="14" t="n">
        <v>-120</v>
      </c>
      <c r="C12" s="14" t="n">
        <v>-130</v>
      </c>
      <c r="D12" s="14" t="n">
        <v>-140</v>
      </c>
      <c r="E12" s="14" t="n">
        <v>-150</v>
      </c>
      <c r="F12" s="14" t="n">
        <v>-160</v>
      </c>
    </row>
    <row r="13">
      <c r="A13" s="11" t="inlineStr">
        <is>
          <t>Finance income</t>
        </is>
      </c>
      <c r="B13" s="14" t="n">
        <v>45</v>
      </c>
      <c r="C13" s="14" t="n">
        <v>50</v>
      </c>
      <c r="D13" s="14" t="n">
        <v>55</v>
      </c>
      <c r="E13" s="14" t="n">
        <v>60</v>
      </c>
      <c r="F13" s="14" t="n">
        <v>65</v>
      </c>
    </row>
    <row r="14">
      <c r="A14" s="11" t="inlineStr">
        <is>
          <t>Profit before tax</t>
        </is>
      </c>
      <c r="B14" s="14" t="n">
        <v>3325</v>
      </c>
      <c r="C14" s="14" t="n">
        <v>3600</v>
      </c>
      <c r="D14" s="14" t="n">
        <v>3955</v>
      </c>
      <c r="E14" s="14" t="n">
        <v>4390</v>
      </c>
      <c r="F14" s="14" t="n">
        <v>4905</v>
      </c>
    </row>
    <row r="15">
      <c r="A15" s="11" t="inlineStr">
        <is>
          <t>Income tax expense</t>
        </is>
      </c>
      <c r="B15" s="14" t="n">
        <v>-565</v>
      </c>
      <c r="C15" s="14" t="n">
        <v>-612</v>
      </c>
      <c r="D15" s="14" t="n">
        <v>-672</v>
      </c>
      <c r="E15" s="14" t="n">
        <v>-746</v>
      </c>
      <c r="F15" s="14" t="n">
        <v>-833</v>
      </c>
    </row>
    <row r="16">
      <c r="A16" s="11" t="inlineStr">
        <is>
          <t>Profit for the year</t>
        </is>
      </c>
      <c r="B16" s="14" t="n">
        <v>2760</v>
      </c>
      <c r="C16" s="14" t="n">
        <v>2988</v>
      </c>
      <c r="D16" s="14" t="n">
        <v>3283</v>
      </c>
      <c r="E16" s="14" t="n">
        <v>3644</v>
      </c>
      <c r="F16" s="14" t="n">
        <v>4072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0" t="inlineStr">
        <is>
          <t>Company: Demo Holdings Limited (DEMO)</t>
        </is>
      </c>
    </row>
    <row r="2">
      <c r="A2" s="11" t="inlineStr">
        <is>
          <t>Statement: Balance Sheet</t>
        </is>
      </c>
    </row>
    <row r="3">
      <c r="A3" s="11" t="inlineStr">
        <is>
          <t>Units: HKD in Millions</t>
        </is>
      </c>
    </row>
    <row r="4">
      <c r="A4" s="11" t="inlineStr">
        <is>
          <t>Source: manual ingestion (HK)</t>
        </is>
      </c>
    </row>
    <row r="5"/>
    <row r="6">
      <c r="A6" s="9" t="inlineStr">
        <is>
          <t>Line Item</t>
        </is>
      </c>
      <c r="B6" s="12" t="n">
        <v>44561</v>
      </c>
      <c r="C6" s="12" t="n">
        <v>44926</v>
      </c>
      <c r="D6" s="12" t="n">
        <v>45291</v>
      </c>
      <c r="E6" s="12" t="n">
        <v>45657</v>
      </c>
      <c r="F6" s="12" t="n">
        <v>46022</v>
      </c>
    </row>
    <row r="7">
      <c r="A7" s="11" t="inlineStr">
        <is>
          <t>Cash and cash equivalents</t>
        </is>
      </c>
      <c r="B7" s="14" t="n">
        <v>1200</v>
      </c>
      <c r="C7" s="14" t="n">
        <v>1350</v>
      </c>
      <c r="D7" s="14" t="n">
        <v>1500</v>
      </c>
      <c r="E7" s="14" t="n">
        <v>1680</v>
      </c>
      <c r="F7" s="14" t="n">
        <v>1850</v>
      </c>
    </row>
    <row r="8">
      <c r="A8" s="11" t="inlineStr">
        <is>
          <t>Trade receivables</t>
        </is>
      </c>
      <c r="B8" s="14" t="n">
        <v>850</v>
      </c>
      <c r="C8" s="14" t="n">
        <v>920</v>
      </c>
      <c r="D8" s="14" t="n">
        <v>1010</v>
      </c>
      <c r="E8" s="14" t="n">
        <v>1120</v>
      </c>
      <c r="F8" s="14" t="n">
        <v>1250</v>
      </c>
    </row>
    <row r="9">
      <c r="A9" s="8" t="inlineStr">
        <is>
          <t>Inventories</t>
        </is>
      </c>
      <c r="B9" s="13" t="n">
        <v>680</v>
      </c>
      <c r="C9" s="13" t="n">
        <v>736</v>
      </c>
      <c r="D9" s="13" t="n">
        <v>808</v>
      </c>
      <c r="E9" s="13" t="n">
        <v>896</v>
      </c>
      <c r="F9" s="13" t="n">
        <v>1000</v>
      </c>
    </row>
    <row r="10">
      <c r="A10" s="11" t="inlineStr">
        <is>
          <t>Property, plant and equipment</t>
        </is>
      </c>
      <c r="B10" s="14" t="n">
        <v>3200</v>
      </c>
      <c r="C10" s="14" t="n">
        <v>3400</v>
      </c>
      <c r="D10" s="14" t="n">
        <v>3600</v>
      </c>
      <c r="E10" s="14" t="n">
        <v>3800</v>
      </c>
      <c r="F10" s="14" t="n">
        <v>4000</v>
      </c>
    </row>
    <row r="11">
      <c r="A11" s="8" t="inlineStr">
        <is>
          <t>Goodwill</t>
        </is>
      </c>
      <c r="B11" s="13" t="n">
        <v>900</v>
      </c>
      <c r="C11" s="13" t="n">
        <v>900</v>
      </c>
      <c r="D11" s="13" t="n">
        <v>900</v>
      </c>
      <c r="E11" s="13" t="n">
        <v>900</v>
      </c>
      <c r="F11" s="13" t="n">
        <v>900</v>
      </c>
    </row>
    <row r="12">
      <c r="A12" s="11" t="inlineStr">
        <is>
          <t>Other non-current assets</t>
        </is>
      </c>
      <c r="B12" s="14" t="n">
        <v>1670</v>
      </c>
      <c r="C12" s="14" t="n">
        <v>1894</v>
      </c>
      <c r="D12" s="14" t="n">
        <v>2282</v>
      </c>
      <c r="E12" s="14" t="n">
        <v>2804</v>
      </c>
      <c r="F12" s="14" t="n">
        <v>3500</v>
      </c>
    </row>
    <row r="13">
      <c r="A13" s="11" t="inlineStr">
        <is>
          <t>Total assets</t>
        </is>
      </c>
      <c r="B13" s="14" t="n">
        <v>8500</v>
      </c>
      <c r="C13" s="14" t="n">
        <v>9200</v>
      </c>
      <c r="D13" s="14" t="n">
        <v>10100</v>
      </c>
      <c r="E13" s="14" t="n">
        <v>11200</v>
      </c>
      <c r="F13" s="14" t="n">
        <v>12500</v>
      </c>
    </row>
    <row r="14">
      <c r="A14" s="11" t="inlineStr">
        <is>
          <t>Trade payables</t>
        </is>
      </c>
      <c r="B14" s="14" t="n">
        <v>595</v>
      </c>
      <c r="C14" s="14" t="n">
        <v>644</v>
      </c>
      <c r="D14" s="14" t="n">
        <v>707</v>
      </c>
      <c r="E14" s="14" t="n">
        <v>784</v>
      </c>
      <c r="F14" s="14" t="n">
        <v>875</v>
      </c>
    </row>
    <row r="15">
      <c r="A15" s="11" t="inlineStr">
        <is>
          <t>Bank borrowings</t>
        </is>
      </c>
      <c r="B15" s="14" t="n">
        <v>1500</v>
      </c>
      <c r="C15" s="14" t="n">
        <v>1400</v>
      </c>
      <c r="D15" s="14" t="n">
        <v>1300</v>
      </c>
      <c r="E15" s="14" t="n">
        <v>1200</v>
      </c>
      <c r="F15" s="14" t="n">
        <v>1100</v>
      </c>
    </row>
    <row r="16">
      <c r="A16" s="11" t="inlineStr">
        <is>
          <t>Other non-current liabilities</t>
        </is>
      </c>
      <c r="B16" s="14" t="n">
        <v>1305</v>
      </c>
      <c r="C16" s="14" t="n">
        <v>1456</v>
      </c>
      <c r="D16" s="14" t="n">
        <v>1593</v>
      </c>
      <c r="E16" s="14" t="n">
        <v>1716</v>
      </c>
      <c r="F16" s="14" t="n">
        <v>1825</v>
      </c>
    </row>
    <row r="17">
      <c r="A17" s="11" t="inlineStr">
        <is>
          <t>Total liabilities</t>
        </is>
      </c>
      <c r="B17" s="14" t="n">
        <v>3400</v>
      </c>
      <c r="C17" s="14" t="n">
        <v>3500</v>
      </c>
      <c r="D17" s="14" t="n">
        <v>3600</v>
      </c>
      <c r="E17" s="14" t="n">
        <v>3700</v>
      </c>
      <c r="F17" s="14" t="n">
        <v>3800</v>
      </c>
    </row>
    <row r="18">
      <c r="A18" s="11" t="inlineStr">
        <is>
          <t>Share capital and reserves</t>
        </is>
      </c>
      <c r="B18" s="14" t="n">
        <v>5100</v>
      </c>
      <c r="C18" s="14" t="n">
        <v>5700</v>
      </c>
      <c r="D18" s="14" t="n">
        <v>6500</v>
      </c>
      <c r="E18" s="14" t="n">
        <v>7500</v>
      </c>
      <c r="F18" s="14" t="n">
        <v>8700</v>
      </c>
    </row>
    <row r="19">
      <c r="A19" s="11" t="inlineStr">
        <is>
          <t>Total equity</t>
        </is>
      </c>
      <c r="B19" s="14" t="n">
        <v>5100</v>
      </c>
      <c r="C19" s="14" t="n">
        <v>5700</v>
      </c>
      <c r="D19" s="14" t="n">
        <v>6500</v>
      </c>
      <c r="E19" s="14" t="n">
        <v>7500</v>
      </c>
      <c r="F19" s="14" t="n">
        <v>8700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0" t="inlineStr">
        <is>
          <t>Company: Demo Holdings Limited (DEMO)</t>
        </is>
      </c>
    </row>
    <row r="2">
      <c r="A2" s="11" t="inlineStr">
        <is>
          <t>Statement: Cash Flow Statement</t>
        </is>
      </c>
    </row>
    <row r="3">
      <c r="A3" s="11" t="inlineStr">
        <is>
          <t>Units: HKD in Millions</t>
        </is>
      </c>
    </row>
    <row r="4">
      <c r="A4" s="11" t="inlineStr">
        <is>
          <t>Source: manual ingestion (HK)</t>
        </is>
      </c>
    </row>
    <row r="5"/>
    <row r="6">
      <c r="A6" s="9" t="inlineStr">
        <is>
          <t>Line Item</t>
        </is>
      </c>
      <c r="B6" s="12" t="n">
        <v>44561</v>
      </c>
      <c r="C6" s="12" t="n">
        <v>44926</v>
      </c>
      <c r="D6" s="12" t="n">
        <v>45291</v>
      </c>
      <c r="E6" s="12" t="n">
        <v>45657</v>
      </c>
      <c r="F6" s="12" t="n">
        <v>46022</v>
      </c>
    </row>
    <row r="7">
      <c r="A7" s="11" t="inlineStr">
        <is>
          <t>Profit for the year</t>
        </is>
      </c>
      <c r="B7" s="14" t="n">
        <v>2760</v>
      </c>
      <c r="C7" s="14" t="n">
        <v>2988</v>
      </c>
      <c r="D7" s="14" t="n">
        <v>3283</v>
      </c>
      <c r="E7" s="14" t="n">
        <v>3644</v>
      </c>
      <c r="F7" s="14" t="n">
        <v>4072</v>
      </c>
    </row>
    <row r="8">
      <c r="A8" s="11" t="inlineStr">
        <is>
          <t>Depreciation and amortisation</t>
        </is>
      </c>
      <c r="B8" s="14" t="n">
        <v>340</v>
      </c>
      <c r="C8" s="14" t="n">
        <v>368</v>
      </c>
      <c r="D8" s="14" t="n">
        <v>404</v>
      </c>
      <c r="E8" s="14" t="n">
        <v>448</v>
      </c>
      <c r="F8" s="14" t="n">
        <v>500</v>
      </c>
    </row>
    <row r="9">
      <c r="A9" s="11" t="inlineStr">
        <is>
          <t>Net cash from operating activities</t>
        </is>
      </c>
      <c r="B9" s="14" t="n">
        <v>1450</v>
      </c>
      <c r="C9" s="14" t="n">
        <v>1600</v>
      </c>
      <c r="D9" s="14" t="n">
        <v>1750</v>
      </c>
      <c r="E9" s="14" t="n">
        <v>1930</v>
      </c>
      <c r="F9" s="14" t="n">
        <v>2070</v>
      </c>
    </row>
    <row r="10">
      <c r="A10" s="11" t="inlineStr">
        <is>
          <t>Net cash used in investing activities</t>
        </is>
      </c>
      <c r="B10" s="14" t="n">
        <v>-800</v>
      </c>
      <c r="C10" s="14" t="n">
        <v>-850</v>
      </c>
      <c r="D10" s="14" t="n">
        <v>-900</v>
      </c>
      <c r="E10" s="14" t="n">
        <v>-950</v>
      </c>
      <c r="F10" s="14" t="n">
        <v>-1000</v>
      </c>
    </row>
    <row r="11">
      <c r="A11" s="11" t="inlineStr">
        <is>
          <t>Net cash from financing activities</t>
        </is>
      </c>
      <c r="B11" s="14" t="n">
        <v>-500</v>
      </c>
      <c r="C11" s="14" t="n">
        <v>-600</v>
      </c>
      <c r="D11" s="14" t="n">
        <v>-700</v>
      </c>
      <c r="E11" s="14" t="n">
        <v>-800</v>
      </c>
      <c r="F11" s="14" t="n">
        <v>-900</v>
      </c>
    </row>
    <row r="12">
      <c r="A12" s="11" t="inlineStr">
        <is>
          <t>Net change in cash and cash equivalents</t>
        </is>
      </c>
      <c r="B12" s="14" t="n">
        <v>150</v>
      </c>
      <c r="C12" s="14" t="n">
        <v>150</v>
      </c>
      <c r="D12" s="14" t="n">
        <v>150</v>
      </c>
      <c r="E12" s="14" t="n">
        <v>180</v>
      </c>
      <c r="F12" s="14" t="n">
        <v>170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3"/>
  <sheetViews>
    <sheetView showGridLines="0" workbookViewId="0">
      <selection activeCell="A1" sqref="A1"/>
    </sheetView>
  </sheetViews>
  <sheetFormatPr baseColWidth="8" defaultRowHeight="15"/>
  <cols>
    <col width="42" customWidth="1" min="1" max="1"/>
    <col width="32" customWidth="1" min="2" max="2"/>
    <col width="14" customWidth="1" min="3" max="3"/>
    <col width="14" customWidth="1" min="4" max="4"/>
    <col width="14" customWidth="1" min="5" max="5"/>
    <col width="14" customWidth="1" min="6" max="6"/>
    <col width="14" customWidth="1" min="7" max="7"/>
    <col width="42" customWidth="1" min="8" max="8"/>
  </cols>
  <sheetData>
    <row r="1">
      <c r="A1" s="10" t="inlineStr">
        <is>
          <t>Demo Holdings Limited (DEMO) — Condensed Financials</t>
        </is>
      </c>
    </row>
    <row r="2"/>
    <row r="3"/>
    <row r="4">
      <c r="A4" s="9" t="inlineStr">
        <is>
          <t>BALANCE SHEET CLASSIFICATION</t>
        </is>
      </c>
    </row>
    <row r="5">
      <c r="A5" s="9" t="inlineStr">
        <is>
          <t>Line Item</t>
        </is>
      </c>
      <c r="B5" s="9" t="inlineStr">
        <is>
          <t>Classification</t>
        </is>
      </c>
      <c r="C5" s="12" t="n">
        <v>44561</v>
      </c>
      <c r="D5" s="12" t="n">
        <v>44926</v>
      </c>
      <c r="E5" s="12" t="n">
        <v>45291</v>
      </c>
      <c r="F5" s="12" t="n">
        <v>45657</v>
      </c>
      <c r="G5" s="12" t="n">
        <v>46022</v>
      </c>
      <c r="H5" s="9" t="inlineStr">
        <is>
          <t>Notes</t>
        </is>
      </c>
    </row>
    <row r="6">
      <c r="A6" s="11" t="inlineStr">
        <is>
          <t>Cash and cash equivalents</t>
        </is>
      </c>
      <c r="B6" s="11" t="inlineStr">
        <is>
          <t>Financial Asset</t>
        </is>
      </c>
      <c r="C6" s="14" t="n">
        <v>1200</v>
      </c>
      <c r="D6" s="14" t="n">
        <v>1350</v>
      </c>
      <c r="E6" s="14" t="n">
        <v>1500</v>
      </c>
      <c r="F6" s="14" t="n">
        <v>1680</v>
      </c>
      <c r="G6" s="14" t="n">
        <v>1850</v>
      </c>
    </row>
    <row r="7">
      <c r="A7" s="11" t="inlineStr">
        <is>
          <t>Trade receivables</t>
        </is>
      </c>
      <c r="B7" s="11" t="inlineStr">
        <is>
          <t>Operating Working Capital Asset</t>
        </is>
      </c>
      <c r="C7" s="14" t="n">
        <v>850</v>
      </c>
      <c r="D7" s="14" t="n">
        <v>920</v>
      </c>
      <c r="E7" s="14" t="n">
        <v>1010</v>
      </c>
      <c r="F7" s="14" t="n">
        <v>1120</v>
      </c>
      <c r="G7" s="14" t="n">
        <v>1250</v>
      </c>
    </row>
    <row r="8">
      <c r="A8" s="8" t="inlineStr">
        <is>
          <t>Inventories</t>
        </is>
      </c>
      <c r="B8" s="8" t="inlineStr">
        <is>
          <t>Operating Working Capital Asset</t>
        </is>
      </c>
      <c r="C8" s="13" t="n">
        <v>680</v>
      </c>
      <c r="D8" s="13" t="n">
        <v>736</v>
      </c>
      <c r="E8" s="13" t="n">
        <v>808</v>
      </c>
      <c r="F8" s="13" t="n">
        <v>896</v>
      </c>
      <c r="G8" s="13" t="n">
        <v>1000</v>
      </c>
    </row>
    <row r="9">
      <c r="A9" s="11" t="inlineStr">
        <is>
          <t>Property, plant and equipment</t>
        </is>
      </c>
      <c r="B9" s="11" t="inlineStr">
        <is>
          <t>Operating Long-Term Asset</t>
        </is>
      </c>
      <c r="C9" s="14" t="n">
        <v>3200</v>
      </c>
      <c r="D9" s="14" t="n">
        <v>3400</v>
      </c>
      <c r="E9" s="14" t="n">
        <v>3600</v>
      </c>
      <c r="F9" s="14" t="n">
        <v>3800</v>
      </c>
      <c r="G9" s="14" t="n">
        <v>4000</v>
      </c>
    </row>
    <row r="10">
      <c r="A10" s="8" t="inlineStr">
        <is>
          <t>Goodwill</t>
        </is>
      </c>
      <c r="B10" s="8" t="inlineStr">
        <is>
          <t>Operating Long-Term Asset</t>
        </is>
      </c>
      <c r="C10" s="13" t="n">
        <v>900</v>
      </c>
      <c r="D10" s="13" t="n">
        <v>900</v>
      </c>
      <c r="E10" s="13" t="n">
        <v>900</v>
      </c>
      <c r="F10" s="13" t="n">
        <v>900</v>
      </c>
      <c r="G10" s="13" t="n">
        <v>900</v>
      </c>
    </row>
    <row r="11">
      <c r="A11" s="11" t="inlineStr">
        <is>
          <t>Other non-current assets</t>
        </is>
      </c>
      <c r="B11" s="11" t="inlineStr">
        <is>
          <t>Operating Long-Term Asset</t>
        </is>
      </c>
      <c r="C11" s="14" t="n">
        <v>1670</v>
      </c>
      <c r="D11" s="14" t="n">
        <v>1894</v>
      </c>
      <c r="E11" s="14" t="n">
        <v>2282</v>
      </c>
      <c r="F11" s="14" t="n">
        <v>2804</v>
      </c>
      <c r="G11" s="14" t="n">
        <v>3500</v>
      </c>
    </row>
    <row r="12">
      <c r="A12" s="11" t="inlineStr">
        <is>
          <t>Trade payables</t>
        </is>
      </c>
      <c r="B12" s="11" t="inlineStr">
        <is>
          <t>Operating Working Capital Liability</t>
        </is>
      </c>
      <c r="C12" s="14" t="n">
        <v>595</v>
      </c>
      <c r="D12" s="14" t="n">
        <v>644</v>
      </c>
      <c r="E12" s="14" t="n">
        <v>707</v>
      </c>
      <c r="F12" s="14" t="n">
        <v>784</v>
      </c>
      <c r="G12" s="14" t="n">
        <v>875</v>
      </c>
    </row>
    <row r="13">
      <c r="A13" s="11" t="inlineStr">
        <is>
          <t>Bank borrowings</t>
        </is>
      </c>
      <c r="B13" s="11" t="inlineStr">
        <is>
          <t>Financial Liability</t>
        </is>
      </c>
      <c r="C13" s="14" t="n">
        <v>1500</v>
      </c>
      <c r="D13" s="14" t="n">
        <v>1400</v>
      </c>
      <c r="E13" s="14" t="n">
        <v>1300</v>
      </c>
      <c r="F13" s="14" t="n">
        <v>1200</v>
      </c>
      <c r="G13" s="14" t="n">
        <v>1100</v>
      </c>
    </row>
    <row r="14">
      <c r="A14" s="11" t="inlineStr">
        <is>
          <t>Other non-current liabilities</t>
        </is>
      </c>
      <c r="B14" s="11" t="inlineStr">
        <is>
          <t>Operating Long-Term Liability</t>
        </is>
      </c>
      <c r="C14" s="14" t="n">
        <v>1305</v>
      </c>
      <c r="D14" s="14" t="n">
        <v>1456</v>
      </c>
      <c r="E14" s="14" t="n">
        <v>1593</v>
      </c>
      <c r="F14" s="14" t="n">
        <v>1716</v>
      </c>
      <c r="G14" s="14" t="n">
        <v>1825</v>
      </c>
    </row>
    <row r="15">
      <c r="A15" s="11" t="inlineStr">
        <is>
          <t>Share capital and reserves</t>
        </is>
      </c>
      <c r="B15" s="11" t="inlineStr">
        <is>
          <t>Equity</t>
        </is>
      </c>
      <c r="C15" s="14" t="n">
        <v>5100</v>
      </c>
      <c r="D15" s="14" t="n">
        <v>5700</v>
      </c>
      <c r="E15" s="14" t="n">
        <v>6500</v>
      </c>
      <c r="F15" s="14" t="n">
        <v>7500</v>
      </c>
      <c r="G15" s="14" t="n">
        <v>8700</v>
      </c>
    </row>
    <row r="16"/>
    <row r="17">
      <c r="A17" s="9" t="inlineStr">
        <is>
          <t>CONDENSED INCOME STATEMENT</t>
        </is>
      </c>
      <c r="B17" s="12" t="n">
        <v>44561</v>
      </c>
      <c r="C17" s="12" t="n">
        <v>44926</v>
      </c>
      <c r="D17" s="12" t="n">
        <v>45291</v>
      </c>
      <c r="E17" s="12" t="n">
        <v>45657</v>
      </c>
      <c r="F17" s="12" t="n">
        <v>46022</v>
      </c>
    </row>
    <row r="18">
      <c r="A18" s="8" t="inlineStr">
        <is>
          <t>Revenue</t>
        </is>
      </c>
      <c r="B18" s="15">
        <f>'Income Statement'!B7</f>
        <v/>
      </c>
      <c r="C18" s="15">
        <f>'Income Statement'!C7</f>
        <v/>
      </c>
      <c r="D18" s="15">
        <f>'Income Statement'!D7</f>
        <v/>
      </c>
      <c r="E18" s="15">
        <f>'Income Statement'!E7</f>
        <v/>
      </c>
      <c r="F18" s="15">
        <f>'Income Statement'!F7</f>
        <v/>
      </c>
    </row>
    <row r="19">
      <c r="A19" s="11" t="inlineStr">
        <is>
          <t>Net Income</t>
        </is>
      </c>
      <c r="B19" s="16">
        <f>'Income Statement'!B16</f>
        <v/>
      </c>
      <c r="C19" s="16">
        <f>'Income Statement'!C16</f>
        <v/>
      </c>
      <c r="D19" s="16">
        <f>'Income Statement'!D16</f>
        <v/>
      </c>
      <c r="E19" s="16">
        <f>'Income Statement'!E16</f>
        <v/>
      </c>
      <c r="F19" s="16">
        <f>'Income Statement'!F16</f>
        <v/>
      </c>
    </row>
    <row r="20">
      <c r="A20" s="11" t="inlineStr">
        <is>
          <t>Pretax Income</t>
        </is>
      </c>
      <c r="B20" s="11">
        <f>'Income Statement'!B14</f>
        <v/>
      </c>
      <c r="C20" s="11">
        <f>'Income Statement'!C14</f>
        <v/>
      </c>
      <c r="D20" s="11">
        <f>'Income Statement'!D14</f>
        <v/>
      </c>
      <c r="E20" s="11">
        <f>'Income Statement'!E14</f>
        <v/>
      </c>
      <c r="F20" s="11">
        <f>'Income Statement'!F14</f>
        <v/>
      </c>
    </row>
    <row r="21">
      <c r="A21" s="11" t="inlineStr">
        <is>
          <t>Tax Expense</t>
        </is>
      </c>
      <c r="B21" s="11">
        <f>'Income Statement'!B15</f>
        <v/>
      </c>
      <c r="C21" s="11">
        <f>'Income Statement'!C15</f>
        <v/>
      </c>
      <c r="D21" s="11">
        <f>'Income Statement'!D15</f>
        <v/>
      </c>
      <c r="E21" s="11">
        <f>'Income Statement'!E15</f>
        <v/>
      </c>
      <c r="F21" s="11">
        <f>'Income Statement'!F15</f>
        <v/>
      </c>
    </row>
    <row r="22">
      <c r="A22" s="11" t="inlineStr">
        <is>
          <t>Interest Expense</t>
        </is>
      </c>
      <c r="B22" s="11">
        <f>'Income Statement'!B12</f>
        <v/>
      </c>
      <c r="C22" s="11">
        <f>'Income Statement'!C12</f>
        <v/>
      </c>
      <c r="D22" s="11">
        <f>'Income Statement'!D12</f>
        <v/>
      </c>
      <c r="E22" s="11">
        <f>'Income Statement'!E12</f>
        <v/>
      </c>
      <c r="F22" s="11">
        <f>'Income Statement'!F12</f>
        <v/>
      </c>
    </row>
    <row r="23">
      <c r="A23" s="11" t="inlineStr">
        <is>
          <t>Interest Income</t>
        </is>
      </c>
      <c r="B23" s="11">
        <f>'Income Statement'!B13</f>
        <v/>
      </c>
      <c r="C23" s="11">
        <f>'Income Statement'!C13</f>
        <v/>
      </c>
      <c r="D23" s="11">
        <f>'Income Statement'!D13</f>
        <v/>
      </c>
      <c r="E23" s="11">
        <f>'Income Statement'!E13</f>
        <v/>
      </c>
      <c r="F23" s="11">
        <f>'Income Statement'!F13</f>
        <v/>
      </c>
    </row>
    <row r="24">
      <c r="A24" s="11" t="inlineStr">
        <is>
          <t>Effective Tax Rate</t>
        </is>
      </c>
      <c r="B24" s="17">
        <f>IF(B20=0,0,-B21/B20)</f>
        <v/>
      </c>
      <c r="C24" s="17">
        <f>IF(C20=0,0,-C21/C20)</f>
        <v/>
      </c>
      <c r="D24" s="17">
        <f>IF(D20=0,0,-D21/D20)</f>
        <v/>
      </c>
      <c r="E24" s="17">
        <f>IF(E20=0,0,-E21/E20)</f>
        <v/>
      </c>
      <c r="F24" s="17">
        <f>IF(F20=0,0,-F21/F20)</f>
        <v/>
      </c>
    </row>
    <row r="25">
      <c r="A25" s="11" t="inlineStr">
        <is>
          <t>Net Interest</t>
        </is>
      </c>
      <c r="B25" s="18">
        <f>-(B22+B23)</f>
        <v/>
      </c>
      <c r="C25" s="18">
        <f>-(C22+C23)</f>
        <v/>
      </c>
      <c r="D25" s="18">
        <f>-(D22+D23)</f>
        <v/>
      </c>
      <c r="E25" s="18">
        <f>-(E22+E23)</f>
        <v/>
      </c>
      <c r="F25" s="18">
        <f>-(F22+F23)</f>
        <v/>
      </c>
    </row>
    <row r="26">
      <c r="A26" s="11" t="inlineStr">
        <is>
          <t>Net Interest After Tax</t>
        </is>
      </c>
      <c r="B26" s="18">
        <f>B25*(1-B24)</f>
        <v/>
      </c>
      <c r="C26" s="18">
        <f>C25*(1-C24)</f>
        <v/>
      </c>
      <c r="D26" s="18">
        <f>D25*(1-D24)</f>
        <v/>
      </c>
      <c r="E26" s="18">
        <f>E25*(1-E24)</f>
        <v/>
      </c>
      <c r="F26" s="18">
        <f>F25*(1-F24)</f>
        <v/>
      </c>
    </row>
    <row r="27">
      <c r="A27" s="19" t="inlineStr">
        <is>
          <t>NOPAT</t>
        </is>
      </c>
      <c r="B27" s="20">
        <f>B19+B26</f>
        <v/>
      </c>
      <c r="C27" s="20">
        <f>C19+C26</f>
        <v/>
      </c>
      <c r="D27" s="20">
        <f>D19+D26</f>
        <v/>
      </c>
      <c r="E27" s="20">
        <f>E19+E26</f>
        <v/>
      </c>
      <c r="F27" s="20">
        <f>F19+F26</f>
        <v/>
      </c>
    </row>
    <row r="28"/>
    <row r="29">
      <c r="A29" s="9" t="inlineStr">
        <is>
          <t>CONDENSED BALANCE SHEET</t>
        </is>
      </c>
    </row>
    <row r="30">
      <c r="A30" s="11" t="inlineStr">
        <is>
          <t>Operating Working Capital Assets</t>
        </is>
      </c>
      <c r="B30" s="18">
        <f>SUMIF($B$6:$B$15,"Operating Working Capital Asset",C$6:C$15)</f>
        <v/>
      </c>
      <c r="C30" s="18">
        <f>SUMIF($B$6:$B$15,"Operating Working Capital Asset",D$6:D$15)</f>
        <v/>
      </c>
      <c r="D30" s="18">
        <f>SUMIF($B$6:$B$15,"Operating Working Capital Asset",E$6:E$15)</f>
        <v/>
      </c>
      <c r="E30" s="18">
        <f>SUMIF($B$6:$B$15,"Operating Working Capital Asset",F$6:F$15)</f>
        <v/>
      </c>
      <c r="F30" s="18">
        <f>SUMIF($B$6:$B$15,"Operating Working Capital Asset",G$6:G$15)</f>
        <v/>
      </c>
    </row>
    <row r="31">
      <c r="A31" s="11" t="inlineStr">
        <is>
          <t>Operating Working Capital Liabilities</t>
        </is>
      </c>
      <c r="B31" s="18">
        <f>SUMIF($B$6:$B$15,"Operating Working Capital Liability",C$6:C$15)</f>
        <v/>
      </c>
      <c r="C31" s="18">
        <f>SUMIF($B$6:$B$15,"Operating Working Capital Liability",D$6:D$15)</f>
        <v/>
      </c>
      <c r="D31" s="18">
        <f>SUMIF($B$6:$B$15,"Operating Working Capital Liability",E$6:E$15)</f>
        <v/>
      </c>
      <c r="E31" s="18">
        <f>SUMIF($B$6:$B$15,"Operating Working Capital Liability",F$6:F$15)</f>
        <v/>
      </c>
      <c r="F31" s="18">
        <f>SUMIF($B$6:$B$15,"Operating Working Capital Liability",G$6:G$15)</f>
        <v/>
      </c>
    </row>
    <row r="32">
      <c r="A32" s="19" t="inlineStr">
        <is>
          <t>NOWC</t>
        </is>
      </c>
      <c r="B32" s="20">
        <f>B30-B31</f>
        <v/>
      </c>
      <c r="C32" s="20">
        <f>C30-C31</f>
        <v/>
      </c>
      <c r="D32" s="20">
        <f>D30-D31</f>
        <v/>
      </c>
      <c r="E32" s="20">
        <f>E30-E31</f>
        <v/>
      </c>
      <c r="F32" s="20">
        <f>F30-F31</f>
        <v/>
      </c>
    </row>
    <row r="33">
      <c r="A33" s="11" t="inlineStr">
        <is>
          <t>Operating Long-Term Assets</t>
        </is>
      </c>
      <c r="B33" s="18">
        <f>SUMIF($B$6:$B$15,"Operating Long-Term Asset",C$6:C$15)</f>
        <v/>
      </c>
      <c r="C33" s="18">
        <f>SUMIF($B$6:$B$15,"Operating Long-Term Asset",D$6:D$15)</f>
        <v/>
      </c>
      <c r="D33" s="18">
        <f>SUMIF($B$6:$B$15,"Operating Long-Term Asset",E$6:E$15)</f>
        <v/>
      </c>
      <c r="E33" s="18">
        <f>SUMIF($B$6:$B$15,"Operating Long-Term Asset",F$6:F$15)</f>
        <v/>
      </c>
      <c r="F33" s="18">
        <f>SUMIF($B$6:$B$15,"Operating Long-Term Asset",G$6:G$15)</f>
        <v/>
      </c>
    </row>
    <row r="34">
      <c r="A34" s="11" t="inlineStr">
        <is>
          <t>Operating Long-Term Liabilities</t>
        </is>
      </c>
      <c r="B34" s="18">
        <f>SUMIF($B$6:$B$15,"Operating Long-Term Liability",C$6:C$15)</f>
        <v/>
      </c>
      <c r="C34" s="18">
        <f>SUMIF($B$6:$B$15,"Operating Long-Term Liability",D$6:D$15)</f>
        <v/>
      </c>
      <c r="D34" s="18">
        <f>SUMIF($B$6:$B$15,"Operating Long-Term Liability",E$6:E$15)</f>
        <v/>
      </c>
      <c r="E34" s="18">
        <f>SUMIF($B$6:$B$15,"Operating Long-Term Liability",F$6:F$15)</f>
        <v/>
      </c>
      <c r="F34" s="18">
        <f>SUMIF($B$6:$B$15,"Operating Long-Term Liability",G$6:G$15)</f>
        <v/>
      </c>
    </row>
    <row r="35">
      <c r="A35" s="19" t="inlineStr">
        <is>
          <t>NOLA</t>
        </is>
      </c>
      <c r="B35" s="20">
        <f>B33-B34</f>
        <v/>
      </c>
      <c r="C35" s="20">
        <f>C33-C34</f>
        <v/>
      </c>
      <c r="D35" s="20">
        <f>D33-D34</f>
        <v/>
      </c>
      <c r="E35" s="20">
        <f>E33-E34</f>
        <v/>
      </c>
      <c r="F35" s="20">
        <f>F33-F34</f>
        <v/>
      </c>
    </row>
    <row r="36">
      <c r="A36" s="19" t="inlineStr">
        <is>
          <t>NOA</t>
        </is>
      </c>
      <c r="B36" s="20">
        <f>B32+B35</f>
        <v/>
      </c>
      <c r="C36" s="20">
        <f>C32+C35</f>
        <v/>
      </c>
      <c r="D36" s="20">
        <f>D32+D35</f>
        <v/>
      </c>
      <c r="E36" s="20">
        <f>E32+E35</f>
        <v/>
      </c>
      <c r="F36" s="20">
        <f>F32+F35</f>
        <v/>
      </c>
    </row>
    <row r="37">
      <c r="A37" s="11" t="inlineStr">
        <is>
          <t>Financial Assets</t>
        </is>
      </c>
      <c r="B37" s="18">
        <f>SUMIF($B$6:$B$15,"Financial Asset",C$6:C$15)</f>
        <v/>
      </c>
      <c r="C37" s="18">
        <f>SUMIF($B$6:$B$15,"Financial Asset",D$6:D$15)</f>
        <v/>
      </c>
      <c r="D37" s="18">
        <f>SUMIF($B$6:$B$15,"Financial Asset",E$6:E$15)</f>
        <v/>
      </c>
      <c r="E37" s="18">
        <f>SUMIF($B$6:$B$15,"Financial Asset",F$6:F$15)</f>
        <v/>
      </c>
      <c r="F37" s="18">
        <f>SUMIF($B$6:$B$15,"Financial Asset",G$6:G$15)</f>
        <v/>
      </c>
    </row>
    <row r="38">
      <c r="A38" s="11" t="inlineStr">
        <is>
          <t>Financial Liabilities</t>
        </is>
      </c>
      <c r="B38" s="18">
        <f>SUMIF($B$6:$B$15,"Financial Liability",C$6:C$15)</f>
        <v/>
      </c>
      <c r="C38" s="18">
        <f>SUMIF($B$6:$B$15,"Financial Liability",D$6:D$15)</f>
        <v/>
      </c>
      <c r="D38" s="18">
        <f>SUMIF($B$6:$B$15,"Financial Liability",E$6:E$15)</f>
        <v/>
      </c>
      <c r="E38" s="18">
        <f>SUMIF($B$6:$B$15,"Financial Liability",F$6:F$15)</f>
        <v/>
      </c>
      <c r="F38" s="18">
        <f>SUMIF($B$6:$B$15,"Financial Liability",G$6:G$15)</f>
        <v/>
      </c>
    </row>
    <row r="39">
      <c r="A39" s="9" t="inlineStr">
        <is>
          <t>Net Debt</t>
        </is>
      </c>
      <c r="B39" s="18">
        <f>B38-B37</f>
        <v/>
      </c>
      <c r="C39" s="18">
        <f>C38-C37</f>
        <v/>
      </c>
      <c r="D39" s="18">
        <f>D38-D37</f>
        <v/>
      </c>
      <c r="E39" s="18">
        <f>E38-E37</f>
        <v/>
      </c>
      <c r="F39" s="18">
        <f>F38-F37</f>
        <v/>
      </c>
    </row>
    <row r="40">
      <c r="A40" s="9" t="inlineStr">
        <is>
          <t>Equity (NOA - Net Debt)</t>
        </is>
      </c>
      <c r="B40" s="18">
        <f>B36-B39</f>
        <v/>
      </c>
      <c r="C40" s="18">
        <f>C36-C39</f>
        <v/>
      </c>
      <c r="D40" s="18">
        <f>D36-D39</f>
        <v/>
      </c>
      <c r="E40" s="18">
        <f>E36-E39</f>
        <v/>
      </c>
      <c r="F40" s="18">
        <f>F36-F39</f>
        <v/>
      </c>
    </row>
    <row r="41">
      <c r="A41" s="9" t="inlineStr">
        <is>
          <t>Reported Equity</t>
        </is>
      </c>
      <c r="B41" s="14">
        <f>'Balance Sheet'!B19</f>
        <v/>
      </c>
      <c r="C41" s="14">
        <f>'Balance Sheet'!C19</f>
        <v/>
      </c>
      <c r="D41" s="14">
        <f>'Balance Sheet'!D19</f>
        <v/>
      </c>
      <c r="E41" s="14">
        <f>'Balance Sheet'!E19</f>
        <v/>
      </c>
      <c r="F41" s="14">
        <f>'Balance Sheet'!F19</f>
        <v/>
      </c>
    </row>
    <row r="42">
      <c r="A42" s="9" t="inlineStr">
        <is>
          <t>Total Capital</t>
        </is>
      </c>
      <c r="B42" s="14">
        <f>B39+B40</f>
        <v/>
      </c>
      <c r="C42" s="14">
        <f>C39+C40</f>
        <v/>
      </c>
      <c r="D42" s="14">
        <f>D39+D40</f>
        <v/>
      </c>
      <c r="E42" s="14">
        <f>E39+E40</f>
        <v/>
      </c>
      <c r="F42" s="14">
        <f>F39+F40</f>
        <v/>
      </c>
    </row>
    <row r="43">
      <c r="A43" s="19" t="inlineStr">
        <is>
          <t>CHECK</t>
        </is>
      </c>
      <c r="B43" s="8">
        <f>IF(ABS(B40-B41)&lt;1,"OK","CHECK")</f>
        <v/>
      </c>
      <c r="C43" s="8">
        <f>IF(ABS(C40-C41)&lt;1,"OK","CHECK")</f>
        <v/>
      </c>
      <c r="D43" s="8">
        <f>IF(ABS(D40-D41)&lt;1,"OK","CHECK")</f>
        <v/>
      </c>
      <c r="E43" s="8">
        <f>IF(ABS(E40-E41)&lt;1,"OK","CHECK")</f>
        <v/>
      </c>
      <c r="F43" s="8">
        <f>IF(ABS(F40-F41)&lt;1,"OK","CHECK")</f>
        <v/>
      </c>
    </row>
  </sheetData>
  <dataValidations count="1">
    <dataValidation sqref="B6 B7 B8 B9 B10 B11 B12 B13 B14 B15" showDropDown="0" showInputMessage="0" showErrorMessage="0" allowBlank="0" type="list">
      <formula1>"Operating Working Capital Asset,Operating Working Capital Liability,Operating Long-Term Asset,Operating Long-Term Liability,Financial Asset,Financial Liability,Equity,Exclude"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s>
  <sheetData>
    <row r="1">
      <c r="A1" s="10" t="inlineStr">
        <is>
          <t>Demo Holdings Limited — DuPont Decomposition</t>
        </is>
      </c>
    </row>
    <row r="2">
      <c r="A2" s="11" t="inlineStr">
        <is>
          <t>ROE = RNOA + FLEV × Spread</t>
        </is>
      </c>
    </row>
    <row r="3"/>
    <row r="4">
      <c r="A4" s="9" t="inlineStr">
        <is>
          <t>Metric</t>
        </is>
      </c>
      <c r="B4" s="12" t="n">
        <v>44561</v>
      </c>
      <c r="C4" s="12" t="n">
        <v>44926</v>
      </c>
      <c r="D4" s="12" t="n">
        <v>45291</v>
      </c>
      <c r="E4" s="12" t="n">
        <v>45657</v>
      </c>
      <c r="F4" s="12" t="n">
        <v>46022</v>
      </c>
    </row>
    <row r="5">
      <c r="A5" s="11" t="inlineStr">
        <is>
          <t>Sales Growth</t>
        </is>
      </c>
      <c r="B5" s="11" t="inlineStr">
        <is>
          <t>N/A</t>
        </is>
      </c>
      <c r="C5" s="17">
        <f>IF('Condensed Financials'!B18=0,0,'Condensed Financials'!C18/'Condensed Financials'!B18-1)</f>
        <v/>
      </c>
      <c r="D5" s="17">
        <f>IF('Condensed Financials'!C18=0,0,'Condensed Financials'!D18/'Condensed Financials'!C18-1)</f>
        <v/>
      </c>
      <c r="E5" s="17">
        <f>IF('Condensed Financials'!D18=0,0,'Condensed Financials'!E18/'Condensed Financials'!D18-1)</f>
        <v/>
      </c>
      <c r="F5" s="17">
        <f>IF('Condensed Financials'!E18=0,0,'Condensed Financials'!F18/'Condensed Financials'!E18-1)</f>
        <v/>
      </c>
    </row>
    <row r="6">
      <c r="A6" s="11" t="inlineStr">
        <is>
          <t>NOPAT Margin</t>
        </is>
      </c>
      <c r="B6" s="17">
        <f>IF('Condensed Financials'!B18=0,0,'Condensed Financials'!B27/'Condensed Financials'!B18)</f>
        <v/>
      </c>
      <c r="C6" s="17">
        <f>IF('Condensed Financials'!C18=0,0,'Condensed Financials'!C27/'Condensed Financials'!C18)</f>
        <v/>
      </c>
      <c r="D6" s="17">
        <f>IF('Condensed Financials'!D18=0,0,'Condensed Financials'!D27/'Condensed Financials'!D18)</f>
        <v/>
      </c>
      <c r="E6" s="17">
        <f>IF('Condensed Financials'!E18=0,0,'Condensed Financials'!E27/'Condensed Financials'!E18)</f>
        <v/>
      </c>
      <c r="F6" s="17">
        <f>IF('Condensed Financials'!F18=0,0,'Condensed Financials'!F27/'Condensed Financials'!F18)</f>
        <v/>
      </c>
    </row>
    <row r="7">
      <c r="A7" s="8" t="inlineStr">
        <is>
          <t>RNOA</t>
        </is>
      </c>
      <c r="B7" s="8" t="inlineStr">
        <is>
          <t>N/A</t>
        </is>
      </c>
      <c r="C7" s="21">
        <f>IF((('Condensed Financials'!C36+'Condensed Financials'!B36)/2)=0,0,'Condensed Financials'!C27/(('Condensed Financials'!C36+'Condensed Financials'!B36)/2))</f>
        <v/>
      </c>
      <c r="D7" s="21">
        <f>IF((('Condensed Financials'!D36+'Condensed Financials'!C36)/2)=0,0,'Condensed Financials'!D27/(('Condensed Financials'!D36+'Condensed Financials'!C36)/2))</f>
        <v/>
      </c>
      <c r="E7" s="21">
        <f>IF((('Condensed Financials'!E36+'Condensed Financials'!D36)/2)=0,0,'Condensed Financials'!E27/(('Condensed Financials'!E36+'Condensed Financials'!D36)/2))</f>
        <v/>
      </c>
      <c r="F7" s="21">
        <f>IF((('Condensed Financials'!F36+'Condensed Financials'!E36)/2)=0,0,'Condensed Financials'!F27/(('Condensed Financials'!F36+'Condensed Financials'!E36)/2))</f>
        <v/>
      </c>
    </row>
    <row r="8">
      <c r="A8" s="11" t="inlineStr">
        <is>
          <t>After-tax CoD</t>
        </is>
      </c>
      <c r="B8" s="11" t="inlineStr">
        <is>
          <t>N/A</t>
        </is>
      </c>
      <c r="C8" s="17">
        <f>IF((('Condensed Financials'!C39+'Condensed Financials'!B39)/2)=0,0,'Condensed Financials'!C26/(('Condensed Financials'!C39+'Condensed Financials'!B39)/2))</f>
        <v/>
      </c>
      <c r="D8" s="17">
        <f>IF((('Condensed Financials'!D39+'Condensed Financials'!C39)/2)=0,0,'Condensed Financials'!D26/(('Condensed Financials'!D39+'Condensed Financials'!C39)/2))</f>
        <v/>
      </c>
      <c r="E8" s="17">
        <f>IF((('Condensed Financials'!E39+'Condensed Financials'!D39)/2)=0,0,'Condensed Financials'!E26/(('Condensed Financials'!E39+'Condensed Financials'!D39)/2))</f>
        <v/>
      </c>
      <c r="F8" s="17">
        <f>IF((('Condensed Financials'!F39+'Condensed Financials'!E39)/2)=0,0,'Condensed Financials'!F26/(('Condensed Financials'!F39+'Condensed Financials'!E39)/2))</f>
        <v/>
      </c>
    </row>
    <row r="9">
      <c r="A9" s="8" t="inlineStr">
        <is>
          <t>Spread</t>
        </is>
      </c>
      <c r="B9" s="8" t="inlineStr">
        <is>
          <t>N/A</t>
        </is>
      </c>
      <c r="C9" s="21">
        <f>C7-C8</f>
        <v/>
      </c>
      <c r="D9" s="21">
        <f>D7-D8</f>
        <v/>
      </c>
      <c r="E9" s="21">
        <f>E7-E8</f>
        <v/>
      </c>
      <c r="F9" s="21">
        <f>F7-F8</f>
        <v/>
      </c>
    </row>
    <row r="10">
      <c r="A10" s="8" t="inlineStr">
        <is>
          <t>FLEV</t>
        </is>
      </c>
      <c r="B10" s="8" t="inlineStr">
        <is>
          <t>N/A</t>
        </is>
      </c>
      <c r="C10" s="15">
        <f>IF((('Condensed Financials'!C40+'Condensed Financials'!B40)/2)=0,0,(('Condensed Financials'!C39+'Condensed Financials'!B39)/2)/(('Condensed Financials'!C40+'Condensed Financials'!B40)/2))</f>
        <v/>
      </c>
      <c r="D10" s="15">
        <f>IF((('Condensed Financials'!D40+'Condensed Financials'!C40)/2)=0,0,(('Condensed Financials'!D39+'Condensed Financials'!C39)/2)/(('Condensed Financials'!D40+'Condensed Financials'!C40)/2))</f>
        <v/>
      </c>
      <c r="E10" s="15">
        <f>IF((('Condensed Financials'!E40+'Condensed Financials'!D40)/2)=0,0,(('Condensed Financials'!E39+'Condensed Financials'!D39)/2)/(('Condensed Financials'!E40+'Condensed Financials'!D40)/2))</f>
        <v/>
      </c>
      <c r="F10" s="15">
        <f>IF((('Condensed Financials'!F40+'Condensed Financials'!E40)/2)=0,0,(('Condensed Financials'!F39+'Condensed Financials'!E39)/2)/(('Condensed Financials'!F40+'Condensed Financials'!E40)/2))</f>
        <v/>
      </c>
    </row>
    <row r="11">
      <c r="A11" s="11" t="inlineStr">
        <is>
          <t>ROE (decomposed)</t>
        </is>
      </c>
      <c r="B11" s="11" t="inlineStr">
        <is>
          <t>N/A</t>
        </is>
      </c>
      <c r="C11" s="17">
        <f>C7+C10*(C9)</f>
        <v/>
      </c>
      <c r="D11" s="17">
        <f>D7+D10*(D9)</f>
        <v/>
      </c>
      <c r="E11" s="17">
        <f>E7+E10*(E9)</f>
        <v/>
      </c>
      <c r="F11" s="17">
        <f>F7+F10*(F9)</f>
        <v/>
      </c>
    </row>
    <row r="12">
      <c r="A12" s="11" t="inlineStr">
        <is>
          <t>Actual ROE</t>
        </is>
      </c>
      <c r="B12" s="11" t="inlineStr">
        <is>
          <t>N/A</t>
        </is>
      </c>
      <c r="C12" s="17">
        <f>IF((('Condensed Financials'!C40+'Condensed Financials'!B40)/2)=0,0,'Condensed Financials'!C19/(('Condensed Financials'!C40+'Condensed Financials'!B40)/2))</f>
        <v/>
      </c>
      <c r="D12" s="17">
        <f>IF((('Condensed Financials'!D40+'Condensed Financials'!C40)/2)=0,0,'Condensed Financials'!D19/(('Condensed Financials'!D40+'Condensed Financials'!C40)/2))</f>
        <v/>
      </c>
      <c r="E12" s="17">
        <f>IF((('Condensed Financials'!E40+'Condensed Financials'!D40)/2)=0,0,'Condensed Financials'!E19/(('Condensed Financials'!E40+'Condensed Financials'!D40)/2))</f>
        <v/>
      </c>
      <c r="F12" s="17">
        <f>IF((('Condensed Financials'!F40+'Condensed Financials'!E40)/2)=0,0,'Condensed Financials'!F19/(('Condensed Financials'!F40+'Condensed Financials'!E40)/2))</f>
        <v/>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0" t="inlineStr">
        <is>
          <t>Deferred from historical-only v1</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0" t="inlineStr">
        <is>
          <t>Deferred from historical-only v1</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0" t="inlineStr">
        <is>
          <t>Deferred from historical-only v1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0" t="inlineStr">
        <is>
          <t>Deferred from historical-only v1</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19"/>
  <sheetViews>
    <sheetView workbookViewId="0">
      <selection activeCell="A1" sqref="A1"/>
    </sheetView>
  </sheetViews>
  <sheetFormatPr baseColWidth="8" defaultRowHeight="15"/>
  <sheetData>
    <row r="1">
      <c r="A1" s="1" t="inlineStr">
        <is>
          <t>id</t>
        </is>
      </c>
      <c r="B1" s="1" t="inlineStr">
        <is>
          <t>order</t>
        </is>
      </c>
      <c r="C1" s="1" t="inlineStr">
        <is>
          <t>title</t>
        </is>
      </c>
      <c r="D1" s="1" t="inlineStr">
        <is>
          <t>short_hint</t>
        </is>
      </c>
      <c r="E1" s="1" t="inlineStr">
        <is>
          <t>semantic_key</t>
        </is>
      </c>
      <c r="F1" s="1" t="inlineStr">
        <is>
          <t>category</t>
        </is>
      </c>
      <c r="G1" s="1" t="inlineStr">
        <is>
          <t>tab</t>
        </is>
      </c>
      <c r="H1" s="1" t="inlineStr">
        <is>
          <t>cell</t>
        </is>
      </c>
      <c r="I1" s="1" t="inlineStr">
        <is>
          <t>formula</t>
        </is>
      </c>
      <c r="J1" s="1" t="inlineStr">
        <is>
          <t>expected_value</t>
        </is>
      </c>
      <c r="K1" s="1" t="inlineStr">
        <is>
          <t>tolerance</t>
        </is>
      </c>
      <c r="L1" s="1" t="inlineStr">
        <is>
          <t>depends_on</t>
        </is>
      </c>
      <c r="M1" s="1" t="inlineStr">
        <is>
          <t>hints</t>
        </is>
      </c>
      <c r="N1" s="1" t="inlineStr">
        <is>
          <t>related_cells</t>
        </is>
      </c>
      <c r="O1" s="1" t="inlineStr">
        <is>
          <t>status</t>
        </is>
      </c>
      <c r="P1" s="1" t="inlineStr">
        <is>
          <t>family_id</t>
        </is>
      </c>
      <c r="Q1" s="1" t="inlineStr">
        <is>
          <t>family_order</t>
        </is>
      </c>
      <c r="R1" s="1" t="inlineStr">
        <is>
          <t>period_index</t>
        </is>
      </c>
      <c r="S1" s="1" t="inlineStr">
        <is>
          <t>period_end</t>
        </is>
      </c>
    </row>
    <row r="2">
      <c r="A2" t="inlineStr">
        <is>
          <t>revenue_link__20211231</t>
        </is>
      </c>
      <c r="B2" t="n">
        <v>1</v>
      </c>
      <c r="C2" t="inlineStr">
        <is>
          <t>Revenue historical source link</t>
        </is>
      </c>
      <c r="D2" t="inlineStr">
        <is>
          <t>Link Revenue from the Income Statement into Condensed Financials.</t>
        </is>
      </c>
      <c r="E2" t="inlineStr">
        <is>
          <t>condensed.revenue_link.2021-12-31</t>
        </is>
      </c>
      <c r="F2" t="inlineStr">
        <is>
          <t>accounting</t>
        </is>
      </c>
      <c r="G2" t="inlineStr">
        <is>
          <t>Condensed Financials</t>
        </is>
      </c>
      <c r="H2" t="inlineStr">
        <is>
          <t>B18</t>
        </is>
      </c>
      <c r="I2">
        <f>'Income Statement'!B7</f>
        <v/>
      </c>
      <c r="J2" t="n">
        <v>8500</v>
      </c>
      <c r="K2" t="n">
        <v>0.01</v>
      </c>
      <c r="M2" t="inlineStr">
        <is>
          <t>Pull the Revenue line from the Income Statement for the same fiscal period.</t>
        </is>
      </c>
      <c r="O2" t="inlineStr">
        <is>
          <t>pending</t>
        </is>
      </c>
      <c r="P2" t="inlineStr">
        <is>
          <t>revenue_link</t>
        </is>
      </c>
      <c r="Q2" t="n">
        <v>1</v>
      </c>
      <c r="R2" t="n">
        <v>0</v>
      </c>
      <c r="S2" t="inlineStr">
        <is>
          <t>2021-12-31</t>
        </is>
      </c>
    </row>
    <row r="3">
      <c r="A3" t="inlineStr">
        <is>
          <t>revenue_link__20221231</t>
        </is>
      </c>
      <c r="B3" t="n">
        <v>2</v>
      </c>
      <c r="C3" t="inlineStr">
        <is>
          <t>Revenue historical source link</t>
        </is>
      </c>
      <c r="D3" t="inlineStr">
        <is>
          <t>Link Revenue from the Income Statement into Condensed Financials.</t>
        </is>
      </c>
      <c r="E3" t="inlineStr">
        <is>
          <t>condensed.revenue_link.2022-12-31</t>
        </is>
      </c>
      <c r="F3" t="inlineStr">
        <is>
          <t>accounting</t>
        </is>
      </c>
      <c r="G3" t="inlineStr">
        <is>
          <t>Condensed Financials</t>
        </is>
      </c>
      <c r="H3" t="inlineStr">
        <is>
          <t>C18</t>
        </is>
      </c>
      <c r="I3">
        <f>'Income Statement'!C7</f>
        <v/>
      </c>
      <c r="J3" t="n">
        <v>9200</v>
      </c>
      <c r="K3" t="n">
        <v>0.01</v>
      </c>
      <c r="M3" t="inlineStr">
        <is>
          <t>Pull the Revenue line from the Income Statement for the same fiscal period.</t>
        </is>
      </c>
      <c r="O3" t="inlineStr">
        <is>
          <t>pending</t>
        </is>
      </c>
      <c r="P3" t="inlineStr">
        <is>
          <t>revenue_link</t>
        </is>
      </c>
      <c r="Q3" t="n">
        <v>1</v>
      </c>
      <c r="R3" t="n">
        <v>1</v>
      </c>
      <c r="S3" t="inlineStr">
        <is>
          <t>2022-12-31</t>
        </is>
      </c>
    </row>
    <row r="4">
      <c r="A4" t="inlineStr">
        <is>
          <t>revenue_link__20231231</t>
        </is>
      </c>
      <c r="B4" t="n">
        <v>3</v>
      </c>
      <c r="C4" t="inlineStr">
        <is>
          <t>Revenue historical source link</t>
        </is>
      </c>
      <c r="D4" t="inlineStr">
        <is>
          <t>Link Revenue from the Income Statement into Condensed Financials.</t>
        </is>
      </c>
      <c r="E4" t="inlineStr">
        <is>
          <t>condensed.revenue_link.2023-12-31</t>
        </is>
      </c>
      <c r="F4" t="inlineStr">
        <is>
          <t>accounting</t>
        </is>
      </c>
      <c r="G4" t="inlineStr">
        <is>
          <t>Condensed Financials</t>
        </is>
      </c>
      <c r="H4" t="inlineStr">
        <is>
          <t>D18</t>
        </is>
      </c>
      <c r="I4">
        <f>'Income Statement'!D7</f>
        <v/>
      </c>
      <c r="J4" t="n">
        <v>10100</v>
      </c>
      <c r="K4" t="n">
        <v>0.01</v>
      </c>
      <c r="M4" t="inlineStr">
        <is>
          <t>Pull the Revenue line from the Income Statement for the same fiscal period.</t>
        </is>
      </c>
      <c r="O4" t="inlineStr">
        <is>
          <t>pending</t>
        </is>
      </c>
      <c r="P4" t="inlineStr">
        <is>
          <t>revenue_link</t>
        </is>
      </c>
      <c r="Q4" t="n">
        <v>1</v>
      </c>
      <c r="R4" t="n">
        <v>2</v>
      </c>
      <c r="S4" t="inlineStr">
        <is>
          <t>2023-12-31</t>
        </is>
      </c>
    </row>
    <row r="5">
      <c r="A5" t="inlineStr">
        <is>
          <t>revenue_link__20241231</t>
        </is>
      </c>
      <c r="B5" t="n">
        <v>4</v>
      </c>
      <c r="C5" t="inlineStr">
        <is>
          <t>Revenue historical source link</t>
        </is>
      </c>
      <c r="D5" t="inlineStr">
        <is>
          <t>Link Revenue from the Income Statement into Condensed Financials.</t>
        </is>
      </c>
      <c r="E5" t="inlineStr">
        <is>
          <t>condensed.revenue_link.2024-12-31</t>
        </is>
      </c>
      <c r="F5" t="inlineStr">
        <is>
          <t>accounting</t>
        </is>
      </c>
      <c r="G5" t="inlineStr">
        <is>
          <t>Condensed Financials</t>
        </is>
      </c>
      <c r="H5" t="inlineStr">
        <is>
          <t>E18</t>
        </is>
      </c>
      <c r="I5">
        <f>'Income Statement'!E7</f>
        <v/>
      </c>
      <c r="J5" t="n">
        <v>11200</v>
      </c>
      <c r="K5" t="n">
        <v>0.01</v>
      </c>
      <c r="M5" t="inlineStr">
        <is>
          <t>Pull the Revenue line from the Income Statement for the same fiscal period.</t>
        </is>
      </c>
      <c r="O5" t="inlineStr">
        <is>
          <t>pending</t>
        </is>
      </c>
      <c r="P5" t="inlineStr">
        <is>
          <t>revenue_link</t>
        </is>
      </c>
      <c r="Q5" t="n">
        <v>1</v>
      </c>
      <c r="R5" t="n">
        <v>3</v>
      </c>
      <c r="S5" t="inlineStr">
        <is>
          <t>2024-12-31</t>
        </is>
      </c>
    </row>
    <row r="6">
      <c r="A6" t="inlineStr">
        <is>
          <t>revenue_link__20251231</t>
        </is>
      </c>
      <c r="B6" t="n">
        <v>5</v>
      </c>
      <c r="C6" t="inlineStr">
        <is>
          <t>Revenue historical source link</t>
        </is>
      </c>
      <c r="D6" t="inlineStr">
        <is>
          <t>Link Revenue from the Income Statement into Condensed Financials.</t>
        </is>
      </c>
      <c r="E6" t="inlineStr">
        <is>
          <t>condensed.revenue_link.2025-12-31</t>
        </is>
      </c>
      <c r="F6" t="inlineStr">
        <is>
          <t>accounting</t>
        </is>
      </c>
      <c r="G6" t="inlineStr">
        <is>
          <t>Condensed Financials</t>
        </is>
      </c>
      <c r="H6" t="inlineStr">
        <is>
          <t>F18</t>
        </is>
      </c>
      <c r="I6">
        <f>'Income Statement'!F7</f>
        <v/>
      </c>
      <c r="J6" t="n">
        <v>12500</v>
      </c>
      <c r="K6" t="n">
        <v>0.01</v>
      </c>
      <c r="M6" t="inlineStr">
        <is>
          <t>Pull the Revenue line from the Income Statement for the same fiscal period.</t>
        </is>
      </c>
      <c r="O6" t="inlineStr">
        <is>
          <t>pending</t>
        </is>
      </c>
      <c r="P6" t="inlineStr">
        <is>
          <t>revenue_link</t>
        </is>
      </c>
      <c r="Q6" t="n">
        <v>1</v>
      </c>
      <c r="R6" t="n">
        <v>4</v>
      </c>
      <c r="S6" t="inlineStr">
        <is>
          <t>2025-12-31</t>
        </is>
      </c>
    </row>
    <row r="7">
      <c r="A7" t="inlineStr">
        <is>
          <t>net_income_link__20211231</t>
        </is>
      </c>
      <c r="B7" t="n">
        <v>6</v>
      </c>
      <c r="C7" t="inlineStr">
        <is>
          <t>Net Income historical source link</t>
        </is>
      </c>
      <c r="D7" t="inlineStr">
        <is>
          <t>Link Net Income from the Income Statement into Condensed Financials.</t>
        </is>
      </c>
      <c r="E7" t="inlineStr">
        <is>
          <t>condensed.net_income_link.2021-12-31</t>
        </is>
      </c>
      <c r="F7" t="inlineStr">
        <is>
          <t>accounting</t>
        </is>
      </c>
      <c r="G7" t="inlineStr">
        <is>
          <t>Condensed Financials</t>
        </is>
      </c>
      <c r="H7" t="inlineStr">
        <is>
          <t>B19</t>
        </is>
      </c>
      <c r="I7">
        <f>'Income Statement'!B16</f>
        <v/>
      </c>
      <c r="J7" t="n">
        <v>2760</v>
      </c>
      <c r="K7" t="n">
        <v>0.01</v>
      </c>
      <c r="M7" t="inlineStr">
        <is>
          <t>Pull Net Income from the Income Statement for the same fiscal period.</t>
        </is>
      </c>
      <c r="O7" t="inlineStr">
        <is>
          <t>pending</t>
        </is>
      </c>
      <c r="P7" t="inlineStr">
        <is>
          <t>net_income_link</t>
        </is>
      </c>
      <c r="Q7" t="n">
        <v>2</v>
      </c>
      <c r="R7" t="n">
        <v>0</v>
      </c>
      <c r="S7" t="inlineStr">
        <is>
          <t>2021-12-31</t>
        </is>
      </c>
    </row>
    <row r="8">
      <c r="A8" t="inlineStr">
        <is>
          <t>net_income_link__20221231</t>
        </is>
      </c>
      <c r="B8" t="n">
        <v>7</v>
      </c>
      <c r="C8" t="inlineStr">
        <is>
          <t>Net Income historical source link</t>
        </is>
      </c>
      <c r="D8" t="inlineStr">
        <is>
          <t>Link Net Income from the Income Statement into Condensed Financials.</t>
        </is>
      </c>
      <c r="E8" t="inlineStr">
        <is>
          <t>condensed.net_income_link.2022-12-31</t>
        </is>
      </c>
      <c r="F8" t="inlineStr">
        <is>
          <t>accounting</t>
        </is>
      </c>
      <c r="G8" t="inlineStr">
        <is>
          <t>Condensed Financials</t>
        </is>
      </c>
      <c r="H8" t="inlineStr">
        <is>
          <t>C19</t>
        </is>
      </c>
      <c r="I8">
        <f>'Income Statement'!C16</f>
        <v/>
      </c>
      <c r="J8" t="n">
        <v>2988</v>
      </c>
      <c r="K8" t="n">
        <v>0.01</v>
      </c>
      <c r="M8" t="inlineStr">
        <is>
          <t>Pull Net Income from the Income Statement for the same fiscal period.</t>
        </is>
      </c>
      <c r="O8" t="inlineStr">
        <is>
          <t>pending</t>
        </is>
      </c>
      <c r="P8" t="inlineStr">
        <is>
          <t>net_income_link</t>
        </is>
      </c>
      <c r="Q8" t="n">
        <v>2</v>
      </c>
      <c r="R8" t="n">
        <v>1</v>
      </c>
      <c r="S8" t="inlineStr">
        <is>
          <t>2022-12-31</t>
        </is>
      </c>
    </row>
    <row r="9">
      <c r="A9" t="inlineStr">
        <is>
          <t>net_income_link__20231231</t>
        </is>
      </c>
      <c r="B9" t="n">
        <v>8</v>
      </c>
      <c r="C9" t="inlineStr">
        <is>
          <t>Net Income historical source link</t>
        </is>
      </c>
      <c r="D9" t="inlineStr">
        <is>
          <t>Link Net Income from the Income Statement into Condensed Financials.</t>
        </is>
      </c>
      <c r="E9" t="inlineStr">
        <is>
          <t>condensed.net_income_link.2023-12-31</t>
        </is>
      </c>
      <c r="F9" t="inlineStr">
        <is>
          <t>accounting</t>
        </is>
      </c>
      <c r="G9" t="inlineStr">
        <is>
          <t>Condensed Financials</t>
        </is>
      </c>
      <c r="H9" t="inlineStr">
        <is>
          <t>D19</t>
        </is>
      </c>
      <c r="I9">
        <f>'Income Statement'!D16</f>
        <v/>
      </c>
      <c r="J9" t="n">
        <v>3283</v>
      </c>
      <c r="K9" t="n">
        <v>0.01</v>
      </c>
      <c r="M9" t="inlineStr">
        <is>
          <t>Pull Net Income from the Income Statement for the same fiscal period.</t>
        </is>
      </c>
      <c r="O9" t="inlineStr">
        <is>
          <t>pending</t>
        </is>
      </c>
      <c r="P9" t="inlineStr">
        <is>
          <t>net_income_link</t>
        </is>
      </c>
      <c r="Q9" t="n">
        <v>2</v>
      </c>
      <c r="R9" t="n">
        <v>2</v>
      </c>
      <c r="S9" t="inlineStr">
        <is>
          <t>2023-12-31</t>
        </is>
      </c>
    </row>
    <row r="10">
      <c r="A10" t="inlineStr">
        <is>
          <t>net_income_link__20241231</t>
        </is>
      </c>
      <c r="B10" t="n">
        <v>9</v>
      </c>
      <c r="C10" t="inlineStr">
        <is>
          <t>Net Income historical source link</t>
        </is>
      </c>
      <c r="D10" t="inlineStr">
        <is>
          <t>Link Net Income from the Income Statement into Condensed Financials.</t>
        </is>
      </c>
      <c r="E10" t="inlineStr">
        <is>
          <t>condensed.net_income_link.2024-12-31</t>
        </is>
      </c>
      <c r="F10" t="inlineStr">
        <is>
          <t>accounting</t>
        </is>
      </c>
      <c r="G10" t="inlineStr">
        <is>
          <t>Condensed Financials</t>
        </is>
      </c>
      <c r="H10" t="inlineStr">
        <is>
          <t>E19</t>
        </is>
      </c>
      <c r="I10">
        <f>'Income Statement'!E16</f>
        <v/>
      </c>
      <c r="J10" t="n">
        <v>3644</v>
      </c>
      <c r="K10" t="n">
        <v>0.01</v>
      </c>
      <c r="M10" t="inlineStr">
        <is>
          <t>Pull Net Income from the Income Statement for the same fiscal period.</t>
        </is>
      </c>
      <c r="O10" t="inlineStr">
        <is>
          <t>pending</t>
        </is>
      </c>
      <c r="P10" t="inlineStr">
        <is>
          <t>net_income_link</t>
        </is>
      </c>
      <c r="Q10" t="n">
        <v>2</v>
      </c>
      <c r="R10" t="n">
        <v>3</v>
      </c>
      <c r="S10" t="inlineStr">
        <is>
          <t>2024-12-31</t>
        </is>
      </c>
    </row>
    <row r="11">
      <c r="A11" t="inlineStr">
        <is>
          <t>net_income_link__20251231</t>
        </is>
      </c>
      <c r="B11" t="n">
        <v>10</v>
      </c>
      <c r="C11" t="inlineStr">
        <is>
          <t>Net Income historical source link</t>
        </is>
      </c>
      <c r="D11" t="inlineStr">
        <is>
          <t>Link Net Income from the Income Statement into Condensed Financials.</t>
        </is>
      </c>
      <c r="E11" t="inlineStr">
        <is>
          <t>condensed.net_income_link.2025-12-31</t>
        </is>
      </c>
      <c r="F11" t="inlineStr">
        <is>
          <t>accounting</t>
        </is>
      </c>
      <c r="G11" t="inlineStr">
        <is>
          <t>Condensed Financials</t>
        </is>
      </c>
      <c r="H11" t="inlineStr">
        <is>
          <t>F19</t>
        </is>
      </c>
      <c r="I11">
        <f>'Income Statement'!F16</f>
        <v/>
      </c>
      <c r="J11" t="n">
        <v>4072</v>
      </c>
      <c r="K11" t="n">
        <v>0.01</v>
      </c>
      <c r="M11" t="inlineStr">
        <is>
          <t>Pull Net Income from the Income Statement for the same fiscal period.</t>
        </is>
      </c>
      <c r="O11" t="inlineStr">
        <is>
          <t>pending</t>
        </is>
      </c>
      <c r="P11" t="inlineStr">
        <is>
          <t>net_income_link</t>
        </is>
      </c>
      <c r="Q11" t="n">
        <v>2</v>
      </c>
      <c r="R11" t="n">
        <v>4</v>
      </c>
      <c r="S11" t="inlineStr">
        <is>
          <t>2025-12-31</t>
        </is>
      </c>
    </row>
    <row r="12">
      <c r="A12" t="inlineStr">
        <is>
          <t>effective_tax_rate_fy__20211231</t>
        </is>
      </c>
      <c r="B12" t="n">
        <v>11</v>
      </c>
      <c r="C12" t="inlineStr">
        <is>
          <t>Effective tax rate</t>
        </is>
      </c>
      <c r="D12" t="inlineStr">
        <is>
          <t>Relate tax expense to pretax income using the model's sign convention.</t>
        </is>
      </c>
      <c r="E12" t="inlineStr">
        <is>
          <t>condensed.effective_tax_rate.2021-12-31</t>
        </is>
      </c>
      <c r="F12" t="inlineStr">
        <is>
          <t>accounting</t>
        </is>
      </c>
      <c r="G12" t="inlineStr">
        <is>
          <t>Condensed Financials</t>
        </is>
      </c>
      <c r="H12" t="inlineStr">
        <is>
          <t>B24</t>
        </is>
      </c>
      <c r="I12">
        <f>IF(B20=0,0,-B21/B20)</f>
        <v/>
      </c>
      <c r="J12" t="n">
        <v>0.1699248120300752</v>
      </c>
      <c r="K12" t="n">
        <v>0.01</v>
      </c>
      <c r="M12" t="inlineStr">
        <is>
          <t>Effective tax rate uses pretax income in the denominator.|Preserve the model's sign convention for tax expense.</t>
        </is>
      </c>
      <c r="O12" t="inlineStr">
        <is>
          <t>pending</t>
        </is>
      </c>
      <c r="P12" t="inlineStr">
        <is>
          <t>effective_tax_rate_fy</t>
        </is>
      </c>
      <c r="Q12" t="n">
        <v>3</v>
      </c>
      <c r="R12" t="n">
        <v>0</v>
      </c>
      <c r="S12" t="inlineStr">
        <is>
          <t>2021-12-31</t>
        </is>
      </c>
    </row>
    <row r="13">
      <c r="A13" t="inlineStr">
        <is>
          <t>effective_tax_rate_fy__20221231</t>
        </is>
      </c>
      <c r="B13" t="n">
        <v>12</v>
      </c>
      <c r="C13" t="inlineStr">
        <is>
          <t>Effective tax rate</t>
        </is>
      </c>
      <c r="D13" t="inlineStr">
        <is>
          <t>Relate tax expense to pretax income using the model's sign convention.</t>
        </is>
      </c>
      <c r="E13" t="inlineStr">
        <is>
          <t>condensed.effective_tax_rate.2022-12-31</t>
        </is>
      </c>
      <c r="F13" t="inlineStr">
        <is>
          <t>accounting</t>
        </is>
      </c>
      <c r="G13" t="inlineStr">
        <is>
          <t>Condensed Financials</t>
        </is>
      </c>
      <c r="H13" t="inlineStr">
        <is>
          <t>C24</t>
        </is>
      </c>
      <c r="I13">
        <f>IF(C20=0,0,-C21/C20)</f>
        <v/>
      </c>
      <c r="J13" t="n">
        <v>0.17</v>
      </c>
      <c r="K13" t="n">
        <v>0.01</v>
      </c>
      <c r="M13" t="inlineStr">
        <is>
          <t>Effective tax rate uses pretax income in the denominator.|Preserve the model's sign convention for tax expense.</t>
        </is>
      </c>
      <c r="O13" t="inlineStr">
        <is>
          <t>pending</t>
        </is>
      </c>
      <c r="P13" t="inlineStr">
        <is>
          <t>effective_tax_rate_fy</t>
        </is>
      </c>
      <c r="Q13" t="n">
        <v>3</v>
      </c>
      <c r="R13" t="n">
        <v>1</v>
      </c>
      <c r="S13" t="inlineStr">
        <is>
          <t>2022-12-31</t>
        </is>
      </c>
    </row>
    <row r="14">
      <c r="A14" t="inlineStr">
        <is>
          <t>effective_tax_rate_fy__20231231</t>
        </is>
      </c>
      <c r="B14" t="n">
        <v>13</v>
      </c>
      <c r="C14" t="inlineStr">
        <is>
          <t>Effective tax rate</t>
        </is>
      </c>
      <c r="D14" t="inlineStr">
        <is>
          <t>Relate tax expense to pretax income using the model's sign convention.</t>
        </is>
      </c>
      <c r="E14" t="inlineStr">
        <is>
          <t>condensed.effective_tax_rate.2023-12-31</t>
        </is>
      </c>
      <c r="F14" t="inlineStr">
        <is>
          <t>accounting</t>
        </is>
      </c>
      <c r="G14" t="inlineStr">
        <is>
          <t>Condensed Financials</t>
        </is>
      </c>
      <c r="H14" t="inlineStr">
        <is>
          <t>D24</t>
        </is>
      </c>
      <c r="I14">
        <f>IF(D20=0,0,-D21/D20)</f>
        <v/>
      </c>
      <c r="J14" t="n">
        <v>0.1699115044247788</v>
      </c>
      <c r="K14" t="n">
        <v>0.01</v>
      </c>
      <c r="M14" t="inlineStr">
        <is>
          <t>Effective tax rate uses pretax income in the denominator.|Preserve the model's sign convention for tax expense.</t>
        </is>
      </c>
      <c r="O14" t="inlineStr">
        <is>
          <t>pending</t>
        </is>
      </c>
      <c r="P14" t="inlineStr">
        <is>
          <t>effective_tax_rate_fy</t>
        </is>
      </c>
      <c r="Q14" t="n">
        <v>3</v>
      </c>
      <c r="R14" t="n">
        <v>2</v>
      </c>
      <c r="S14" t="inlineStr">
        <is>
          <t>2023-12-31</t>
        </is>
      </c>
    </row>
    <row r="15">
      <c r="A15" t="inlineStr">
        <is>
          <t>effective_tax_rate_fy__20241231</t>
        </is>
      </c>
      <c r="B15" t="n">
        <v>14</v>
      </c>
      <c r="C15" t="inlineStr">
        <is>
          <t>Effective tax rate</t>
        </is>
      </c>
      <c r="D15" t="inlineStr">
        <is>
          <t>Relate tax expense to pretax income using the model's sign convention.</t>
        </is>
      </c>
      <c r="E15" t="inlineStr">
        <is>
          <t>condensed.effective_tax_rate.2024-12-31</t>
        </is>
      </c>
      <c r="F15" t="inlineStr">
        <is>
          <t>accounting</t>
        </is>
      </c>
      <c r="G15" t="inlineStr">
        <is>
          <t>Condensed Financials</t>
        </is>
      </c>
      <c r="H15" t="inlineStr">
        <is>
          <t>E24</t>
        </is>
      </c>
      <c r="I15">
        <f>IF(E20=0,0,-E21/E20)</f>
        <v/>
      </c>
      <c r="J15" t="n">
        <v>0.1699316628701595</v>
      </c>
      <c r="K15" t="n">
        <v>0.01</v>
      </c>
      <c r="M15" t="inlineStr">
        <is>
          <t>Effective tax rate uses pretax income in the denominator.|Preserve the model's sign convention for tax expense.</t>
        </is>
      </c>
      <c r="O15" t="inlineStr">
        <is>
          <t>pending</t>
        </is>
      </c>
      <c r="P15" t="inlineStr">
        <is>
          <t>effective_tax_rate_fy</t>
        </is>
      </c>
      <c r="Q15" t="n">
        <v>3</v>
      </c>
      <c r="R15" t="n">
        <v>3</v>
      </c>
      <c r="S15" t="inlineStr">
        <is>
          <t>2024-12-31</t>
        </is>
      </c>
    </row>
    <row r="16">
      <c r="A16" t="inlineStr">
        <is>
          <t>effective_tax_rate_fy__20251231</t>
        </is>
      </c>
      <c r="B16" t="n">
        <v>15</v>
      </c>
      <c r="C16" t="inlineStr">
        <is>
          <t>Effective tax rate</t>
        </is>
      </c>
      <c r="D16" t="inlineStr">
        <is>
          <t>Relate tax expense to pretax income using the model's sign convention.</t>
        </is>
      </c>
      <c r="E16" t="inlineStr">
        <is>
          <t>condensed.effective_tax_rate.2025-12-31</t>
        </is>
      </c>
      <c r="F16" t="inlineStr">
        <is>
          <t>accounting</t>
        </is>
      </c>
      <c r="G16" t="inlineStr">
        <is>
          <t>Condensed Financials</t>
        </is>
      </c>
      <c r="H16" t="inlineStr">
        <is>
          <t>F24</t>
        </is>
      </c>
      <c r="I16">
        <f>IF(F20=0,0,-F21/F20)</f>
        <v/>
      </c>
      <c r="J16" t="n">
        <v>0.1698267074413863</v>
      </c>
      <c r="K16" t="n">
        <v>0.01</v>
      </c>
      <c r="M16" t="inlineStr">
        <is>
          <t>Effective tax rate uses pretax income in the denominator.|Preserve the model's sign convention for tax expense.</t>
        </is>
      </c>
      <c r="O16" t="inlineStr">
        <is>
          <t>pending</t>
        </is>
      </c>
      <c r="P16" t="inlineStr">
        <is>
          <t>effective_tax_rate_fy</t>
        </is>
      </c>
      <c r="Q16" t="n">
        <v>3</v>
      </c>
      <c r="R16" t="n">
        <v>4</v>
      </c>
      <c r="S16" t="inlineStr">
        <is>
          <t>2025-12-31</t>
        </is>
      </c>
    </row>
    <row r="17">
      <c r="A17" t="inlineStr">
        <is>
          <t>net_interest_fy__20211231</t>
        </is>
      </c>
      <c r="B17" t="n">
        <v>16</v>
      </c>
      <c r="C17" t="inlineStr">
        <is>
          <t>Net interest</t>
        </is>
      </c>
      <c r="D17" t="inlineStr">
        <is>
          <t>Combine interest expense and interest income into the financing result.</t>
        </is>
      </c>
      <c r="E17" t="inlineStr">
        <is>
          <t>condensed.net_interest.2021-12-31</t>
        </is>
      </c>
      <c r="F17" t="inlineStr">
        <is>
          <t>accounting</t>
        </is>
      </c>
      <c r="G17" t="inlineStr">
        <is>
          <t>Condensed Financials</t>
        </is>
      </c>
      <c r="H17" t="inlineStr">
        <is>
          <t>B25</t>
        </is>
      </c>
      <c r="I17">
        <f>-(B22+B23)</f>
        <v/>
      </c>
      <c r="J17" t="n">
        <v>75</v>
      </c>
      <c r="K17" t="n">
        <v>0.01</v>
      </c>
      <c r="M17" t="inlineStr">
        <is>
          <t>Net interest consolidates interest expense and interest income.|Missing optional interest lines are treated as zero.</t>
        </is>
      </c>
      <c r="O17" t="inlineStr">
        <is>
          <t>pending</t>
        </is>
      </c>
      <c r="P17" t="inlineStr">
        <is>
          <t>net_interest_fy</t>
        </is>
      </c>
      <c r="Q17" t="n">
        <v>4</v>
      </c>
      <c r="R17" t="n">
        <v>0</v>
      </c>
      <c r="S17" t="inlineStr">
        <is>
          <t>2021-12-31</t>
        </is>
      </c>
    </row>
    <row r="18">
      <c r="A18" t="inlineStr">
        <is>
          <t>net_interest_fy__20221231</t>
        </is>
      </c>
      <c r="B18" t="n">
        <v>17</v>
      </c>
      <c r="C18" t="inlineStr">
        <is>
          <t>Net interest</t>
        </is>
      </c>
      <c r="D18" t="inlineStr">
        <is>
          <t>Combine interest expense and interest income into the financing result.</t>
        </is>
      </c>
      <c r="E18" t="inlineStr">
        <is>
          <t>condensed.net_interest.2022-12-31</t>
        </is>
      </c>
      <c r="F18" t="inlineStr">
        <is>
          <t>accounting</t>
        </is>
      </c>
      <c r="G18" t="inlineStr">
        <is>
          <t>Condensed Financials</t>
        </is>
      </c>
      <c r="H18" t="inlineStr">
        <is>
          <t>C25</t>
        </is>
      </c>
      <c r="I18">
        <f>-(C22+C23)</f>
        <v/>
      </c>
      <c r="J18" t="n">
        <v>80</v>
      </c>
      <c r="K18" t="n">
        <v>0.01</v>
      </c>
      <c r="M18" t="inlineStr">
        <is>
          <t>Net interest consolidates interest expense and interest income.|Missing optional interest lines are treated as zero.</t>
        </is>
      </c>
      <c r="O18" t="inlineStr">
        <is>
          <t>pending</t>
        </is>
      </c>
      <c r="P18" t="inlineStr">
        <is>
          <t>net_interest_fy</t>
        </is>
      </c>
      <c r="Q18" t="n">
        <v>4</v>
      </c>
      <c r="R18" t="n">
        <v>1</v>
      </c>
      <c r="S18" t="inlineStr">
        <is>
          <t>2022-12-31</t>
        </is>
      </c>
    </row>
    <row r="19">
      <c r="A19" t="inlineStr">
        <is>
          <t>net_interest_fy__20231231</t>
        </is>
      </c>
      <c r="B19" t="n">
        <v>18</v>
      </c>
      <c r="C19" t="inlineStr">
        <is>
          <t>Net interest</t>
        </is>
      </c>
      <c r="D19" t="inlineStr">
        <is>
          <t>Combine interest expense and interest income into the financing result.</t>
        </is>
      </c>
      <c r="E19" t="inlineStr">
        <is>
          <t>condensed.net_interest.2023-12-31</t>
        </is>
      </c>
      <c r="F19" t="inlineStr">
        <is>
          <t>accounting</t>
        </is>
      </c>
      <c r="G19" t="inlineStr">
        <is>
          <t>Condensed Financials</t>
        </is>
      </c>
      <c r="H19" t="inlineStr">
        <is>
          <t>D25</t>
        </is>
      </c>
      <c r="I19">
        <f>-(D22+D23)</f>
        <v/>
      </c>
      <c r="J19" t="n">
        <v>85</v>
      </c>
      <c r="K19" t="n">
        <v>0.01</v>
      </c>
      <c r="M19" t="inlineStr">
        <is>
          <t>Net interest consolidates interest expense and interest income.|Missing optional interest lines are treated as zero.</t>
        </is>
      </c>
      <c r="O19" t="inlineStr">
        <is>
          <t>pending</t>
        </is>
      </c>
      <c r="P19" t="inlineStr">
        <is>
          <t>net_interest_fy</t>
        </is>
      </c>
      <c r="Q19" t="n">
        <v>4</v>
      </c>
      <c r="R19" t="n">
        <v>2</v>
      </c>
      <c r="S19" t="inlineStr">
        <is>
          <t>2023-12-31</t>
        </is>
      </c>
    </row>
    <row r="20">
      <c r="A20" t="inlineStr">
        <is>
          <t>net_interest_fy__20241231</t>
        </is>
      </c>
      <c r="B20" t="n">
        <v>19</v>
      </c>
      <c r="C20" t="inlineStr">
        <is>
          <t>Net interest</t>
        </is>
      </c>
      <c r="D20" t="inlineStr">
        <is>
          <t>Combine interest expense and interest income into the financing result.</t>
        </is>
      </c>
      <c r="E20" t="inlineStr">
        <is>
          <t>condensed.net_interest.2024-12-31</t>
        </is>
      </c>
      <c r="F20" t="inlineStr">
        <is>
          <t>accounting</t>
        </is>
      </c>
      <c r="G20" t="inlineStr">
        <is>
          <t>Condensed Financials</t>
        </is>
      </c>
      <c r="H20" t="inlineStr">
        <is>
          <t>E25</t>
        </is>
      </c>
      <c r="I20">
        <f>-(E22+E23)</f>
        <v/>
      </c>
      <c r="J20" t="n">
        <v>90</v>
      </c>
      <c r="K20" t="n">
        <v>0.01</v>
      </c>
      <c r="M20" t="inlineStr">
        <is>
          <t>Net interest consolidates interest expense and interest income.|Missing optional interest lines are treated as zero.</t>
        </is>
      </c>
      <c r="O20" t="inlineStr">
        <is>
          <t>pending</t>
        </is>
      </c>
      <c r="P20" t="inlineStr">
        <is>
          <t>net_interest_fy</t>
        </is>
      </c>
      <c r="Q20" t="n">
        <v>4</v>
      </c>
      <c r="R20" t="n">
        <v>3</v>
      </c>
      <c r="S20" t="inlineStr">
        <is>
          <t>2024-12-31</t>
        </is>
      </c>
    </row>
    <row r="21">
      <c r="A21" t="inlineStr">
        <is>
          <t>net_interest_fy__20251231</t>
        </is>
      </c>
      <c r="B21" t="n">
        <v>20</v>
      </c>
      <c r="C21" t="inlineStr">
        <is>
          <t>Net interest</t>
        </is>
      </c>
      <c r="D21" t="inlineStr">
        <is>
          <t>Combine interest expense and interest income into the financing result.</t>
        </is>
      </c>
      <c r="E21" t="inlineStr">
        <is>
          <t>condensed.net_interest.2025-12-31</t>
        </is>
      </c>
      <c r="F21" t="inlineStr">
        <is>
          <t>accounting</t>
        </is>
      </c>
      <c r="G21" t="inlineStr">
        <is>
          <t>Condensed Financials</t>
        </is>
      </c>
      <c r="H21" t="inlineStr">
        <is>
          <t>F25</t>
        </is>
      </c>
      <c r="I21">
        <f>-(F22+F23)</f>
        <v/>
      </c>
      <c r="J21" t="n">
        <v>95</v>
      </c>
      <c r="K21" t="n">
        <v>0.01</v>
      </c>
      <c r="M21" t="inlineStr">
        <is>
          <t>Net interest consolidates interest expense and interest income.|Missing optional interest lines are treated as zero.</t>
        </is>
      </c>
      <c r="O21" t="inlineStr">
        <is>
          <t>pending</t>
        </is>
      </c>
      <c r="P21" t="inlineStr">
        <is>
          <t>net_interest_fy</t>
        </is>
      </c>
      <c r="Q21" t="n">
        <v>4</v>
      </c>
      <c r="R21" t="n">
        <v>4</v>
      </c>
      <c r="S21" t="inlineStr">
        <is>
          <t>2025-12-31</t>
        </is>
      </c>
    </row>
    <row r="22">
      <c r="A22" t="inlineStr">
        <is>
          <t>net_interest_after_tax_fy__20211231</t>
        </is>
      </c>
      <c r="B22" t="n">
        <v>21</v>
      </c>
      <c r="C22" t="inlineStr">
        <is>
          <t>Net interest after tax</t>
        </is>
      </c>
      <c r="D22" t="inlineStr">
        <is>
          <t>Apply the effective tax rate once to net interest.</t>
        </is>
      </c>
      <c r="E22" t="inlineStr">
        <is>
          <t>condensed.net_interest_after_tax.2021-12-31</t>
        </is>
      </c>
      <c r="F22" t="inlineStr">
        <is>
          <t>accounting</t>
        </is>
      </c>
      <c r="G22" t="inlineStr">
        <is>
          <t>Condensed Financials</t>
        </is>
      </c>
      <c r="H22" t="inlineStr">
        <is>
          <t>B26</t>
        </is>
      </c>
      <c r="I22">
        <f>B25*(1-B24)</f>
        <v/>
      </c>
      <c r="J22" t="n">
        <v>62.25563909774436</v>
      </c>
      <c r="K22" t="n">
        <v>0.01</v>
      </c>
      <c r="L22" t="inlineStr">
        <is>
          <t>effective_tax_rate_fy__20211231,net_interest_fy__20211231</t>
        </is>
      </c>
      <c r="M22" t="inlineStr">
        <is>
          <t>After-tax net interest = Net Interest × (1 − Effective Tax Rate).|Do not tax-adjust a rate that is already after tax.</t>
        </is>
      </c>
      <c r="O22" t="inlineStr">
        <is>
          <t>pending</t>
        </is>
      </c>
      <c r="P22" t="inlineStr">
        <is>
          <t>net_interest_after_tax_fy</t>
        </is>
      </c>
      <c r="Q22" t="n">
        <v>5</v>
      </c>
      <c r="R22" t="n">
        <v>0</v>
      </c>
      <c r="S22" t="inlineStr">
        <is>
          <t>2021-12-31</t>
        </is>
      </c>
    </row>
    <row r="23">
      <c r="A23" t="inlineStr">
        <is>
          <t>net_interest_after_tax_fy__20221231</t>
        </is>
      </c>
      <c r="B23" t="n">
        <v>22</v>
      </c>
      <c r="C23" t="inlineStr">
        <is>
          <t>Net interest after tax</t>
        </is>
      </c>
      <c r="D23" t="inlineStr">
        <is>
          <t>Apply the effective tax rate once to net interest.</t>
        </is>
      </c>
      <c r="E23" t="inlineStr">
        <is>
          <t>condensed.net_interest_after_tax.2022-12-31</t>
        </is>
      </c>
      <c r="F23" t="inlineStr">
        <is>
          <t>accounting</t>
        </is>
      </c>
      <c r="G23" t="inlineStr">
        <is>
          <t>Condensed Financials</t>
        </is>
      </c>
      <c r="H23" t="inlineStr">
        <is>
          <t>C26</t>
        </is>
      </c>
      <c r="I23">
        <f>C25*(1-C24)</f>
        <v/>
      </c>
      <c r="J23" t="n">
        <v>66.39999999999999</v>
      </c>
      <c r="K23" t="n">
        <v>0.01</v>
      </c>
      <c r="L23" t="inlineStr">
        <is>
          <t>effective_tax_rate_fy__20221231,net_interest_fy__20221231</t>
        </is>
      </c>
      <c r="M23" t="inlineStr">
        <is>
          <t>After-tax net interest = Net Interest × (1 − Effective Tax Rate).|Do not tax-adjust a rate that is already after tax.</t>
        </is>
      </c>
      <c r="O23" t="inlineStr">
        <is>
          <t>pending</t>
        </is>
      </c>
      <c r="P23" t="inlineStr">
        <is>
          <t>net_interest_after_tax_fy</t>
        </is>
      </c>
      <c r="Q23" t="n">
        <v>5</v>
      </c>
      <c r="R23" t="n">
        <v>1</v>
      </c>
      <c r="S23" t="inlineStr">
        <is>
          <t>2022-12-31</t>
        </is>
      </c>
    </row>
    <row r="24">
      <c r="A24" t="inlineStr">
        <is>
          <t>net_interest_after_tax_fy__20231231</t>
        </is>
      </c>
      <c r="B24" t="n">
        <v>23</v>
      </c>
      <c r="C24" t="inlineStr">
        <is>
          <t>Net interest after tax</t>
        </is>
      </c>
      <c r="D24" t="inlineStr">
        <is>
          <t>Apply the effective tax rate once to net interest.</t>
        </is>
      </c>
      <c r="E24" t="inlineStr">
        <is>
          <t>condensed.net_interest_after_tax.2023-12-31</t>
        </is>
      </c>
      <c r="F24" t="inlineStr">
        <is>
          <t>accounting</t>
        </is>
      </c>
      <c r="G24" t="inlineStr">
        <is>
          <t>Condensed Financials</t>
        </is>
      </c>
      <c r="H24" t="inlineStr">
        <is>
          <t>D26</t>
        </is>
      </c>
      <c r="I24">
        <f>D25*(1-D24)</f>
        <v/>
      </c>
      <c r="J24" t="n">
        <v>70.5575221238938</v>
      </c>
      <c r="K24" t="n">
        <v>0.01</v>
      </c>
      <c r="L24" t="inlineStr">
        <is>
          <t>effective_tax_rate_fy__20231231,net_interest_fy__20231231</t>
        </is>
      </c>
      <c r="M24" t="inlineStr">
        <is>
          <t>After-tax net interest = Net Interest × (1 − Effective Tax Rate).|Do not tax-adjust a rate that is already after tax.</t>
        </is>
      </c>
      <c r="O24" t="inlineStr">
        <is>
          <t>pending</t>
        </is>
      </c>
      <c r="P24" t="inlineStr">
        <is>
          <t>net_interest_after_tax_fy</t>
        </is>
      </c>
      <c r="Q24" t="n">
        <v>5</v>
      </c>
      <c r="R24" t="n">
        <v>2</v>
      </c>
      <c r="S24" t="inlineStr">
        <is>
          <t>2023-12-31</t>
        </is>
      </c>
    </row>
    <row r="25">
      <c r="A25" t="inlineStr">
        <is>
          <t>net_interest_after_tax_fy__20241231</t>
        </is>
      </c>
      <c r="B25" t="n">
        <v>24</v>
      </c>
      <c r="C25" t="inlineStr">
        <is>
          <t>Net interest after tax</t>
        </is>
      </c>
      <c r="D25" t="inlineStr">
        <is>
          <t>Apply the effective tax rate once to net interest.</t>
        </is>
      </c>
      <c r="E25" t="inlineStr">
        <is>
          <t>condensed.net_interest_after_tax.2024-12-31</t>
        </is>
      </c>
      <c r="F25" t="inlineStr">
        <is>
          <t>accounting</t>
        </is>
      </c>
      <c r="G25" t="inlineStr">
        <is>
          <t>Condensed Financials</t>
        </is>
      </c>
      <c r="H25" t="inlineStr">
        <is>
          <t>E26</t>
        </is>
      </c>
      <c r="I25">
        <f>E25*(1-E24)</f>
        <v/>
      </c>
      <c r="J25" t="n">
        <v>74.70615034168564</v>
      </c>
      <c r="K25" t="n">
        <v>0.01</v>
      </c>
      <c r="L25" t="inlineStr">
        <is>
          <t>effective_tax_rate_fy__20241231,net_interest_fy__20241231</t>
        </is>
      </c>
      <c r="M25" t="inlineStr">
        <is>
          <t>After-tax net interest = Net Interest × (1 − Effective Tax Rate).|Do not tax-adjust a rate that is already after tax.</t>
        </is>
      </c>
      <c r="O25" t="inlineStr">
        <is>
          <t>pending</t>
        </is>
      </c>
      <c r="P25" t="inlineStr">
        <is>
          <t>net_interest_after_tax_fy</t>
        </is>
      </c>
      <c r="Q25" t="n">
        <v>5</v>
      </c>
      <c r="R25" t="n">
        <v>3</v>
      </c>
      <c r="S25" t="inlineStr">
        <is>
          <t>2024-12-31</t>
        </is>
      </c>
    </row>
    <row r="26">
      <c r="A26" t="inlineStr">
        <is>
          <t>net_interest_after_tax_fy__20251231</t>
        </is>
      </c>
      <c r="B26" t="n">
        <v>25</v>
      </c>
      <c r="C26" t="inlineStr">
        <is>
          <t>Net interest after tax</t>
        </is>
      </c>
      <c r="D26" t="inlineStr">
        <is>
          <t>Apply the effective tax rate once to net interest.</t>
        </is>
      </c>
      <c r="E26" t="inlineStr">
        <is>
          <t>condensed.net_interest_after_tax.2025-12-31</t>
        </is>
      </c>
      <c r="F26" t="inlineStr">
        <is>
          <t>accounting</t>
        </is>
      </c>
      <c r="G26" t="inlineStr">
        <is>
          <t>Condensed Financials</t>
        </is>
      </c>
      <c r="H26" t="inlineStr">
        <is>
          <t>F26</t>
        </is>
      </c>
      <c r="I26">
        <f>F25*(1-F24)</f>
        <v/>
      </c>
      <c r="J26" t="n">
        <v>78.86646279306829</v>
      </c>
      <c r="K26" t="n">
        <v>0.01</v>
      </c>
      <c r="L26" t="inlineStr">
        <is>
          <t>effective_tax_rate_fy__20251231,net_interest_fy__20251231</t>
        </is>
      </c>
      <c r="M26" t="inlineStr">
        <is>
          <t>After-tax net interest = Net Interest × (1 − Effective Tax Rate).|Do not tax-adjust a rate that is already after tax.</t>
        </is>
      </c>
      <c r="O26" t="inlineStr">
        <is>
          <t>pending</t>
        </is>
      </c>
      <c r="P26" t="inlineStr">
        <is>
          <t>net_interest_after_tax_fy</t>
        </is>
      </c>
      <c r="Q26" t="n">
        <v>5</v>
      </c>
      <c r="R26" t="n">
        <v>4</v>
      </c>
      <c r="S26" t="inlineStr">
        <is>
          <t>2025-12-31</t>
        </is>
      </c>
    </row>
    <row r="27">
      <c r="A27" t="inlineStr">
        <is>
          <t>nopat_fy__20211231</t>
        </is>
      </c>
      <c r="B27" t="n">
        <v>26</v>
      </c>
      <c r="C27" t="inlineStr">
        <is>
          <t>NOPAT</t>
        </is>
      </c>
      <c r="D27" t="inlineStr">
        <is>
          <t>Reformulate net income to operating profit after tax.</t>
        </is>
      </c>
      <c r="E27" t="inlineStr">
        <is>
          <t>condensed.nopat.2021-12-31</t>
        </is>
      </c>
      <c r="F27" t="inlineStr">
        <is>
          <t>accounting</t>
        </is>
      </c>
      <c r="G27" t="inlineStr">
        <is>
          <t>Condensed Financials</t>
        </is>
      </c>
      <c r="H27" t="inlineStr">
        <is>
          <t>B27</t>
        </is>
      </c>
      <c r="I27">
        <f>B19+B26</f>
        <v/>
      </c>
      <c r="J27" t="n">
        <v>2822.255639097744</v>
      </c>
      <c r="K27" t="n">
        <v>0.01</v>
      </c>
      <c r="L27" t="inlineStr">
        <is>
          <t>net_income_link__20211231,net_interest_after_tax_fy__20211231</t>
        </is>
      </c>
      <c r="M27" t="inlineStr">
        <is>
          <t>Start from Net Income on the Income Statement.|Add back after-tax net interest: Net Interest × (1 − Tax Rate).|NOPAT = Net Income + Net Interest After Tax.</t>
        </is>
      </c>
      <c r="O27" t="inlineStr">
        <is>
          <t>pending</t>
        </is>
      </c>
      <c r="P27" t="inlineStr">
        <is>
          <t>nopat_fy</t>
        </is>
      </c>
      <c r="Q27" t="n">
        <v>6</v>
      </c>
      <c r="R27" t="n">
        <v>0</v>
      </c>
      <c r="S27" t="inlineStr">
        <is>
          <t>2021-12-31</t>
        </is>
      </c>
    </row>
    <row r="28">
      <c r="A28" t="inlineStr">
        <is>
          <t>nopat_fy__20221231</t>
        </is>
      </c>
      <c r="B28" t="n">
        <v>27</v>
      </c>
      <c r="C28" t="inlineStr">
        <is>
          <t>NOPAT</t>
        </is>
      </c>
      <c r="D28" t="inlineStr">
        <is>
          <t>Reformulate net income to operating profit after tax.</t>
        </is>
      </c>
      <c r="E28" t="inlineStr">
        <is>
          <t>condensed.nopat.2022-12-31</t>
        </is>
      </c>
      <c r="F28" t="inlineStr">
        <is>
          <t>accounting</t>
        </is>
      </c>
      <c r="G28" t="inlineStr">
        <is>
          <t>Condensed Financials</t>
        </is>
      </c>
      <c r="H28" t="inlineStr">
        <is>
          <t>C27</t>
        </is>
      </c>
      <c r="I28">
        <f>C19+C26</f>
        <v/>
      </c>
      <c r="J28" t="n">
        <v>3054.4</v>
      </c>
      <c r="K28" t="n">
        <v>0.01</v>
      </c>
      <c r="L28" t="inlineStr">
        <is>
          <t>net_income_link__20221231,net_interest_after_tax_fy__20221231</t>
        </is>
      </c>
      <c r="M28" t="inlineStr">
        <is>
          <t>Start from Net Income on the Income Statement.|Add back after-tax net interest: Net Interest × (1 − Tax Rate).|NOPAT = Net Income + Net Interest After Tax.</t>
        </is>
      </c>
      <c r="O28" t="inlineStr">
        <is>
          <t>pending</t>
        </is>
      </c>
      <c r="P28" t="inlineStr">
        <is>
          <t>nopat_fy</t>
        </is>
      </c>
      <c r="Q28" t="n">
        <v>6</v>
      </c>
      <c r="R28" t="n">
        <v>1</v>
      </c>
      <c r="S28" t="inlineStr">
        <is>
          <t>2022-12-31</t>
        </is>
      </c>
    </row>
    <row r="29">
      <c r="A29" t="inlineStr">
        <is>
          <t>nopat_fy__20231231</t>
        </is>
      </c>
      <c r="B29" t="n">
        <v>28</v>
      </c>
      <c r="C29" t="inlineStr">
        <is>
          <t>NOPAT</t>
        </is>
      </c>
      <c r="D29" t="inlineStr">
        <is>
          <t>Reformulate net income to operating profit after tax.</t>
        </is>
      </c>
      <c r="E29" t="inlineStr">
        <is>
          <t>condensed.nopat.2023-12-31</t>
        </is>
      </c>
      <c r="F29" t="inlineStr">
        <is>
          <t>accounting</t>
        </is>
      </c>
      <c r="G29" t="inlineStr">
        <is>
          <t>Condensed Financials</t>
        </is>
      </c>
      <c r="H29" t="inlineStr">
        <is>
          <t>D27</t>
        </is>
      </c>
      <c r="I29">
        <f>D19+D26</f>
        <v/>
      </c>
      <c r="J29" t="n">
        <v>3353.557522123894</v>
      </c>
      <c r="K29" t="n">
        <v>0.01</v>
      </c>
      <c r="L29" t="inlineStr">
        <is>
          <t>net_income_link__20231231,net_interest_after_tax_fy__20231231</t>
        </is>
      </c>
      <c r="M29" t="inlineStr">
        <is>
          <t>Start from Net Income on the Income Statement.|Add back after-tax net interest: Net Interest × (1 − Tax Rate).|NOPAT = Net Income + Net Interest After Tax.</t>
        </is>
      </c>
      <c r="O29" t="inlineStr">
        <is>
          <t>pending</t>
        </is>
      </c>
      <c r="P29" t="inlineStr">
        <is>
          <t>nopat_fy</t>
        </is>
      </c>
      <c r="Q29" t="n">
        <v>6</v>
      </c>
      <c r="R29" t="n">
        <v>2</v>
      </c>
      <c r="S29" t="inlineStr">
        <is>
          <t>2023-12-31</t>
        </is>
      </c>
    </row>
    <row r="30">
      <c r="A30" t="inlineStr">
        <is>
          <t>nopat_fy__20241231</t>
        </is>
      </c>
      <c r="B30" t="n">
        <v>29</v>
      </c>
      <c r="C30" t="inlineStr">
        <is>
          <t>NOPAT</t>
        </is>
      </c>
      <c r="D30" t="inlineStr">
        <is>
          <t>Reformulate net income to operating profit after tax.</t>
        </is>
      </c>
      <c r="E30" t="inlineStr">
        <is>
          <t>condensed.nopat.2024-12-31</t>
        </is>
      </c>
      <c r="F30" t="inlineStr">
        <is>
          <t>accounting</t>
        </is>
      </c>
      <c r="G30" t="inlineStr">
        <is>
          <t>Condensed Financials</t>
        </is>
      </c>
      <c r="H30" t="inlineStr">
        <is>
          <t>E27</t>
        </is>
      </c>
      <c r="I30">
        <f>E19+E26</f>
        <v/>
      </c>
      <c r="J30" t="n">
        <v>3718.706150341686</v>
      </c>
      <c r="K30" t="n">
        <v>0.01</v>
      </c>
      <c r="L30" t="inlineStr">
        <is>
          <t>net_income_link__20241231,net_interest_after_tax_fy__20241231</t>
        </is>
      </c>
      <c r="M30" t="inlineStr">
        <is>
          <t>Start from Net Income on the Income Statement.|Add back after-tax net interest: Net Interest × (1 − Tax Rate).|NOPAT = Net Income + Net Interest After Tax.</t>
        </is>
      </c>
      <c r="O30" t="inlineStr">
        <is>
          <t>pending</t>
        </is>
      </c>
      <c r="P30" t="inlineStr">
        <is>
          <t>nopat_fy</t>
        </is>
      </c>
      <c r="Q30" t="n">
        <v>6</v>
      </c>
      <c r="R30" t="n">
        <v>3</v>
      </c>
      <c r="S30" t="inlineStr">
        <is>
          <t>2024-12-31</t>
        </is>
      </c>
    </row>
    <row r="31">
      <c r="A31" t="inlineStr">
        <is>
          <t>nopat_fy__20251231</t>
        </is>
      </c>
      <c r="B31" t="n">
        <v>30</v>
      </c>
      <c r="C31" t="inlineStr">
        <is>
          <t>NOPAT</t>
        </is>
      </c>
      <c r="D31" t="inlineStr">
        <is>
          <t>Reformulate net income to operating profit after tax.</t>
        </is>
      </c>
      <c r="E31" t="inlineStr">
        <is>
          <t>condensed.nopat.2025-12-31</t>
        </is>
      </c>
      <c r="F31" t="inlineStr">
        <is>
          <t>accounting</t>
        </is>
      </c>
      <c r="G31" t="inlineStr">
        <is>
          <t>Condensed Financials</t>
        </is>
      </c>
      <c r="H31" t="inlineStr">
        <is>
          <t>F27</t>
        </is>
      </c>
      <c r="I31">
        <f>F19+F26</f>
        <v/>
      </c>
      <c r="J31" t="n">
        <v>4150.866462793068</v>
      </c>
      <c r="K31" t="n">
        <v>0.01</v>
      </c>
      <c r="L31" t="inlineStr">
        <is>
          <t>net_income_link__20251231,net_interest_after_tax_fy__20251231</t>
        </is>
      </c>
      <c r="M31" t="inlineStr">
        <is>
          <t>Start from Net Income on the Income Statement.|Add back after-tax net interest: Net Interest × (1 − Tax Rate).|NOPAT = Net Income + Net Interest After Tax.</t>
        </is>
      </c>
      <c r="O31" t="inlineStr">
        <is>
          <t>pending</t>
        </is>
      </c>
      <c r="P31" t="inlineStr">
        <is>
          <t>nopat_fy</t>
        </is>
      </c>
      <c r="Q31" t="n">
        <v>6</v>
      </c>
      <c r="R31" t="n">
        <v>4</v>
      </c>
      <c r="S31" t="inlineStr">
        <is>
          <t>2025-12-31</t>
        </is>
      </c>
    </row>
    <row r="32">
      <c r="A32" t="inlineStr">
        <is>
          <t>owca_agg__20211231</t>
        </is>
      </c>
      <c r="B32" t="n">
        <v>31</v>
      </c>
      <c r="C32" t="inlineStr">
        <is>
          <t>Operating working capital assets</t>
        </is>
      </c>
      <c r="D32" t="inlineStr">
        <is>
          <t>Aggregate the classified balance-sheet detail with the classification column.</t>
        </is>
      </c>
      <c r="E32" t="inlineStr">
        <is>
          <t>condensed.owca.2021-12-31</t>
        </is>
      </c>
      <c r="F32" t="inlineStr">
        <is>
          <t>accounting</t>
        </is>
      </c>
      <c r="G32" t="inlineStr">
        <is>
          <t>Condensed Financials</t>
        </is>
      </c>
      <c r="H32" t="inlineStr">
        <is>
          <t>B30</t>
        </is>
      </c>
      <c r="I32">
        <f>SUMIF($B$6:$B$15,"Operating Working Capital Asset",C$6:C$15)</f>
        <v/>
      </c>
      <c r="J32" t="n">
        <v>1530</v>
      </c>
      <c r="K32" t="n">
        <v>0.01</v>
      </c>
      <c r="M32" t="inlineStr">
        <is>
          <t>Use SUMIF over the classification column for Operating Working Capital Asset.</t>
        </is>
      </c>
      <c r="O32" t="inlineStr">
        <is>
          <t>pending</t>
        </is>
      </c>
      <c r="P32" t="inlineStr">
        <is>
          <t>owca_agg</t>
        </is>
      </c>
      <c r="Q32" t="n">
        <v>7</v>
      </c>
      <c r="R32" t="n">
        <v>0</v>
      </c>
      <c r="S32" t="inlineStr">
        <is>
          <t>2021-12-31</t>
        </is>
      </c>
    </row>
    <row r="33">
      <c r="A33" t="inlineStr">
        <is>
          <t>owca_agg__20221231</t>
        </is>
      </c>
      <c r="B33" t="n">
        <v>32</v>
      </c>
      <c r="C33" t="inlineStr">
        <is>
          <t>Operating working capital assets</t>
        </is>
      </c>
      <c r="D33" t="inlineStr">
        <is>
          <t>Aggregate the classified balance-sheet detail with the classification column.</t>
        </is>
      </c>
      <c r="E33" t="inlineStr">
        <is>
          <t>condensed.owca.2022-12-31</t>
        </is>
      </c>
      <c r="F33" t="inlineStr">
        <is>
          <t>accounting</t>
        </is>
      </c>
      <c r="G33" t="inlineStr">
        <is>
          <t>Condensed Financials</t>
        </is>
      </c>
      <c r="H33" t="inlineStr">
        <is>
          <t>C30</t>
        </is>
      </c>
      <c r="I33">
        <f>SUMIF($B$6:$B$15,"Operating Working Capital Asset",D$6:D$15)</f>
        <v/>
      </c>
      <c r="J33" t="n">
        <v>1656</v>
      </c>
      <c r="K33" t="n">
        <v>0.01</v>
      </c>
      <c r="M33" t="inlineStr">
        <is>
          <t>Use SUMIF over the classification column for Operating Working Capital Asset.</t>
        </is>
      </c>
      <c r="O33" t="inlineStr">
        <is>
          <t>pending</t>
        </is>
      </c>
      <c r="P33" t="inlineStr">
        <is>
          <t>owca_agg</t>
        </is>
      </c>
      <c r="Q33" t="n">
        <v>7</v>
      </c>
      <c r="R33" t="n">
        <v>1</v>
      </c>
      <c r="S33" t="inlineStr">
        <is>
          <t>2022-12-31</t>
        </is>
      </c>
    </row>
    <row r="34">
      <c r="A34" t="inlineStr">
        <is>
          <t>owca_agg__20231231</t>
        </is>
      </c>
      <c r="B34" t="n">
        <v>33</v>
      </c>
      <c r="C34" t="inlineStr">
        <is>
          <t>Operating working capital assets</t>
        </is>
      </c>
      <c r="D34" t="inlineStr">
        <is>
          <t>Aggregate the classified balance-sheet detail with the classification column.</t>
        </is>
      </c>
      <c r="E34" t="inlineStr">
        <is>
          <t>condensed.owca.2023-12-31</t>
        </is>
      </c>
      <c r="F34" t="inlineStr">
        <is>
          <t>accounting</t>
        </is>
      </c>
      <c r="G34" t="inlineStr">
        <is>
          <t>Condensed Financials</t>
        </is>
      </c>
      <c r="H34" t="inlineStr">
        <is>
          <t>D30</t>
        </is>
      </c>
      <c r="I34">
        <f>SUMIF($B$6:$B$15,"Operating Working Capital Asset",E$6:E$15)</f>
        <v/>
      </c>
      <c r="J34" t="n">
        <v>1818</v>
      </c>
      <c r="K34" t="n">
        <v>0.01</v>
      </c>
      <c r="M34" t="inlineStr">
        <is>
          <t>Use SUMIF over the classification column for Operating Working Capital Asset.</t>
        </is>
      </c>
      <c r="O34" t="inlineStr">
        <is>
          <t>pending</t>
        </is>
      </c>
      <c r="P34" t="inlineStr">
        <is>
          <t>owca_agg</t>
        </is>
      </c>
      <c r="Q34" t="n">
        <v>7</v>
      </c>
      <c r="R34" t="n">
        <v>2</v>
      </c>
      <c r="S34" t="inlineStr">
        <is>
          <t>2023-12-31</t>
        </is>
      </c>
    </row>
    <row r="35">
      <c r="A35" t="inlineStr">
        <is>
          <t>owca_agg__20241231</t>
        </is>
      </c>
      <c r="B35" t="n">
        <v>34</v>
      </c>
      <c r="C35" t="inlineStr">
        <is>
          <t>Operating working capital assets</t>
        </is>
      </c>
      <c r="D35" t="inlineStr">
        <is>
          <t>Aggregate the classified balance-sheet detail with the classification column.</t>
        </is>
      </c>
      <c r="E35" t="inlineStr">
        <is>
          <t>condensed.owca.2024-12-31</t>
        </is>
      </c>
      <c r="F35" t="inlineStr">
        <is>
          <t>accounting</t>
        </is>
      </c>
      <c r="G35" t="inlineStr">
        <is>
          <t>Condensed Financials</t>
        </is>
      </c>
      <c r="H35" t="inlineStr">
        <is>
          <t>E30</t>
        </is>
      </c>
      <c r="I35">
        <f>SUMIF($B$6:$B$15,"Operating Working Capital Asset",F$6:F$15)</f>
        <v/>
      </c>
      <c r="J35" t="n">
        <v>2016</v>
      </c>
      <c r="K35" t="n">
        <v>0.01</v>
      </c>
      <c r="M35" t="inlineStr">
        <is>
          <t>Use SUMIF over the classification column for Operating Working Capital Asset.</t>
        </is>
      </c>
      <c r="O35" t="inlineStr">
        <is>
          <t>pending</t>
        </is>
      </c>
      <c r="P35" t="inlineStr">
        <is>
          <t>owca_agg</t>
        </is>
      </c>
      <c r="Q35" t="n">
        <v>7</v>
      </c>
      <c r="R35" t="n">
        <v>3</v>
      </c>
      <c r="S35" t="inlineStr">
        <is>
          <t>2024-12-31</t>
        </is>
      </c>
    </row>
    <row r="36">
      <c r="A36" t="inlineStr">
        <is>
          <t>owca_agg__20251231</t>
        </is>
      </c>
      <c r="B36" t="n">
        <v>35</v>
      </c>
      <c r="C36" t="inlineStr">
        <is>
          <t>Operating working capital assets</t>
        </is>
      </c>
      <c r="D36" t="inlineStr">
        <is>
          <t>Aggregate the classified balance-sheet detail with the classification column.</t>
        </is>
      </c>
      <c r="E36" t="inlineStr">
        <is>
          <t>condensed.owca.2025-12-31</t>
        </is>
      </c>
      <c r="F36" t="inlineStr">
        <is>
          <t>accounting</t>
        </is>
      </c>
      <c r="G36" t="inlineStr">
        <is>
          <t>Condensed Financials</t>
        </is>
      </c>
      <c r="H36" t="inlineStr">
        <is>
          <t>F30</t>
        </is>
      </c>
      <c r="I36">
        <f>SUMIF($B$6:$B$15,"Operating Working Capital Asset",G$6:G$15)</f>
        <v/>
      </c>
      <c r="J36" t="n">
        <v>2250</v>
      </c>
      <c r="K36" t="n">
        <v>0.01</v>
      </c>
      <c r="M36" t="inlineStr">
        <is>
          <t>Use SUMIF over the classification column for Operating Working Capital Asset.</t>
        </is>
      </c>
      <c r="O36" t="inlineStr">
        <is>
          <t>pending</t>
        </is>
      </c>
      <c r="P36" t="inlineStr">
        <is>
          <t>owca_agg</t>
        </is>
      </c>
      <c r="Q36" t="n">
        <v>7</v>
      </c>
      <c r="R36" t="n">
        <v>4</v>
      </c>
      <c r="S36" t="inlineStr">
        <is>
          <t>2025-12-31</t>
        </is>
      </c>
    </row>
    <row r="37">
      <c r="A37" t="inlineStr">
        <is>
          <t>owcl_agg__20211231</t>
        </is>
      </c>
      <c r="B37" t="n">
        <v>36</v>
      </c>
      <c r="C37" t="inlineStr">
        <is>
          <t>Operating working capital liabilities</t>
        </is>
      </c>
      <c r="D37" t="inlineStr">
        <is>
          <t>Aggregate the classified balance-sheet detail with the classification column.</t>
        </is>
      </c>
      <c r="E37" t="inlineStr">
        <is>
          <t>condensed.owcl.2021-12-31</t>
        </is>
      </c>
      <c r="F37" t="inlineStr">
        <is>
          <t>accounting</t>
        </is>
      </c>
      <c r="G37" t="inlineStr">
        <is>
          <t>Condensed Financials</t>
        </is>
      </c>
      <c r="H37" t="inlineStr">
        <is>
          <t>B31</t>
        </is>
      </c>
      <c r="I37">
        <f>SUMIF($B$6:$B$15,"Operating Working Capital Liability",C$6:C$15)</f>
        <v/>
      </c>
      <c r="J37" t="n">
        <v>595</v>
      </c>
      <c r="K37" t="n">
        <v>0.01</v>
      </c>
      <c r="M37" t="inlineStr">
        <is>
          <t>Use SUMIF over the classification column for Operating Working Capital Liability.</t>
        </is>
      </c>
      <c r="O37" t="inlineStr">
        <is>
          <t>pending</t>
        </is>
      </c>
      <c r="P37" t="inlineStr">
        <is>
          <t>owcl_agg</t>
        </is>
      </c>
      <c r="Q37" t="n">
        <v>8</v>
      </c>
      <c r="R37" t="n">
        <v>0</v>
      </c>
      <c r="S37" t="inlineStr">
        <is>
          <t>2021-12-31</t>
        </is>
      </c>
    </row>
    <row r="38">
      <c r="A38" t="inlineStr">
        <is>
          <t>owcl_agg__20221231</t>
        </is>
      </c>
      <c r="B38" t="n">
        <v>37</v>
      </c>
      <c r="C38" t="inlineStr">
        <is>
          <t>Operating working capital liabilities</t>
        </is>
      </c>
      <c r="D38" t="inlineStr">
        <is>
          <t>Aggregate the classified balance-sheet detail with the classification column.</t>
        </is>
      </c>
      <c r="E38" t="inlineStr">
        <is>
          <t>condensed.owcl.2022-12-31</t>
        </is>
      </c>
      <c r="F38" t="inlineStr">
        <is>
          <t>accounting</t>
        </is>
      </c>
      <c r="G38" t="inlineStr">
        <is>
          <t>Condensed Financials</t>
        </is>
      </c>
      <c r="H38" t="inlineStr">
        <is>
          <t>C31</t>
        </is>
      </c>
      <c r="I38">
        <f>SUMIF($B$6:$B$15,"Operating Working Capital Liability",D$6:D$15)</f>
        <v/>
      </c>
      <c r="J38" t="n">
        <v>644</v>
      </c>
      <c r="K38" t="n">
        <v>0.01</v>
      </c>
      <c r="M38" t="inlineStr">
        <is>
          <t>Use SUMIF over the classification column for Operating Working Capital Liability.</t>
        </is>
      </c>
      <c r="O38" t="inlineStr">
        <is>
          <t>pending</t>
        </is>
      </c>
      <c r="P38" t="inlineStr">
        <is>
          <t>owcl_agg</t>
        </is>
      </c>
      <c r="Q38" t="n">
        <v>8</v>
      </c>
      <c r="R38" t="n">
        <v>1</v>
      </c>
      <c r="S38" t="inlineStr">
        <is>
          <t>2022-12-31</t>
        </is>
      </c>
    </row>
    <row r="39">
      <c r="A39" t="inlineStr">
        <is>
          <t>owcl_agg__20231231</t>
        </is>
      </c>
      <c r="B39" t="n">
        <v>38</v>
      </c>
      <c r="C39" t="inlineStr">
        <is>
          <t>Operating working capital liabilities</t>
        </is>
      </c>
      <c r="D39" t="inlineStr">
        <is>
          <t>Aggregate the classified balance-sheet detail with the classification column.</t>
        </is>
      </c>
      <c r="E39" t="inlineStr">
        <is>
          <t>condensed.owcl.2023-12-31</t>
        </is>
      </c>
      <c r="F39" t="inlineStr">
        <is>
          <t>accounting</t>
        </is>
      </c>
      <c r="G39" t="inlineStr">
        <is>
          <t>Condensed Financials</t>
        </is>
      </c>
      <c r="H39" t="inlineStr">
        <is>
          <t>D31</t>
        </is>
      </c>
      <c r="I39">
        <f>SUMIF($B$6:$B$15,"Operating Working Capital Liability",E$6:E$15)</f>
        <v/>
      </c>
      <c r="J39" t="n">
        <v>707</v>
      </c>
      <c r="K39" t="n">
        <v>0.01</v>
      </c>
      <c r="M39" t="inlineStr">
        <is>
          <t>Use SUMIF over the classification column for Operating Working Capital Liability.</t>
        </is>
      </c>
      <c r="O39" t="inlineStr">
        <is>
          <t>pending</t>
        </is>
      </c>
      <c r="P39" t="inlineStr">
        <is>
          <t>owcl_agg</t>
        </is>
      </c>
      <c r="Q39" t="n">
        <v>8</v>
      </c>
      <c r="R39" t="n">
        <v>2</v>
      </c>
      <c r="S39" t="inlineStr">
        <is>
          <t>2023-12-31</t>
        </is>
      </c>
    </row>
    <row r="40">
      <c r="A40" t="inlineStr">
        <is>
          <t>owcl_agg__20241231</t>
        </is>
      </c>
      <c r="B40" t="n">
        <v>39</v>
      </c>
      <c r="C40" t="inlineStr">
        <is>
          <t>Operating working capital liabilities</t>
        </is>
      </c>
      <c r="D40" t="inlineStr">
        <is>
          <t>Aggregate the classified balance-sheet detail with the classification column.</t>
        </is>
      </c>
      <c r="E40" t="inlineStr">
        <is>
          <t>condensed.owcl.2024-12-31</t>
        </is>
      </c>
      <c r="F40" t="inlineStr">
        <is>
          <t>accounting</t>
        </is>
      </c>
      <c r="G40" t="inlineStr">
        <is>
          <t>Condensed Financials</t>
        </is>
      </c>
      <c r="H40" t="inlineStr">
        <is>
          <t>E31</t>
        </is>
      </c>
      <c r="I40">
        <f>SUMIF($B$6:$B$15,"Operating Working Capital Liability",F$6:F$15)</f>
        <v/>
      </c>
      <c r="J40" t="n">
        <v>784</v>
      </c>
      <c r="K40" t="n">
        <v>0.01</v>
      </c>
      <c r="M40" t="inlineStr">
        <is>
          <t>Use SUMIF over the classification column for Operating Working Capital Liability.</t>
        </is>
      </c>
      <c r="O40" t="inlineStr">
        <is>
          <t>pending</t>
        </is>
      </c>
      <c r="P40" t="inlineStr">
        <is>
          <t>owcl_agg</t>
        </is>
      </c>
      <c r="Q40" t="n">
        <v>8</v>
      </c>
      <c r="R40" t="n">
        <v>3</v>
      </c>
      <c r="S40" t="inlineStr">
        <is>
          <t>2024-12-31</t>
        </is>
      </c>
    </row>
    <row r="41">
      <c r="A41" t="inlineStr">
        <is>
          <t>owcl_agg__20251231</t>
        </is>
      </c>
      <c r="B41" t="n">
        <v>40</v>
      </c>
      <c r="C41" t="inlineStr">
        <is>
          <t>Operating working capital liabilities</t>
        </is>
      </c>
      <c r="D41" t="inlineStr">
        <is>
          <t>Aggregate the classified balance-sheet detail with the classification column.</t>
        </is>
      </c>
      <c r="E41" t="inlineStr">
        <is>
          <t>condensed.owcl.2025-12-31</t>
        </is>
      </c>
      <c r="F41" t="inlineStr">
        <is>
          <t>accounting</t>
        </is>
      </c>
      <c r="G41" t="inlineStr">
        <is>
          <t>Condensed Financials</t>
        </is>
      </c>
      <c r="H41" t="inlineStr">
        <is>
          <t>F31</t>
        </is>
      </c>
      <c r="I41">
        <f>SUMIF($B$6:$B$15,"Operating Working Capital Liability",G$6:G$15)</f>
        <v/>
      </c>
      <c r="J41" t="n">
        <v>875</v>
      </c>
      <c r="K41" t="n">
        <v>0.01</v>
      </c>
      <c r="M41" t="inlineStr">
        <is>
          <t>Use SUMIF over the classification column for Operating Working Capital Liability.</t>
        </is>
      </c>
      <c r="O41" t="inlineStr">
        <is>
          <t>pending</t>
        </is>
      </c>
      <c r="P41" t="inlineStr">
        <is>
          <t>owcl_agg</t>
        </is>
      </c>
      <c r="Q41" t="n">
        <v>8</v>
      </c>
      <c r="R41" t="n">
        <v>4</v>
      </c>
      <c r="S41" t="inlineStr">
        <is>
          <t>2025-12-31</t>
        </is>
      </c>
    </row>
    <row r="42">
      <c r="A42" t="inlineStr">
        <is>
          <t>nowc_agg__20211231</t>
        </is>
      </c>
      <c r="B42" t="n">
        <v>41</v>
      </c>
      <c r="C42" t="inlineStr">
        <is>
          <t>Net Operating Working Capital (NOWC)</t>
        </is>
      </c>
      <c r="D42" t="inlineStr">
        <is>
          <t>Sum operating WC assets minus operating WC liabilities.</t>
        </is>
      </c>
      <c r="E42" t="inlineStr">
        <is>
          <t>condensed.nowc.2021-12-31</t>
        </is>
      </c>
      <c r="F42" t="inlineStr">
        <is>
          <t>accounting</t>
        </is>
      </c>
      <c r="G42" t="inlineStr">
        <is>
          <t>Condensed Financials</t>
        </is>
      </c>
      <c r="H42" t="inlineStr">
        <is>
          <t>B32</t>
        </is>
      </c>
      <c r="I42">
        <f>B30-B31</f>
        <v/>
      </c>
      <c r="J42" t="n">
        <v>935</v>
      </c>
      <c r="K42" t="n">
        <v>0.01</v>
      </c>
      <c r="L42" t="inlineStr">
        <is>
          <t>owca_agg__20211231,owcl_agg__20211231</t>
        </is>
      </c>
      <c r="M42" t="inlineStr">
        <is>
          <t>Use SUMIF over the classification column for 'Operating Working Capital Asset'.|Subtract SUMIF for 'Operating Working Capital Liability'.|NOWC = Op. WC Assets − Op. WC Liabilities.</t>
        </is>
      </c>
      <c r="O42" t="inlineStr">
        <is>
          <t>pending</t>
        </is>
      </c>
      <c r="P42" t="inlineStr">
        <is>
          <t>nowc_agg</t>
        </is>
      </c>
      <c r="Q42" t="n">
        <v>9</v>
      </c>
      <c r="R42" t="n">
        <v>0</v>
      </c>
      <c r="S42" t="inlineStr">
        <is>
          <t>2021-12-31</t>
        </is>
      </c>
    </row>
    <row r="43">
      <c r="A43" t="inlineStr">
        <is>
          <t>nowc_agg__20221231</t>
        </is>
      </c>
      <c r="B43" t="n">
        <v>42</v>
      </c>
      <c r="C43" t="inlineStr">
        <is>
          <t>Net Operating Working Capital (NOWC)</t>
        </is>
      </c>
      <c r="D43" t="inlineStr">
        <is>
          <t>Sum operating WC assets minus operating WC liabilities.</t>
        </is>
      </c>
      <c r="E43" t="inlineStr">
        <is>
          <t>condensed.nowc.2022-12-31</t>
        </is>
      </c>
      <c r="F43" t="inlineStr">
        <is>
          <t>accounting</t>
        </is>
      </c>
      <c r="G43" t="inlineStr">
        <is>
          <t>Condensed Financials</t>
        </is>
      </c>
      <c r="H43" t="inlineStr">
        <is>
          <t>C32</t>
        </is>
      </c>
      <c r="I43">
        <f>C30-C31</f>
        <v/>
      </c>
      <c r="J43" t="n">
        <v>1012</v>
      </c>
      <c r="K43" t="n">
        <v>0.01</v>
      </c>
      <c r="L43" t="inlineStr">
        <is>
          <t>owca_agg__20221231,owcl_agg__20221231</t>
        </is>
      </c>
      <c r="M43" t="inlineStr">
        <is>
          <t>Use SUMIF over the classification column for 'Operating Working Capital Asset'.|Subtract SUMIF for 'Operating Working Capital Liability'.|NOWC = Op. WC Assets − Op. WC Liabilities.</t>
        </is>
      </c>
      <c r="O43" t="inlineStr">
        <is>
          <t>pending</t>
        </is>
      </c>
      <c r="P43" t="inlineStr">
        <is>
          <t>nowc_agg</t>
        </is>
      </c>
      <c r="Q43" t="n">
        <v>9</v>
      </c>
      <c r="R43" t="n">
        <v>1</v>
      </c>
      <c r="S43" t="inlineStr">
        <is>
          <t>2022-12-31</t>
        </is>
      </c>
    </row>
    <row r="44">
      <c r="A44" t="inlineStr">
        <is>
          <t>nowc_agg__20231231</t>
        </is>
      </c>
      <c r="B44" t="n">
        <v>43</v>
      </c>
      <c r="C44" t="inlineStr">
        <is>
          <t>Net Operating Working Capital (NOWC)</t>
        </is>
      </c>
      <c r="D44" t="inlineStr">
        <is>
          <t>Sum operating WC assets minus operating WC liabilities.</t>
        </is>
      </c>
      <c r="E44" t="inlineStr">
        <is>
          <t>condensed.nowc.2023-12-31</t>
        </is>
      </c>
      <c r="F44" t="inlineStr">
        <is>
          <t>accounting</t>
        </is>
      </c>
      <c r="G44" t="inlineStr">
        <is>
          <t>Condensed Financials</t>
        </is>
      </c>
      <c r="H44" t="inlineStr">
        <is>
          <t>D32</t>
        </is>
      </c>
      <c r="I44">
        <f>D30-D31</f>
        <v/>
      </c>
      <c r="J44" t="n">
        <v>1111</v>
      </c>
      <c r="K44" t="n">
        <v>0.01</v>
      </c>
      <c r="L44" t="inlineStr">
        <is>
          <t>owca_agg__20231231,owcl_agg__20231231</t>
        </is>
      </c>
      <c r="M44" t="inlineStr">
        <is>
          <t>Use SUMIF over the classification column for 'Operating Working Capital Asset'.|Subtract SUMIF for 'Operating Working Capital Liability'.|NOWC = Op. WC Assets − Op. WC Liabilities.</t>
        </is>
      </c>
      <c r="O44" t="inlineStr">
        <is>
          <t>pending</t>
        </is>
      </c>
      <c r="P44" t="inlineStr">
        <is>
          <t>nowc_agg</t>
        </is>
      </c>
      <c r="Q44" t="n">
        <v>9</v>
      </c>
      <c r="R44" t="n">
        <v>2</v>
      </c>
      <c r="S44" t="inlineStr">
        <is>
          <t>2023-12-31</t>
        </is>
      </c>
    </row>
    <row r="45">
      <c r="A45" t="inlineStr">
        <is>
          <t>nowc_agg__20241231</t>
        </is>
      </c>
      <c r="B45" t="n">
        <v>44</v>
      </c>
      <c r="C45" t="inlineStr">
        <is>
          <t>Net Operating Working Capital (NOWC)</t>
        </is>
      </c>
      <c r="D45" t="inlineStr">
        <is>
          <t>Sum operating WC assets minus operating WC liabilities.</t>
        </is>
      </c>
      <c r="E45" t="inlineStr">
        <is>
          <t>condensed.nowc.2024-12-31</t>
        </is>
      </c>
      <c r="F45" t="inlineStr">
        <is>
          <t>accounting</t>
        </is>
      </c>
      <c r="G45" t="inlineStr">
        <is>
          <t>Condensed Financials</t>
        </is>
      </c>
      <c r="H45" t="inlineStr">
        <is>
          <t>E32</t>
        </is>
      </c>
      <c r="I45">
        <f>E30-E31</f>
        <v/>
      </c>
      <c r="J45" t="n">
        <v>1232</v>
      </c>
      <c r="K45" t="n">
        <v>0.01</v>
      </c>
      <c r="L45" t="inlineStr">
        <is>
          <t>owca_agg__20241231,owcl_agg__20241231</t>
        </is>
      </c>
      <c r="M45" t="inlineStr">
        <is>
          <t>Use SUMIF over the classification column for 'Operating Working Capital Asset'.|Subtract SUMIF for 'Operating Working Capital Liability'.|NOWC = Op. WC Assets − Op. WC Liabilities.</t>
        </is>
      </c>
      <c r="O45" t="inlineStr">
        <is>
          <t>pending</t>
        </is>
      </c>
      <c r="P45" t="inlineStr">
        <is>
          <t>nowc_agg</t>
        </is>
      </c>
      <c r="Q45" t="n">
        <v>9</v>
      </c>
      <c r="R45" t="n">
        <v>3</v>
      </c>
      <c r="S45" t="inlineStr">
        <is>
          <t>2024-12-31</t>
        </is>
      </c>
    </row>
    <row r="46">
      <c r="A46" t="inlineStr">
        <is>
          <t>nowc_agg__20251231</t>
        </is>
      </c>
      <c r="B46" t="n">
        <v>45</v>
      </c>
      <c r="C46" t="inlineStr">
        <is>
          <t>Net Operating Working Capital (NOWC)</t>
        </is>
      </c>
      <c r="D46" t="inlineStr">
        <is>
          <t>Sum operating WC assets minus operating WC liabilities.</t>
        </is>
      </c>
      <c r="E46" t="inlineStr">
        <is>
          <t>condensed.nowc.2025-12-31</t>
        </is>
      </c>
      <c r="F46" t="inlineStr">
        <is>
          <t>accounting</t>
        </is>
      </c>
      <c r="G46" t="inlineStr">
        <is>
          <t>Condensed Financials</t>
        </is>
      </c>
      <c r="H46" t="inlineStr">
        <is>
          <t>F32</t>
        </is>
      </c>
      <c r="I46">
        <f>F30-F31</f>
        <v/>
      </c>
      <c r="J46" t="n">
        <v>1375</v>
      </c>
      <c r="K46" t="n">
        <v>0.01</v>
      </c>
      <c r="L46" t="inlineStr">
        <is>
          <t>owca_agg__20251231,owcl_agg__20251231</t>
        </is>
      </c>
      <c r="M46" t="inlineStr">
        <is>
          <t>Use SUMIF over the classification column for 'Operating Working Capital Asset'.|Subtract SUMIF for 'Operating Working Capital Liability'.|NOWC = Op. WC Assets − Op. WC Liabilities.</t>
        </is>
      </c>
      <c r="O46" t="inlineStr">
        <is>
          <t>pending</t>
        </is>
      </c>
      <c r="P46" t="inlineStr">
        <is>
          <t>nowc_agg</t>
        </is>
      </c>
      <c r="Q46" t="n">
        <v>9</v>
      </c>
      <c r="R46" t="n">
        <v>4</v>
      </c>
      <c r="S46" t="inlineStr">
        <is>
          <t>2025-12-31</t>
        </is>
      </c>
    </row>
    <row r="47">
      <c r="A47" t="inlineStr">
        <is>
          <t>olta_agg__20211231</t>
        </is>
      </c>
      <c r="B47" t="n">
        <v>46</v>
      </c>
      <c r="C47" t="inlineStr">
        <is>
          <t>Operating long-term assets</t>
        </is>
      </c>
      <c r="D47" t="inlineStr">
        <is>
          <t>Aggregate the classified balance-sheet detail with the classification column.</t>
        </is>
      </c>
      <c r="E47" t="inlineStr">
        <is>
          <t>condensed.olta.2021-12-31</t>
        </is>
      </c>
      <c r="F47" t="inlineStr">
        <is>
          <t>accounting</t>
        </is>
      </c>
      <c r="G47" t="inlineStr">
        <is>
          <t>Condensed Financials</t>
        </is>
      </c>
      <c r="H47" t="inlineStr">
        <is>
          <t>B33</t>
        </is>
      </c>
      <c r="I47">
        <f>SUMIF($B$6:$B$15,"Operating Long-Term Asset",C$6:C$15)</f>
        <v/>
      </c>
      <c r="J47" t="n">
        <v>5770</v>
      </c>
      <c r="K47" t="n">
        <v>0.01</v>
      </c>
      <c r="M47" t="inlineStr">
        <is>
          <t>Use SUMIF over the classification column for Operating Long-Term Asset.</t>
        </is>
      </c>
      <c r="O47" t="inlineStr">
        <is>
          <t>pending</t>
        </is>
      </c>
      <c r="P47" t="inlineStr">
        <is>
          <t>olta_agg</t>
        </is>
      </c>
      <c r="Q47" t="n">
        <v>10</v>
      </c>
      <c r="R47" t="n">
        <v>0</v>
      </c>
      <c r="S47" t="inlineStr">
        <is>
          <t>2021-12-31</t>
        </is>
      </c>
    </row>
    <row r="48">
      <c r="A48" t="inlineStr">
        <is>
          <t>olta_agg__20221231</t>
        </is>
      </c>
      <c r="B48" t="n">
        <v>47</v>
      </c>
      <c r="C48" t="inlineStr">
        <is>
          <t>Operating long-term assets</t>
        </is>
      </c>
      <c r="D48" t="inlineStr">
        <is>
          <t>Aggregate the classified balance-sheet detail with the classification column.</t>
        </is>
      </c>
      <c r="E48" t="inlineStr">
        <is>
          <t>condensed.olta.2022-12-31</t>
        </is>
      </c>
      <c r="F48" t="inlineStr">
        <is>
          <t>accounting</t>
        </is>
      </c>
      <c r="G48" t="inlineStr">
        <is>
          <t>Condensed Financials</t>
        </is>
      </c>
      <c r="H48" t="inlineStr">
        <is>
          <t>C33</t>
        </is>
      </c>
      <c r="I48">
        <f>SUMIF($B$6:$B$15,"Operating Long-Term Asset",D$6:D$15)</f>
        <v/>
      </c>
      <c r="J48" t="n">
        <v>6194</v>
      </c>
      <c r="K48" t="n">
        <v>0.01</v>
      </c>
      <c r="M48" t="inlineStr">
        <is>
          <t>Use SUMIF over the classification column for Operating Long-Term Asset.</t>
        </is>
      </c>
      <c r="O48" t="inlineStr">
        <is>
          <t>pending</t>
        </is>
      </c>
      <c r="P48" t="inlineStr">
        <is>
          <t>olta_agg</t>
        </is>
      </c>
      <c r="Q48" t="n">
        <v>10</v>
      </c>
      <c r="R48" t="n">
        <v>1</v>
      </c>
      <c r="S48" t="inlineStr">
        <is>
          <t>2022-12-31</t>
        </is>
      </c>
    </row>
    <row r="49">
      <c r="A49" t="inlineStr">
        <is>
          <t>olta_agg__20231231</t>
        </is>
      </c>
      <c r="B49" t="n">
        <v>48</v>
      </c>
      <c r="C49" t="inlineStr">
        <is>
          <t>Operating long-term assets</t>
        </is>
      </c>
      <c r="D49" t="inlineStr">
        <is>
          <t>Aggregate the classified balance-sheet detail with the classification column.</t>
        </is>
      </c>
      <c r="E49" t="inlineStr">
        <is>
          <t>condensed.olta.2023-12-31</t>
        </is>
      </c>
      <c r="F49" t="inlineStr">
        <is>
          <t>accounting</t>
        </is>
      </c>
      <c r="G49" t="inlineStr">
        <is>
          <t>Condensed Financials</t>
        </is>
      </c>
      <c r="H49" t="inlineStr">
        <is>
          <t>D33</t>
        </is>
      </c>
      <c r="I49">
        <f>SUMIF($B$6:$B$15,"Operating Long-Term Asset",E$6:E$15)</f>
        <v/>
      </c>
      <c r="J49" t="n">
        <v>6782</v>
      </c>
      <c r="K49" t="n">
        <v>0.01</v>
      </c>
      <c r="M49" t="inlineStr">
        <is>
          <t>Use SUMIF over the classification column for Operating Long-Term Asset.</t>
        </is>
      </c>
      <c r="O49" t="inlineStr">
        <is>
          <t>pending</t>
        </is>
      </c>
      <c r="P49" t="inlineStr">
        <is>
          <t>olta_agg</t>
        </is>
      </c>
      <c r="Q49" t="n">
        <v>10</v>
      </c>
      <c r="R49" t="n">
        <v>2</v>
      </c>
      <c r="S49" t="inlineStr">
        <is>
          <t>2023-12-31</t>
        </is>
      </c>
    </row>
    <row r="50">
      <c r="A50" t="inlineStr">
        <is>
          <t>olta_agg__20241231</t>
        </is>
      </c>
      <c r="B50" t="n">
        <v>49</v>
      </c>
      <c r="C50" t="inlineStr">
        <is>
          <t>Operating long-term assets</t>
        </is>
      </c>
      <c r="D50" t="inlineStr">
        <is>
          <t>Aggregate the classified balance-sheet detail with the classification column.</t>
        </is>
      </c>
      <c r="E50" t="inlineStr">
        <is>
          <t>condensed.olta.2024-12-31</t>
        </is>
      </c>
      <c r="F50" t="inlineStr">
        <is>
          <t>accounting</t>
        </is>
      </c>
      <c r="G50" t="inlineStr">
        <is>
          <t>Condensed Financials</t>
        </is>
      </c>
      <c r="H50" t="inlineStr">
        <is>
          <t>E33</t>
        </is>
      </c>
      <c r="I50">
        <f>SUMIF($B$6:$B$15,"Operating Long-Term Asset",F$6:F$15)</f>
        <v/>
      </c>
      <c r="J50" t="n">
        <v>7504</v>
      </c>
      <c r="K50" t="n">
        <v>0.01</v>
      </c>
      <c r="M50" t="inlineStr">
        <is>
          <t>Use SUMIF over the classification column for Operating Long-Term Asset.</t>
        </is>
      </c>
      <c r="O50" t="inlineStr">
        <is>
          <t>pending</t>
        </is>
      </c>
      <c r="P50" t="inlineStr">
        <is>
          <t>olta_agg</t>
        </is>
      </c>
      <c r="Q50" t="n">
        <v>10</v>
      </c>
      <c r="R50" t="n">
        <v>3</v>
      </c>
      <c r="S50" t="inlineStr">
        <is>
          <t>2024-12-31</t>
        </is>
      </c>
    </row>
    <row r="51">
      <c r="A51" t="inlineStr">
        <is>
          <t>olta_agg__20251231</t>
        </is>
      </c>
      <c r="B51" t="n">
        <v>50</v>
      </c>
      <c r="C51" t="inlineStr">
        <is>
          <t>Operating long-term assets</t>
        </is>
      </c>
      <c r="D51" t="inlineStr">
        <is>
          <t>Aggregate the classified balance-sheet detail with the classification column.</t>
        </is>
      </c>
      <c r="E51" t="inlineStr">
        <is>
          <t>condensed.olta.2025-12-31</t>
        </is>
      </c>
      <c r="F51" t="inlineStr">
        <is>
          <t>accounting</t>
        </is>
      </c>
      <c r="G51" t="inlineStr">
        <is>
          <t>Condensed Financials</t>
        </is>
      </c>
      <c r="H51" t="inlineStr">
        <is>
          <t>F33</t>
        </is>
      </c>
      <c r="I51">
        <f>SUMIF($B$6:$B$15,"Operating Long-Term Asset",G$6:G$15)</f>
        <v/>
      </c>
      <c r="J51" t="n">
        <v>8400</v>
      </c>
      <c r="K51" t="n">
        <v>0.01</v>
      </c>
      <c r="M51" t="inlineStr">
        <is>
          <t>Use SUMIF over the classification column for Operating Long-Term Asset.</t>
        </is>
      </c>
      <c r="O51" t="inlineStr">
        <is>
          <t>pending</t>
        </is>
      </c>
      <c r="P51" t="inlineStr">
        <is>
          <t>olta_agg</t>
        </is>
      </c>
      <c r="Q51" t="n">
        <v>10</v>
      </c>
      <c r="R51" t="n">
        <v>4</v>
      </c>
      <c r="S51" t="inlineStr">
        <is>
          <t>2025-12-31</t>
        </is>
      </c>
    </row>
    <row r="52">
      <c r="A52" t="inlineStr">
        <is>
          <t>oltl_agg__20211231</t>
        </is>
      </c>
      <c r="B52" t="n">
        <v>51</v>
      </c>
      <c r="C52" t="inlineStr">
        <is>
          <t>Operating long-term liabilities</t>
        </is>
      </c>
      <c r="D52" t="inlineStr">
        <is>
          <t>Aggregate the classified balance-sheet detail with the classification column.</t>
        </is>
      </c>
      <c r="E52" t="inlineStr">
        <is>
          <t>condensed.oltl.2021-12-31</t>
        </is>
      </c>
      <c r="F52" t="inlineStr">
        <is>
          <t>accounting</t>
        </is>
      </c>
      <c r="G52" t="inlineStr">
        <is>
          <t>Condensed Financials</t>
        </is>
      </c>
      <c r="H52" t="inlineStr">
        <is>
          <t>B34</t>
        </is>
      </c>
      <c r="I52">
        <f>SUMIF($B$6:$B$15,"Operating Long-Term Liability",C$6:C$15)</f>
        <v/>
      </c>
      <c r="J52" t="n">
        <v>1305</v>
      </c>
      <c r="K52" t="n">
        <v>0.01</v>
      </c>
      <c r="M52" t="inlineStr">
        <is>
          <t>Use SUMIF over the classification column for Operating Long-Term Liability.</t>
        </is>
      </c>
      <c r="O52" t="inlineStr">
        <is>
          <t>pending</t>
        </is>
      </c>
      <c r="P52" t="inlineStr">
        <is>
          <t>oltl_agg</t>
        </is>
      </c>
      <c r="Q52" t="n">
        <v>11</v>
      </c>
      <c r="R52" t="n">
        <v>0</v>
      </c>
      <c r="S52" t="inlineStr">
        <is>
          <t>2021-12-31</t>
        </is>
      </c>
    </row>
    <row r="53">
      <c r="A53" t="inlineStr">
        <is>
          <t>oltl_agg__20221231</t>
        </is>
      </c>
      <c r="B53" t="n">
        <v>52</v>
      </c>
      <c r="C53" t="inlineStr">
        <is>
          <t>Operating long-term liabilities</t>
        </is>
      </c>
      <c r="D53" t="inlineStr">
        <is>
          <t>Aggregate the classified balance-sheet detail with the classification column.</t>
        </is>
      </c>
      <c r="E53" t="inlineStr">
        <is>
          <t>condensed.oltl.2022-12-31</t>
        </is>
      </c>
      <c r="F53" t="inlineStr">
        <is>
          <t>accounting</t>
        </is>
      </c>
      <c r="G53" t="inlineStr">
        <is>
          <t>Condensed Financials</t>
        </is>
      </c>
      <c r="H53" t="inlineStr">
        <is>
          <t>C34</t>
        </is>
      </c>
      <c r="I53">
        <f>SUMIF($B$6:$B$15,"Operating Long-Term Liability",D$6:D$15)</f>
        <v/>
      </c>
      <c r="J53" t="n">
        <v>1456</v>
      </c>
      <c r="K53" t="n">
        <v>0.01</v>
      </c>
      <c r="M53" t="inlineStr">
        <is>
          <t>Use SUMIF over the classification column for Operating Long-Term Liability.</t>
        </is>
      </c>
      <c r="O53" t="inlineStr">
        <is>
          <t>pending</t>
        </is>
      </c>
      <c r="P53" t="inlineStr">
        <is>
          <t>oltl_agg</t>
        </is>
      </c>
      <c r="Q53" t="n">
        <v>11</v>
      </c>
      <c r="R53" t="n">
        <v>1</v>
      </c>
      <c r="S53" t="inlineStr">
        <is>
          <t>2022-12-31</t>
        </is>
      </c>
    </row>
    <row r="54">
      <c r="A54" t="inlineStr">
        <is>
          <t>oltl_agg__20231231</t>
        </is>
      </c>
      <c r="B54" t="n">
        <v>53</v>
      </c>
      <c r="C54" t="inlineStr">
        <is>
          <t>Operating long-term liabilities</t>
        </is>
      </c>
      <c r="D54" t="inlineStr">
        <is>
          <t>Aggregate the classified balance-sheet detail with the classification column.</t>
        </is>
      </c>
      <c r="E54" t="inlineStr">
        <is>
          <t>condensed.oltl.2023-12-31</t>
        </is>
      </c>
      <c r="F54" t="inlineStr">
        <is>
          <t>accounting</t>
        </is>
      </c>
      <c r="G54" t="inlineStr">
        <is>
          <t>Condensed Financials</t>
        </is>
      </c>
      <c r="H54" t="inlineStr">
        <is>
          <t>D34</t>
        </is>
      </c>
      <c r="I54">
        <f>SUMIF($B$6:$B$15,"Operating Long-Term Liability",E$6:E$15)</f>
        <v/>
      </c>
      <c r="J54" t="n">
        <v>1593</v>
      </c>
      <c r="K54" t="n">
        <v>0.01</v>
      </c>
      <c r="M54" t="inlineStr">
        <is>
          <t>Use SUMIF over the classification column for Operating Long-Term Liability.</t>
        </is>
      </c>
      <c r="O54" t="inlineStr">
        <is>
          <t>pending</t>
        </is>
      </c>
      <c r="P54" t="inlineStr">
        <is>
          <t>oltl_agg</t>
        </is>
      </c>
      <c r="Q54" t="n">
        <v>11</v>
      </c>
      <c r="R54" t="n">
        <v>2</v>
      </c>
      <c r="S54" t="inlineStr">
        <is>
          <t>2023-12-31</t>
        </is>
      </c>
    </row>
    <row r="55">
      <c r="A55" t="inlineStr">
        <is>
          <t>oltl_agg__20241231</t>
        </is>
      </c>
      <c r="B55" t="n">
        <v>54</v>
      </c>
      <c r="C55" t="inlineStr">
        <is>
          <t>Operating long-term liabilities</t>
        </is>
      </c>
      <c r="D55" t="inlineStr">
        <is>
          <t>Aggregate the classified balance-sheet detail with the classification column.</t>
        </is>
      </c>
      <c r="E55" t="inlineStr">
        <is>
          <t>condensed.oltl.2024-12-31</t>
        </is>
      </c>
      <c r="F55" t="inlineStr">
        <is>
          <t>accounting</t>
        </is>
      </c>
      <c r="G55" t="inlineStr">
        <is>
          <t>Condensed Financials</t>
        </is>
      </c>
      <c r="H55" t="inlineStr">
        <is>
          <t>E34</t>
        </is>
      </c>
      <c r="I55">
        <f>SUMIF($B$6:$B$15,"Operating Long-Term Liability",F$6:F$15)</f>
        <v/>
      </c>
      <c r="J55" t="n">
        <v>1716</v>
      </c>
      <c r="K55" t="n">
        <v>0.01</v>
      </c>
      <c r="M55" t="inlineStr">
        <is>
          <t>Use SUMIF over the classification column for Operating Long-Term Liability.</t>
        </is>
      </c>
      <c r="O55" t="inlineStr">
        <is>
          <t>pending</t>
        </is>
      </c>
      <c r="P55" t="inlineStr">
        <is>
          <t>oltl_agg</t>
        </is>
      </c>
      <c r="Q55" t="n">
        <v>11</v>
      </c>
      <c r="R55" t="n">
        <v>3</v>
      </c>
      <c r="S55" t="inlineStr">
        <is>
          <t>2024-12-31</t>
        </is>
      </c>
    </row>
    <row r="56">
      <c r="A56" t="inlineStr">
        <is>
          <t>oltl_agg__20251231</t>
        </is>
      </c>
      <c r="B56" t="n">
        <v>55</v>
      </c>
      <c r="C56" t="inlineStr">
        <is>
          <t>Operating long-term liabilities</t>
        </is>
      </c>
      <c r="D56" t="inlineStr">
        <is>
          <t>Aggregate the classified balance-sheet detail with the classification column.</t>
        </is>
      </c>
      <c r="E56" t="inlineStr">
        <is>
          <t>condensed.oltl.2025-12-31</t>
        </is>
      </c>
      <c r="F56" t="inlineStr">
        <is>
          <t>accounting</t>
        </is>
      </c>
      <c r="G56" t="inlineStr">
        <is>
          <t>Condensed Financials</t>
        </is>
      </c>
      <c r="H56" t="inlineStr">
        <is>
          <t>F34</t>
        </is>
      </c>
      <c r="I56">
        <f>SUMIF($B$6:$B$15,"Operating Long-Term Liability",G$6:G$15)</f>
        <v/>
      </c>
      <c r="J56" t="n">
        <v>1825</v>
      </c>
      <c r="K56" t="n">
        <v>0.01</v>
      </c>
      <c r="M56" t="inlineStr">
        <is>
          <t>Use SUMIF over the classification column for Operating Long-Term Liability.</t>
        </is>
      </c>
      <c r="O56" t="inlineStr">
        <is>
          <t>pending</t>
        </is>
      </c>
      <c r="P56" t="inlineStr">
        <is>
          <t>oltl_agg</t>
        </is>
      </c>
      <c r="Q56" t="n">
        <v>11</v>
      </c>
      <c r="R56" t="n">
        <v>4</v>
      </c>
      <c r="S56" t="inlineStr">
        <is>
          <t>2025-12-31</t>
        </is>
      </c>
    </row>
    <row r="57">
      <c r="A57" t="inlineStr">
        <is>
          <t>nola_agg__20211231</t>
        </is>
      </c>
      <c r="B57" t="n">
        <v>56</v>
      </c>
      <c r="C57" t="inlineStr">
        <is>
          <t>Net operating long-term assets (NOLA)</t>
        </is>
      </c>
      <c r="D57" t="inlineStr">
        <is>
          <t>Operating long-term assets less operating long-term liabilities.</t>
        </is>
      </c>
      <c r="E57" t="inlineStr">
        <is>
          <t>condensed.nola.2021-12-31</t>
        </is>
      </c>
      <c r="F57" t="inlineStr">
        <is>
          <t>accounting</t>
        </is>
      </c>
      <c r="G57" t="inlineStr">
        <is>
          <t>Condensed Financials</t>
        </is>
      </c>
      <c r="H57" t="inlineStr">
        <is>
          <t>B35</t>
        </is>
      </c>
      <c r="I57">
        <f>B33-B34</f>
        <v/>
      </c>
      <c r="J57" t="n">
        <v>4465</v>
      </c>
      <c r="K57" t="n">
        <v>0.01</v>
      </c>
      <c r="L57" t="inlineStr">
        <is>
          <t>olta_agg__20211231,oltl_agg__20211231</t>
        </is>
      </c>
      <c r="M57" t="inlineStr">
        <is>
          <t>NOLA = Operating LT Assets − Operating LT Liabilities.</t>
        </is>
      </c>
      <c r="O57" t="inlineStr">
        <is>
          <t>pending</t>
        </is>
      </c>
      <c r="P57" t="inlineStr">
        <is>
          <t>nola_agg</t>
        </is>
      </c>
      <c r="Q57" t="n">
        <v>12</v>
      </c>
      <c r="R57" t="n">
        <v>0</v>
      </c>
      <c r="S57" t="inlineStr">
        <is>
          <t>2021-12-31</t>
        </is>
      </c>
    </row>
    <row r="58">
      <c r="A58" t="inlineStr">
        <is>
          <t>nola_agg__20221231</t>
        </is>
      </c>
      <c r="B58" t="n">
        <v>57</v>
      </c>
      <c r="C58" t="inlineStr">
        <is>
          <t>Net operating long-term assets (NOLA)</t>
        </is>
      </c>
      <c r="D58" t="inlineStr">
        <is>
          <t>Operating long-term assets less operating long-term liabilities.</t>
        </is>
      </c>
      <c r="E58" t="inlineStr">
        <is>
          <t>condensed.nola.2022-12-31</t>
        </is>
      </c>
      <c r="F58" t="inlineStr">
        <is>
          <t>accounting</t>
        </is>
      </c>
      <c r="G58" t="inlineStr">
        <is>
          <t>Condensed Financials</t>
        </is>
      </c>
      <c r="H58" t="inlineStr">
        <is>
          <t>C35</t>
        </is>
      </c>
      <c r="I58">
        <f>C33-C34</f>
        <v/>
      </c>
      <c r="J58" t="n">
        <v>4738</v>
      </c>
      <c r="K58" t="n">
        <v>0.01</v>
      </c>
      <c r="L58" t="inlineStr">
        <is>
          <t>olta_agg__20221231,oltl_agg__20221231</t>
        </is>
      </c>
      <c r="M58" t="inlineStr">
        <is>
          <t>NOLA = Operating LT Assets − Operating LT Liabilities.</t>
        </is>
      </c>
      <c r="O58" t="inlineStr">
        <is>
          <t>pending</t>
        </is>
      </c>
      <c r="P58" t="inlineStr">
        <is>
          <t>nola_agg</t>
        </is>
      </c>
      <c r="Q58" t="n">
        <v>12</v>
      </c>
      <c r="R58" t="n">
        <v>1</v>
      </c>
      <c r="S58" t="inlineStr">
        <is>
          <t>2022-12-31</t>
        </is>
      </c>
    </row>
    <row r="59">
      <c r="A59" t="inlineStr">
        <is>
          <t>nola_agg__20231231</t>
        </is>
      </c>
      <c r="B59" t="n">
        <v>58</v>
      </c>
      <c r="C59" t="inlineStr">
        <is>
          <t>Net operating long-term assets (NOLA)</t>
        </is>
      </c>
      <c r="D59" t="inlineStr">
        <is>
          <t>Operating long-term assets less operating long-term liabilities.</t>
        </is>
      </c>
      <c r="E59" t="inlineStr">
        <is>
          <t>condensed.nola.2023-12-31</t>
        </is>
      </c>
      <c r="F59" t="inlineStr">
        <is>
          <t>accounting</t>
        </is>
      </c>
      <c r="G59" t="inlineStr">
        <is>
          <t>Condensed Financials</t>
        </is>
      </c>
      <c r="H59" t="inlineStr">
        <is>
          <t>D35</t>
        </is>
      </c>
      <c r="I59">
        <f>D33-D34</f>
        <v/>
      </c>
      <c r="J59" t="n">
        <v>5189</v>
      </c>
      <c r="K59" t="n">
        <v>0.01</v>
      </c>
      <c r="L59" t="inlineStr">
        <is>
          <t>olta_agg__20231231,oltl_agg__20231231</t>
        </is>
      </c>
      <c r="M59" t="inlineStr">
        <is>
          <t>NOLA = Operating LT Assets − Operating LT Liabilities.</t>
        </is>
      </c>
      <c r="O59" t="inlineStr">
        <is>
          <t>pending</t>
        </is>
      </c>
      <c r="P59" t="inlineStr">
        <is>
          <t>nola_agg</t>
        </is>
      </c>
      <c r="Q59" t="n">
        <v>12</v>
      </c>
      <c r="R59" t="n">
        <v>2</v>
      </c>
      <c r="S59" t="inlineStr">
        <is>
          <t>2023-12-31</t>
        </is>
      </c>
    </row>
    <row r="60">
      <c r="A60" t="inlineStr">
        <is>
          <t>nola_agg__20241231</t>
        </is>
      </c>
      <c r="B60" t="n">
        <v>59</v>
      </c>
      <c r="C60" t="inlineStr">
        <is>
          <t>Net operating long-term assets (NOLA)</t>
        </is>
      </c>
      <c r="D60" t="inlineStr">
        <is>
          <t>Operating long-term assets less operating long-term liabilities.</t>
        </is>
      </c>
      <c r="E60" t="inlineStr">
        <is>
          <t>condensed.nola.2024-12-31</t>
        </is>
      </c>
      <c r="F60" t="inlineStr">
        <is>
          <t>accounting</t>
        </is>
      </c>
      <c r="G60" t="inlineStr">
        <is>
          <t>Condensed Financials</t>
        </is>
      </c>
      <c r="H60" t="inlineStr">
        <is>
          <t>E35</t>
        </is>
      </c>
      <c r="I60">
        <f>E33-E34</f>
        <v/>
      </c>
      <c r="J60" t="n">
        <v>5788</v>
      </c>
      <c r="K60" t="n">
        <v>0.01</v>
      </c>
      <c r="L60" t="inlineStr">
        <is>
          <t>olta_agg__20241231,oltl_agg__20241231</t>
        </is>
      </c>
      <c r="M60" t="inlineStr">
        <is>
          <t>NOLA = Operating LT Assets − Operating LT Liabilities.</t>
        </is>
      </c>
      <c r="O60" t="inlineStr">
        <is>
          <t>pending</t>
        </is>
      </c>
      <c r="P60" t="inlineStr">
        <is>
          <t>nola_agg</t>
        </is>
      </c>
      <c r="Q60" t="n">
        <v>12</v>
      </c>
      <c r="R60" t="n">
        <v>3</v>
      </c>
      <c r="S60" t="inlineStr">
        <is>
          <t>2024-12-31</t>
        </is>
      </c>
    </row>
    <row r="61">
      <c r="A61" t="inlineStr">
        <is>
          <t>nola_agg__20251231</t>
        </is>
      </c>
      <c r="B61" t="n">
        <v>60</v>
      </c>
      <c r="C61" t="inlineStr">
        <is>
          <t>Net operating long-term assets (NOLA)</t>
        </is>
      </c>
      <c r="D61" t="inlineStr">
        <is>
          <t>Operating long-term assets less operating long-term liabilities.</t>
        </is>
      </c>
      <c r="E61" t="inlineStr">
        <is>
          <t>condensed.nola.2025-12-31</t>
        </is>
      </c>
      <c r="F61" t="inlineStr">
        <is>
          <t>accounting</t>
        </is>
      </c>
      <c r="G61" t="inlineStr">
        <is>
          <t>Condensed Financials</t>
        </is>
      </c>
      <c r="H61" t="inlineStr">
        <is>
          <t>F35</t>
        </is>
      </c>
      <c r="I61">
        <f>F33-F34</f>
        <v/>
      </c>
      <c r="J61" t="n">
        <v>6575</v>
      </c>
      <c r="K61" t="n">
        <v>0.01</v>
      </c>
      <c r="L61" t="inlineStr">
        <is>
          <t>olta_agg__20251231,oltl_agg__20251231</t>
        </is>
      </c>
      <c r="M61" t="inlineStr">
        <is>
          <t>NOLA = Operating LT Assets − Operating LT Liabilities.</t>
        </is>
      </c>
      <c r="O61" t="inlineStr">
        <is>
          <t>pending</t>
        </is>
      </c>
      <c r="P61" t="inlineStr">
        <is>
          <t>nola_agg</t>
        </is>
      </c>
      <c r="Q61" t="n">
        <v>12</v>
      </c>
      <c r="R61" t="n">
        <v>4</v>
      </c>
      <c r="S61" t="inlineStr">
        <is>
          <t>2025-12-31</t>
        </is>
      </c>
    </row>
    <row r="62">
      <c r="A62" t="inlineStr">
        <is>
          <t>noa_agg__20211231</t>
        </is>
      </c>
      <c r="B62" t="n">
        <v>61</v>
      </c>
      <c r="C62" t="inlineStr">
        <is>
          <t>Net Operating Assets (NOA)</t>
        </is>
      </c>
      <c r="D62" t="inlineStr">
        <is>
          <t>NOWC plus net operating long-term assets.</t>
        </is>
      </c>
      <c r="E62" t="inlineStr">
        <is>
          <t>condensed.noa.2021-12-31</t>
        </is>
      </c>
      <c r="F62" t="inlineStr">
        <is>
          <t>accounting</t>
        </is>
      </c>
      <c r="G62" t="inlineStr">
        <is>
          <t>Condensed Financials</t>
        </is>
      </c>
      <c r="H62" t="inlineStr">
        <is>
          <t>B36</t>
        </is>
      </c>
      <c r="I62">
        <f>B32+B35</f>
        <v/>
      </c>
      <c r="J62" t="n">
        <v>5400</v>
      </c>
      <c r="K62" t="n">
        <v>0.01</v>
      </c>
      <c r="L62" t="inlineStr">
        <is>
          <t>nowc_agg__20211231,nola_agg__20211231</t>
        </is>
      </c>
      <c r="M62" t="inlineStr">
        <is>
          <t>Net Operating LT Assets = Op. LT Assets − Op. LT Liabilities (SUMIF).|NOA = NOWC + Net Operating LT Assets.</t>
        </is>
      </c>
      <c r="O62" t="inlineStr">
        <is>
          <t>pending</t>
        </is>
      </c>
      <c r="P62" t="inlineStr">
        <is>
          <t>noa_agg</t>
        </is>
      </c>
      <c r="Q62" t="n">
        <v>13</v>
      </c>
      <c r="R62" t="n">
        <v>0</v>
      </c>
      <c r="S62" t="inlineStr">
        <is>
          <t>2021-12-31</t>
        </is>
      </c>
    </row>
    <row r="63">
      <c r="A63" t="inlineStr">
        <is>
          <t>noa_agg__20221231</t>
        </is>
      </c>
      <c r="B63" t="n">
        <v>62</v>
      </c>
      <c r="C63" t="inlineStr">
        <is>
          <t>Net Operating Assets (NOA)</t>
        </is>
      </c>
      <c r="D63" t="inlineStr">
        <is>
          <t>NOWC plus net operating long-term assets.</t>
        </is>
      </c>
      <c r="E63" t="inlineStr">
        <is>
          <t>condensed.noa.2022-12-31</t>
        </is>
      </c>
      <c r="F63" t="inlineStr">
        <is>
          <t>accounting</t>
        </is>
      </c>
      <c r="G63" t="inlineStr">
        <is>
          <t>Condensed Financials</t>
        </is>
      </c>
      <c r="H63" t="inlineStr">
        <is>
          <t>C36</t>
        </is>
      </c>
      <c r="I63">
        <f>C32+C35</f>
        <v/>
      </c>
      <c r="J63" t="n">
        <v>5750</v>
      </c>
      <c r="K63" t="n">
        <v>0.01</v>
      </c>
      <c r="L63" t="inlineStr">
        <is>
          <t>nowc_agg__20221231,nola_agg__20221231</t>
        </is>
      </c>
      <c r="M63" t="inlineStr">
        <is>
          <t>Net Operating LT Assets = Op. LT Assets − Op. LT Liabilities (SUMIF).|NOA = NOWC + Net Operating LT Assets.</t>
        </is>
      </c>
      <c r="O63" t="inlineStr">
        <is>
          <t>pending</t>
        </is>
      </c>
      <c r="P63" t="inlineStr">
        <is>
          <t>noa_agg</t>
        </is>
      </c>
      <c r="Q63" t="n">
        <v>13</v>
      </c>
      <c r="R63" t="n">
        <v>1</v>
      </c>
      <c r="S63" t="inlineStr">
        <is>
          <t>2022-12-31</t>
        </is>
      </c>
    </row>
    <row r="64">
      <c r="A64" t="inlineStr">
        <is>
          <t>noa_agg__20231231</t>
        </is>
      </c>
      <c r="B64" t="n">
        <v>63</v>
      </c>
      <c r="C64" t="inlineStr">
        <is>
          <t>Net Operating Assets (NOA)</t>
        </is>
      </c>
      <c r="D64" t="inlineStr">
        <is>
          <t>NOWC plus net operating long-term assets.</t>
        </is>
      </c>
      <c r="E64" t="inlineStr">
        <is>
          <t>condensed.noa.2023-12-31</t>
        </is>
      </c>
      <c r="F64" t="inlineStr">
        <is>
          <t>accounting</t>
        </is>
      </c>
      <c r="G64" t="inlineStr">
        <is>
          <t>Condensed Financials</t>
        </is>
      </c>
      <c r="H64" t="inlineStr">
        <is>
          <t>D36</t>
        </is>
      </c>
      <c r="I64">
        <f>D32+D35</f>
        <v/>
      </c>
      <c r="J64" t="n">
        <v>6300</v>
      </c>
      <c r="K64" t="n">
        <v>0.01</v>
      </c>
      <c r="L64" t="inlineStr">
        <is>
          <t>nowc_agg__20231231,nola_agg__20231231</t>
        </is>
      </c>
      <c r="M64" t="inlineStr">
        <is>
          <t>Net Operating LT Assets = Op. LT Assets − Op. LT Liabilities (SUMIF).|NOA = NOWC + Net Operating LT Assets.</t>
        </is>
      </c>
      <c r="O64" t="inlineStr">
        <is>
          <t>pending</t>
        </is>
      </c>
      <c r="P64" t="inlineStr">
        <is>
          <t>noa_agg</t>
        </is>
      </c>
      <c r="Q64" t="n">
        <v>13</v>
      </c>
      <c r="R64" t="n">
        <v>2</v>
      </c>
      <c r="S64" t="inlineStr">
        <is>
          <t>2023-12-31</t>
        </is>
      </c>
    </row>
    <row r="65">
      <c r="A65" t="inlineStr">
        <is>
          <t>noa_agg__20241231</t>
        </is>
      </c>
      <c r="B65" t="n">
        <v>64</v>
      </c>
      <c r="C65" t="inlineStr">
        <is>
          <t>Net Operating Assets (NOA)</t>
        </is>
      </c>
      <c r="D65" t="inlineStr">
        <is>
          <t>NOWC plus net operating long-term assets.</t>
        </is>
      </c>
      <c r="E65" t="inlineStr">
        <is>
          <t>condensed.noa.2024-12-31</t>
        </is>
      </c>
      <c r="F65" t="inlineStr">
        <is>
          <t>accounting</t>
        </is>
      </c>
      <c r="G65" t="inlineStr">
        <is>
          <t>Condensed Financials</t>
        </is>
      </c>
      <c r="H65" t="inlineStr">
        <is>
          <t>E36</t>
        </is>
      </c>
      <c r="I65">
        <f>E32+E35</f>
        <v/>
      </c>
      <c r="J65" t="n">
        <v>7020</v>
      </c>
      <c r="K65" t="n">
        <v>0.01</v>
      </c>
      <c r="L65" t="inlineStr">
        <is>
          <t>nowc_agg__20241231,nola_agg__20241231</t>
        </is>
      </c>
      <c r="M65" t="inlineStr">
        <is>
          <t>Net Operating LT Assets = Op. LT Assets − Op. LT Liabilities (SUMIF).|NOA = NOWC + Net Operating LT Assets.</t>
        </is>
      </c>
      <c r="O65" t="inlineStr">
        <is>
          <t>pending</t>
        </is>
      </c>
      <c r="P65" t="inlineStr">
        <is>
          <t>noa_agg</t>
        </is>
      </c>
      <c r="Q65" t="n">
        <v>13</v>
      </c>
      <c r="R65" t="n">
        <v>3</v>
      </c>
      <c r="S65" t="inlineStr">
        <is>
          <t>2024-12-31</t>
        </is>
      </c>
    </row>
    <row r="66">
      <c r="A66" t="inlineStr">
        <is>
          <t>noa_agg__20251231</t>
        </is>
      </c>
      <c r="B66" t="n">
        <v>65</v>
      </c>
      <c r="C66" t="inlineStr">
        <is>
          <t>Net Operating Assets (NOA)</t>
        </is>
      </c>
      <c r="D66" t="inlineStr">
        <is>
          <t>NOWC plus net operating long-term assets.</t>
        </is>
      </c>
      <c r="E66" t="inlineStr">
        <is>
          <t>condensed.noa.2025-12-31</t>
        </is>
      </c>
      <c r="F66" t="inlineStr">
        <is>
          <t>accounting</t>
        </is>
      </c>
      <c r="G66" t="inlineStr">
        <is>
          <t>Condensed Financials</t>
        </is>
      </c>
      <c r="H66" t="inlineStr">
        <is>
          <t>F36</t>
        </is>
      </c>
      <c r="I66">
        <f>F32+F35</f>
        <v/>
      </c>
      <c r="J66" t="n">
        <v>7950</v>
      </c>
      <c r="K66" t="n">
        <v>0.01</v>
      </c>
      <c r="L66" t="inlineStr">
        <is>
          <t>nowc_agg__20251231,nola_agg__20251231</t>
        </is>
      </c>
      <c r="M66" t="inlineStr">
        <is>
          <t>Net Operating LT Assets = Op. LT Assets − Op. LT Liabilities (SUMIF).|NOA = NOWC + Net Operating LT Assets.</t>
        </is>
      </c>
      <c r="O66" t="inlineStr">
        <is>
          <t>pending</t>
        </is>
      </c>
      <c r="P66" t="inlineStr">
        <is>
          <t>noa_agg</t>
        </is>
      </c>
      <c r="Q66" t="n">
        <v>13</v>
      </c>
      <c r="R66" t="n">
        <v>4</v>
      </c>
      <c r="S66" t="inlineStr">
        <is>
          <t>2025-12-31</t>
        </is>
      </c>
    </row>
    <row r="67">
      <c r="A67" t="inlineStr">
        <is>
          <t>financial_assets_agg__20211231</t>
        </is>
      </c>
      <c r="B67" t="n">
        <v>66</v>
      </c>
      <c r="C67" t="inlineStr">
        <is>
          <t>Financial assets</t>
        </is>
      </c>
      <c r="D67" t="inlineStr">
        <is>
          <t>Aggregate the classified balance-sheet detail with the classification column.</t>
        </is>
      </c>
      <c r="E67" t="inlineStr">
        <is>
          <t>condensed.financial_assets.2021-12-31</t>
        </is>
      </c>
      <c r="F67" t="inlineStr">
        <is>
          <t>accounting</t>
        </is>
      </c>
      <c r="G67" t="inlineStr">
        <is>
          <t>Condensed Financials</t>
        </is>
      </c>
      <c r="H67" t="inlineStr">
        <is>
          <t>B37</t>
        </is>
      </c>
      <c r="I67">
        <f>SUMIF($B$6:$B$15,"Financial Asset",C$6:C$15)</f>
        <v/>
      </c>
      <c r="J67" t="n">
        <v>1200</v>
      </c>
      <c r="K67" t="n">
        <v>0.01</v>
      </c>
      <c r="M67" t="inlineStr">
        <is>
          <t>Use SUMIF over the classification column for Financial Asset.</t>
        </is>
      </c>
      <c r="O67" t="inlineStr">
        <is>
          <t>pending</t>
        </is>
      </c>
      <c r="P67" t="inlineStr">
        <is>
          <t>financial_assets_agg</t>
        </is>
      </c>
      <c r="Q67" t="n">
        <v>14</v>
      </c>
      <c r="R67" t="n">
        <v>0</v>
      </c>
      <c r="S67" t="inlineStr">
        <is>
          <t>2021-12-31</t>
        </is>
      </c>
    </row>
    <row r="68">
      <c r="A68" t="inlineStr">
        <is>
          <t>financial_assets_agg__20221231</t>
        </is>
      </c>
      <c r="B68" t="n">
        <v>67</v>
      </c>
      <c r="C68" t="inlineStr">
        <is>
          <t>Financial assets</t>
        </is>
      </c>
      <c r="D68" t="inlineStr">
        <is>
          <t>Aggregate the classified balance-sheet detail with the classification column.</t>
        </is>
      </c>
      <c r="E68" t="inlineStr">
        <is>
          <t>condensed.financial_assets.2022-12-31</t>
        </is>
      </c>
      <c r="F68" t="inlineStr">
        <is>
          <t>accounting</t>
        </is>
      </c>
      <c r="G68" t="inlineStr">
        <is>
          <t>Condensed Financials</t>
        </is>
      </c>
      <c r="H68" t="inlineStr">
        <is>
          <t>C37</t>
        </is>
      </c>
      <c r="I68">
        <f>SUMIF($B$6:$B$15,"Financial Asset",D$6:D$15)</f>
        <v/>
      </c>
      <c r="J68" t="n">
        <v>1350</v>
      </c>
      <c r="K68" t="n">
        <v>0.01</v>
      </c>
      <c r="M68" t="inlineStr">
        <is>
          <t>Use SUMIF over the classification column for Financial Asset.</t>
        </is>
      </c>
      <c r="O68" t="inlineStr">
        <is>
          <t>pending</t>
        </is>
      </c>
      <c r="P68" t="inlineStr">
        <is>
          <t>financial_assets_agg</t>
        </is>
      </c>
      <c r="Q68" t="n">
        <v>14</v>
      </c>
      <c r="R68" t="n">
        <v>1</v>
      </c>
      <c r="S68" t="inlineStr">
        <is>
          <t>2022-12-31</t>
        </is>
      </c>
    </row>
    <row r="69">
      <c r="A69" t="inlineStr">
        <is>
          <t>financial_assets_agg__20231231</t>
        </is>
      </c>
      <c r="B69" t="n">
        <v>68</v>
      </c>
      <c r="C69" t="inlineStr">
        <is>
          <t>Financial assets</t>
        </is>
      </c>
      <c r="D69" t="inlineStr">
        <is>
          <t>Aggregate the classified balance-sheet detail with the classification column.</t>
        </is>
      </c>
      <c r="E69" t="inlineStr">
        <is>
          <t>condensed.financial_assets.2023-12-31</t>
        </is>
      </c>
      <c r="F69" t="inlineStr">
        <is>
          <t>accounting</t>
        </is>
      </c>
      <c r="G69" t="inlineStr">
        <is>
          <t>Condensed Financials</t>
        </is>
      </c>
      <c r="H69" t="inlineStr">
        <is>
          <t>D37</t>
        </is>
      </c>
      <c r="I69">
        <f>SUMIF($B$6:$B$15,"Financial Asset",E$6:E$15)</f>
        <v/>
      </c>
      <c r="J69" t="n">
        <v>1500</v>
      </c>
      <c r="K69" t="n">
        <v>0.01</v>
      </c>
      <c r="M69" t="inlineStr">
        <is>
          <t>Use SUMIF over the classification column for Financial Asset.</t>
        </is>
      </c>
      <c r="O69" t="inlineStr">
        <is>
          <t>pending</t>
        </is>
      </c>
      <c r="P69" t="inlineStr">
        <is>
          <t>financial_assets_agg</t>
        </is>
      </c>
      <c r="Q69" t="n">
        <v>14</v>
      </c>
      <c r="R69" t="n">
        <v>2</v>
      </c>
      <c r="S69" t="inlineStr">
        <is>
          <t>2023-12-31</t>
        </is>
      </c>
    </row>
    <row r="70">
      <c r="A70" t="inlineStr">
        <is>
          <t>financial_assets_agg__20241231</t>
        </is>
      </c>
      <c r="B70" t="n">
        <v>69</v>
      </c>
      <c r="C70" t="inlineStr">
        <is>
          <t>Financial assets</t>
        </is>
      </c>
      <c r="D70" t="inlineStr">
        <is>
          <t>Aggregate the classified balance-sheet detail with the classification column.</t>
        </is>
      </c>
      <c r="E70" t="inlineStr">
        <is>
          <t>condensed.financial_assets.2024-12-31</t>
        </is>
      </c>
      <c r="F70" t="inlineStr">
        <is>
          <t>accounting</t>
        </is>
      </c>
      <c r="G70" t="inlineStr">
        <is>
          <t>Condensed Financials</t>
        </is>
      </c>
      <c r="H70" t="inlineStr">
        <is>
          <t>E37</t>
        </is>
      </c>
      <c r="I70">
        <f>SUMIF($B$6:$B$15,"Financial Asset",F$6:F$15)</f>
        <v/>
      </c>
      <c r="J70" t="n">
        <v>1680</v>
      </c>
      <c r="K70" t="n">
        <v>0.01</v>
      </c>
      <c r="M70" t="inlineStr">
        <is>
          <t>Use SUMIF over the classification column for Financial Asset.</t>
        </is>
      </c>
      <c r="O70" t="inlineStr">
        <is>
          <t>pending</t>
        </is>
      </c>
      <c r="P70" t="inlineStr">
        <is>
          <t>financial_assets_agg</t>
        </is>
      </c>
      <c r="Q70" t="n">
        <v>14</v>
      </c>
      <c r="R70" t="n">
        <v>3</v>
      </c>
      <c r="S70" t="inlineStr">
        <is>
          <t>2024-12-31</t>
        </is>
      </c>
    </row>
    <row r="71">
      <c r="A71" t="inlineStr">
        <is>
          <t>financial_assets_agg__20251231</t>
        </is>
      </c>
      <c r="B71" t="n">
        <v>70</v>
      </c>
      <c r="C71" t="inlineStr">
        <is>
          <t>Financial assets</t>
        </is>
      </c>
      <c r="D71" t="inlineStr">
        <is>
          <t>Aggregate the classified balance-sheet detail with the classification column.</t>
        </is>
      </c>
      <c r="E71" t="inlineStr">
        <is>
          <t>condensed.financial_assets.2025-12-31</t>
        </is>
      </c>
      <c r="F71" t="inlineStr">
        <is>
          <t>accounting</t>
        </is>
      </c>
      <c r="G71" t="inlineStr">
        <is>
          <t>Condensed Financials</t>
        </is>
      </c>
      <c r="H71" t="inlineStr">
        <is>
          <t>F37</t>
        </is>
      </c>
      <c r="I71">
        <f>SUMIF($B$6:$B$15,"Financial Asset",G$6:G$15)</f>
        <v/>
      </c>
      <c r="J71" t="n">
        <v>1850</v>
      </c>
      <c r="K71" t="n">
        <v>0.01</v>
      </c>
      <c r="M71" t="inlineStr">
        <is>
          <t>Use SUMIF over the classification column for Financial Asset.</t>
        </is>
      </c>
      <c r="O71" t="inlineStr">
        <is>
          <t>pending</t>
        </is>
      </c>
      <c r="P71" t="inlineStr">
        <is>
          <t>financial_assets_agg</t>
        </is>
      </c>
      <c r="Q71" t="n">
        <v>14</v>
      </c>
      <c r="R71" t="n">
        <v>4</v>
      </c>
      <c r="S71" t="inlineStr">
        <is>
          <t>2025-12-31</t>
        </is>
      </c>
    </row>
    <row r="72">
      <c r="A72" t="inlineStr">
        <is>
          <t>financial_liabilities_agg__20211231</t>
        </is>
      </c>
      <c r="B72" t="n">
        <v>71</v>
      </c>
      <c r="C72" t="inlineStr">
        <is>
          <t>Financial liabilities</t>
        </is>
      </c>
      <c r="D72" t="inlineStr">
        <is>
          <t>Aggregate the classified balance-sheet detail with the classification column.</t>
        </is>
      </c>
      <c r="E72" t="inlineStr">
        <is>
          <t>condensed.financial_liabilities.2021-12-31</t>
        </is>
      </c>
      <c r="F72" t="inlineStr">
        <is>
          <t>accounting</t>
        </is>
      </c>
      <c r="G72" t="inlineStr">
        <is>
          <t>Condensed Financials</t>
        </is>
      </c>
      <c r="H72" t="inlineStr">
        <is>
          <t>B38</t>
        </is>
      </c>
      <c r="I72">
        <f>SUMIF($B$6:$B$15,"Financial Liability",C$6:C$15)</f>
        <v/>
      </c>
      <c r="J72" t="n">
        <v>1500</v>
      </c>
      <c r="K72" t="n">
        <v>0.01</v>
      </c>
      <c r="M72" t="inlineStr">
        <is>
          <t>Use SUMIF over the classification column for Financial Liability.</t>
        </is>
      </c>
      <c r="O72" t="inlineStr">
        <is>
          <t>pending</t>
        </is>
      </c>
      <c r="P72" t="inlineStr">
        <is>
          <t>financial_liabilities_agg</t>
        </is>
      </c>
      <c r="Q72" t="n">
        <v>15</v>
      </c>
      <c r="R72" t="n">
        <v>0</v>
      </c>
      <c r="S72" t="inlineStr">
        <is>
          <t>2021-12-31</t>
        </is>
      </c>
    </row>
    <row r="73">
      <c r="A73" t="inlineStr">
        <is>
          <t>financial_liabilities_agg__20221231</t>
        </is>
      </c>
      <c r="B73" t="n">
        <v>72</v>
      </c>
      <c r="C73" t="inlineStr">
        <is>
          <t>Financial liabilities</t>
        </is>
      </c>
      <c r="D73" t="inlineStr">
        <is>
          <t>Aggregate the classified balance-sheet detail with the classification column.</t>
        </is>
      </c>
      <c r="E73" t="inlineStr">
        <is>
          <t>condensed.financial_liabilities.2022-12-31</t>
        </is>
      </c>
      <c r="F73" t="inlineStr">
        <is>
          <t>accounting</t>
        </is>
      </c>
      <c r="G73" t="inlineStr">
        <is>
          <t>Condensed Financials</t>
        </is>
      </c>
      <c r="H73" t="inlineStr">
        <is>
          <t>C38</t>
        </is>
      </c>
      <c r="I73">
        <f>SUMIF($B$6:$B$15,"Financial Liability",D$6:D$15)</f>
        <v/>
      </c>
      <c r="J73" t="n">
        <v>1400</v>
      </c>
      <c r="K73" t="n">
        <v>0.01</v>
      </c>
      <c r="M73" t="inlineStr">
        <is>
          <t>Use SUMIF over the classification column for Financial Liability.</t>
        </is>
      </c>
      <c r="O73" t="inlineStr">
        <is>
          <t>pending</t>
        </is>
      </c>
      <c r="P73" t="inlineStr">
        <is>
          <t>financial_liabilities_agg</t>
        </is>
      </c>
      <c r="Q73" t="n">
        <v>15</v>
      </c>
      <c r="R73" t="n">
        <v>1</v>
      </c>
      <c r="S73" t="inlineStr">
        <is>
          <t>2022-12-31</t>
        </is>
      </c>
    </row>
    <row r="74">
      <c r="A74" t="inlineStr">
        <is>
          <t>financial_liabilities_agg__20231231</t>
        </is>
      </c>
      <c r="B74" t="n">
        <v>73</v>
      </c>
      <c r="C74" t="inlineStr">
        <is>
          <t>Financial liabilities</t>
        </is>
      </c>
      <c r="D74" t="inlineStr">
        <is>
          <t>Aggregate the classified balance-sheet detail with the classification column.</t>
        </is>
      </c>
      <c r="E74" t="inlineStr">
        <is>
          <t>condensed.financial_liabilities.2023-12-31</t>
        </is>
      </c>
      <c r="F74" t="inlineStr">
        <is>
          <t>accounting</t>
        </is>
      </c>
      <c r="G74" t="inlineStr">
        <is>
          <t>Condensed Financials</t>
        </is>
      </c>
      <c r="H74" t="inlineStr">
        <is>
          <t>D38</t>
        </is>
      </c>
      <c r="I74">
        <f>SUMIF($B$6:$B$15,"Financial Liability",E$6:E$15)</f>
        <v/>
      </c>
      <c r="J74" t="n">
        <v>1300</v>
      </c>
      <c r="K74" t="n">
        <v>0.01</v>
      </c>
      <c r="M74" t="inlineStr">
        <is>
          <t>Use SUMIF over the classification column for Financial Liability.</t>
        </is>
      </c>
      <c r="O74" t="inlineStr">
        <is>
          <t>pending</t>
        </is>
      </c>
      <c r="P74" t="inlineStr">
        <is>
          <t>financial_liabilities_agg</t>
        </is>
      </c>
      <c r="Q74" t="n">
        <v>15</v>
      </c>
      <c r="R74" t="n">
        <v>2</v>
      </c>
      <c r="S74" t="inlineStr">
        <is>
          <t>2023-12-31</t>
        </is>
      </c>
    </row>
    <row r="75">
      <c r="A75" t="inlineStr">
        <is>
          <t>financial_liabilities_agg__20241231</t>
        </is>
      </c>
      <c r="B75" t="n">
        <v>74</v>
      </c>
      <c r="C75" t="inlineStr">
        <is>
          <t>Financial liabilities</t>
        </is>
      </c>
      <c r="D75" t="inlineStr">
        <is>
          <t>Aggregate the classified balance-sheet detail with the classification column.</t>
        </is>
      </c>
      <c r="E75" t="inlineStr">
        <is>
          <t>condensed.financial_liabilities.2024-12-31</t>
        </is>
      </c>
      <c r="F75" t="inlineStr">
        <is>
          <t>accounting</t>
        </is>
      </c>
      <c r="G75" t="inlineStr">
        <is>
          <t>Condensed Financials</t>
        </is>
      </c>
      <c r="H75" t="inlineStr">
        <is>
          <t>E38</t>
        </is>
      </c>
      <c r="I75">
        <f>SUMIF($B$6:$B$15,"Financial Liability",F$6:F$15)</f>
        <v/>
      </c>
      <c r="J75" t="n">
        <v>1200</v>
      </c>
      <c r="K75" t="n">
        <v>0.01</v>
      </c>
      <c r="M75" t="inlineStr">
        <is>
          <t>Use SUMIF over the classification column for Financial Liability.</t>
        </is>
      </c>
      <c r="O75" t="inlineStr">
        <is>
          <t>pending</t>
        </is>
      </c>
      <c r="P75" t="inlineStr">
        <is>
          <t>financial_liabilities_agg</t>
        </is>
      </c>
      <c r="Q75" t="n">
        <v>15</v>
      </c>
      <c r="R75" t="n">
        <v>3</v>
      </c>
      <c r="S75" t="inlineStr">
        <is>
          <t>2024-12-31</t>
        </is>
      </c>
    </row>
    <row r="76">
      <c r="A76" t="inlineStr">
        <is>
          <t>financial_liabilities_agg__20251231</t>
        </is>
      </c>
      <c r="B76" t="n">
        <v>75</v>
      </c>
      <c r="C76" t="inlineStr">
        <is>
          <t>Financial liabilities</t>
        </is>
      </c>
      <c r="D76" t="inlineStr">
        <is>
          <t>Aggregate the classified balance-sheet detail with the classification column.</t>
        </is>
      </c>
      <c r="E76" t="inlineStr">
        <is>
          <t>condensed.financial_liabilities.2025-12-31</t>
        </is>
      </c>
      <c r="F76" t="inlineStr">
        <is>
          <t>accounting</t>
        </is>
      </c>
      <c r="G76" t="inlineStr">
        <is>
          <t>Condensed Financials</t>
        </is>
      </c>
      <c r="H76" t="inlineStr">
        <is>
          <t>F38</t>
        </is>
      </c>
      <c r="I76">
        <f>SUMIF($B$6:$B$15,"Financial Liability",G$6:G$15)</f>
        <v/>
      </c>
      <c r="J76" t="n">
        <v>1100</v>
      </c>
      <c r="K76" t="n">
        <v>0.01</v>
      </c>
      <c r="M76" t="inlineStr">
        <is>
          <t>Use SUMIF over the classification column for Financial Liability.</t>
        </is>
      </c>
      <c r="O76" t="inlineStr">
        <is>
          <t>pending</t>
        </is>
      </c>
      <c r="P76" t="inlineStr">
        <is>
          <t>financial_liabilities_agg</t>
        </is>
      </c>
      <c r="Q76" t="n">
        <v>15</v>
      </c>
      <c r="R76" t="n">
        <v>4</v>
      </c>
      <c r="S76" t="inlineStr">
        <is>
          <t>2025-12-31</t>
        </is>
      </c>
    </row>
    <row r="77">
      <c r="A77" t="inlineStr">
        <is>
          <t>net_debt__20211231</t>
        </is>
      </c>
      <c r="B77" t="n">
        <v>76</v>
      </c>
      <c r="C77" t="inlineStr">
        <is>
          <t>Net Debt</t>
        </is>
      </c>
      <c r="D77" t="inlineStr">
        <is>
          <t>Financial liabilities minus financial assets.</t>
        </is>
      </c>
      <c r="E77" t="inlineStr">
        <is>
          <t>condensed.net_debt.2021-12-31</t>
        </is>
      </c>
      <c r="F77" t="inlineStr">
        <is>
          <t>accounting</t>
        </is>
      </c>
      <c r="G77" t="inlineStr">
        <is>
          <t>Condensed Financials</t>
        </is>
      </c>
      <c r="H77" t="inlineStr">
        <is>
          <t>B39</t>
        </is>
      </c>
      <c r="I77">
        <f>B38-B37</f>
        <v/>
      </c>
      <c r="J77" t="n">
        <v>300</v>
      </c>
      <c r="K77" t="n">
        <v>0.01</v>
      </c>
      <c r="L77" t="inlineStr">
        <is>
          <t>financial_assets_agg__20211231,financial_liabilities_agg__20211231</t>
        </is>
      </c>
      <c r="M77" t="inlineStr">
        <is>
          <t>Net Debt = SUMIF(Financial Liability) − SUMIF(Financial Asset).|Positive net debt means the firm carries net financial obligations.</t>
        </is>
      </c>
      <c r="O77" t="inlineStr">
        <is>
          <t>pending</t>
        </is>
      </c>
      <c r="P77" t="inlineStr">
        <is>
          <t>net_debt</t>
        </is>
      </c>
      <c r="Q77" t="n">
        <v>16</v>
      </c>
      <c r="R77" t="n">
        <v>0</v>
      </c>
      <c r="S77" t="inlineStr">
        <is>
          <t>2021-12-31</t>
        </is>
      </c>
    </row>
    <row r="78">
      <c r="A78" t="inlineStr">
        <is>
          <t>net_debt__20221231</t>
        </is>
      </c>
      <c r="B78" t="n">
        <v>77</v>
      </c>
      <c r="C78" t="inlineStr">
        <is>
          <t>Net Debt</t>
        </is>
      </c>
      <c r="D78" t="inlineStr">
        <is>
          <t>Financial liabilities minus financial assets.</t>
        </is>
      </c>
      <c r="E78" t="inlineStr">
        <is>
          <t>condensed.net_debt.2022-12-31</t>
        </is>
      </c>
      <c r="F78" t="inlineStr">
        <is>
          <t>accounting</t>
        </is>
      </c>
      <c r="G78" t="inlineStr">
        <is>
          <t>Condensed Financials</t>
        </is>
      </c>
      <c r="H78" t="inlineStr">
        <is>
          <t>C39</t>
        </is>
      </c>
      <c r="I78">
        <f>C38-C37</f>
        <v/>
      </c>
      <c r="J78" t="n">
        <v>50</v>
      </c>
      <c r="K78" t="n">
        <v>0.01</v>
      </c>
      <c r="L78" t="inlineStr">
        <is>
          <t>financial_assets_agg__20221231,financial_liabilities_agg__20221231</t>
        </is>
      </c>
      <c r="M78" t="inlineStr">
        <is>
          <t>Net Debt = SUMIF(Financial Liability) − SUMIF(Financial Asset).|Positive net debt means the firm carries net financial obligations.</t>
        </is>
      </c>
      <c r="O78" t="inlineStr">
        <is>
          <t>pending</t>
        </is>
      </c>
      <c r="P78" t="inlineStr">
        <is>
          <t>net_debt</t>
        </is>
      </c>
      <c r="Q78" t="n">
        <v>16</v>
      </c>
      <c r="R78" t="n">
        <v>1</v>
      </c>
      <c r="S78" t="inlineStr">
        <is>
          <t>2022-12-31</t>
        </is>
      </c>
    </row>
    <row r="79">
      <c r="A79" t="inlineStr">
        <is>
          <t>net_debt__20231231</t>
        </is>
      </c>
      <c r="B79" t="n">
        <v>78</v>
      </c>
      <c r="C79" t="inlineStr">
        <is>
          <t>Net Debt</t>
        </is>
      </c>
      <c r="D79" t="inlineStr">
        <is>
          <t>Financial liabilities minus financial assets.</t>
        </is>
      </c>
      <c r="E79" t="inlineStr">
        <is>
          <t>condensed.net_debt.2023-12-31</t>
        </is>
      </c>
      <c r="F79" t="inlineStr">
        <is>
          <t>accounting</t>
        </is>
      </c>
      <c r="G79" t="inlineStr">
        <is>
          <t>Condensed Financials</t>
        </is>
      </c>
      <c r="H79" t="inlineStr">
        <is>
          <t>D39</t>
        </is>
      </c>
      <c r="I79">
        <f>D38-D37</f>
        <v/>
      </c>
      <c r="J79" t="n">
        <v>-200</v>
      </c>
      <c r="K79" t="n">
        <v>0.01</v>
      </c>
      <c r="L79" t="inlineStr">
        <is>
          <t>financial_assets_agg__20231231,financial_liabilities_agg__20231231</t>
        </is>
      </c>
      <c r="M79" t="inlineStr">
        <is>
          <t>Net Debt = SUMIF(Financial Liability) − SUMIF(Financial Asset).|Positive net debt means the firm carries net financial obligations.</t>
        </is>
      </c>
      <c r="O79" t="inlineStr">
        <is>
          <t>pending</t>
        </is>
      </c>
      <c r="P79" t="inlineStr">
        <is>
          <t>net_debt</t>
        </is>
      </c>
      <c r="Q79" t="n">
        <v>16</v>
      </c>
      <c r="R79" t="n">
        <v>2</v>
      </c>
      <c r="S79" t="inlineStr">
        <is>
          <t>2023-12-31</t>
        </is>
      </c>
    </row>
    <row r="80">
      <c r="A80" t="inlineStr">
        <is>
          <t>net_debt__20241231</t>
        </is>
      </c>
      <c r="B80" t="n">
        <v>79</v>
      </c>
      <c r="C80" t="inlineStr">
        <is>
          <t>Net Debt</t>
        </is>
      </c>
      <c r="D80" t="inlineStr">
        <is>
          <t>Financial liabilities minus financial assets.</t>
        </is>
      </c>
      <c r="E80" t="inlineStr">
        <is>
          <t>condensed.net_debt.2024-12-31</t>
        </is>
      </c>
      <c r="F80" t="inlineStr">
        <is>
          <t>accounting</t>
        </is>
      </c>
      <c r="G80" t="inlineStr">
        <is>
          <t>Condensed Financials</t>
        </is>
      </c>
      <c r="H80" t="inlineStr">
        <is>
          <t>E39</t>
        </is>
      </c>
      <c r="I80">
        <f>E38-E37</f>
        <v/>
      </c>
      <c r="J80" t="n">
        <v>-480</v>
      </c>
      <c r="K80" t="n">
        <v>0.01</v>
      </c>
      <c r="L80" t="inlineStr">
        <is>
          <t>financial_assets_agg__20241231,financial_liabilities_agg__20241231</t>
        </is>
      </c>
      <c r="M80" t="inlineStr">
        <is>
          <t>Net Debt = SUMIF(Financial Liability) − SUMIF(Financial Asset).|Positive net debt means the firm carries net financial obligations.</t>
        </is>
      </c>
      <c r="O80" t="inlineStr">
        <is>
          <t>pending</t>
        </is>
      </c>
      <c r="P80" t="inlineStr">
        <is>
          <t>net_debt</t>
        </is>
      </c>
      <c r="Q80" t="n">
        <v>16</v>
      </c>
      <c r="R80" t="n">
        <v>3</v>
      </c>
      <c r="S80" t="inlineStr">
        <is>
          <t>2024-12-31</t>
        </is>
      </c>
    </row>
    <row r="81">
      <c r="A81" t="inlineStr">
        <is>
          <t>net_debt__20251231</t>
        </is>
      </c>
      <c r="B81" t="n">
        <v>80</v>
      </c>
      <c r="C81" t="inlineStr">
        <is>
          <t>Net Debt</t>
        </is>
      </c>
      <c r="D81" t="inlineStr">
        <is>
          <t>Financial liabilities minus financial assets.</t>
        </is>
      </c>
      <c r="E81" t="inlineStr">
        <is>
          <t>condensed.net_debt.2025-12-31</t>
        </is>
      </c>
      <c r="F81" t="inlineStr">
        <is>
          <t>accounting</t>
        </is>
      </c>
      <c r="G81" t="inlineStr">
        <is>
          <t>Condensed Financials</t>
        </is>
      </c>
      <c r="H81" t="inlineStr">
        <is>
          <t>F39</t>
        </is>
      </c>
      <c r="I81">
        <f>F38-F37</f>
        <v/>
      </c>
      <c r="J81" t="n">
        <v>-750</v>
      </c>
      <c r="K81" t="n">
        <v>0.01</v>
      </c>
      <c r="L81" t="inlineStr">
        <is>
          <t>financial_assets_agg__20251231,financial_liabilities_agg__20251231</t>
        </is>
      </c>
      <c r="M81" t="inlineStr">
        <is>
          <t>Net Debt = SUMIF(Financial Liability) − SUMIF(Financial Asset).|Positive net debt means the firm carries net financial obligations.</t>
        </is>
      </c>
      <c r="O81" t="inlineStr">
        <is>
          <t>pending</t>
        </is>
      </c>
      <c r="P81" t="inlineStr">
        <is>
          <t>net_debt</t>
        </is>
      </c>
      <c r="Q81" t="n">
        <v>16</v>
      </c>
      <c r="R81" t="n">
        <v>4</v>
      </c>
      <c r="S81" t="inlineStr">
        <is>
          <t>2025-12-31</t>
        </is>
      </c>
    </row>
    <row r="82">
      <c r="A82" t="inlineStr">
        <is>
          <t>equity_reformulated_fy__20211231</t>
        </is>
      </c>
      <c r="B82" t="n">
        <v>81</v>
      </c>
      <c r="C82" t="inlineStr">
        <is>
          <t>Reformulated equity</t>
        </is>
      </c>
      <c r="D82" t="inlineStr">
        <is>
          <t>Use the operating/financing identity linking NOA, Net Debt, and Equity.</t>
        </is>
      </c>
      <c r="E82" t="inlineStr">
        <is>
          <t>condensed.equity.2021-12-31</t>
        </is>
      </c>
      <c r="F82" t="inlineStr">
        <is>
          <t>accounting</t>
        </is>
      </c>
      <c r="G82" t="inlineStr">
        <is>
          <t>Condensed Financials</t>
        </is>
      </c>
      <c r="H82" t="inlineStr">
        <is>
          <t>B40</t>
        </is>
      </c>
      <c r="I82">
        <f>B36-B39</f>
        <v/>
      </c>
      <c r="J82" t="n">
        <v>5100</v>
      </c>
      <c r="K82" t="n">
        <v>0.01</v>
      </c>
      <c r="L82" t="inlineStr">
        <is>
          <t>noa_agg__20211231,net_debt__20211231</t>
        </is>
      </c>
      <c r="M82" t="inlineStr">
        <is>
          <t>Reformulated Equity = NOA − Net Debt.|This identity must reconcile to reported equity within tolerance.</t>
        </is>
      </c>
      <c r="O82" t="inlineStr">
        <is>
          <t>pending</t>
        </is>
      </c>
      <c r="P82" t="inlineStr">
        <is>
          <t>equity_reformulated_fy</t>
        </is>
      </c>
      <c r="Q82" t="n">
        <v>17</v>
      </c>
      <c r="R82" t="n">
        <v>0</v>
      </c>
      <c r="S82" t="inlineStr">
        <is>
          <t>2021-12-31</t>
        </is>
      </c>
    </row>
    <row r="83">
      <c r="A83" t="inlineStr">
        <is>
          <t>equity_reformulated_fy__20221231</t>
        </is>
      </c>
      <c r="B83" t="n">
        <v>82</v>
      </c>
      <c r="C83" t="inlineStr">
        <is>
          <t>Reformulated equity</t>
        </is>
      </c>
      <c r="D83" t="inlineStr">
        <is>
          <t>Use the operating/financing identity linking NOA, Net Debt, and Equity.</t>
        </is>
      </c>
      <c r="E83" t="inlineStr">
        <is>
          <t>condensed.equity.2022-12-31</t>
        </is>
      </c>
      <c r="F83" t="inlineStr">
        <is>
          <t>accounting</t>
        </is>
      </c>
      <c r="G83" t="inlineStr">
        <is>
          <t>Condensed Financials</t>
        </is>
      </c>
      <c r="H83" t="inlineStr">
        <is>
          <t>C40</t>
        </is>
      </c>
      <c r="I83">
        <f>C36-C39</f>
        <v/>
      </c>
      <c r="J83" t="n">
        <v>5700</v>
      </c>
      <c r="K83" t="n">
        <v>0.01</v>
      </c>
      <c r="L83" t="inlineStr">
        <is>
          <t>noa_agg__20221231,net_debt__20221231</t>
        </is>
      </c>
      <c r="M83" t="inlineStr">
        <is>
          <t>Reformulated Equity = NOA − Net Debt.|This identity must reconcile to reported equity within tolerance.</t>
        </is>
      </c>
      <c r="O83" t="inlineStr">
        <is>
          <t>pending</t>
        </is>
      </c>
      <c r="P83" t="inlineStr">
        <is>
          <t>equity_reformulated_fy</t>
        </is>
      </c>
      <c r="Q83" t="n">
        <v>17</v>
      </c>
      <c r="R83" t="n">
        <v>1</v>
      </c>
      <c r="S83" t="inlineStr">
        <is>
          <t>2022-12-31</t>
        </is>
      </c>
    </row>
    <row r="84">
      <c r="A84" t="inlineStr">
        <is>
          <t>equity_reformulated_fy__20231231</t>
        </is>
      </c>
      <c r="B84" t="n">
        <v>83</v>
      </c>
      <c r="C84" t="inlineStr">
        <is>
          <t>Reformulated equity</t>
        </is>
      </c>
      <c r="D84" t="inlineStr">
        <is>
          <t>Use the operating/financing identity linking NOA, Net Debt, and Equity.</t>
        </is>
      </c>
      <c r="E84" t="inlineStr">
        <is>
          <t>condensed.equity.2023-12-31</t>
        </is>
      </c>
      <c r="F84" t="inlineStr">
        <is>
          <t>accounting</t>
        </is>
      </c>
      <c r="G84" t="inlineStr">
        <is>
          <t>Condensed Financials</t>
        </is>
      </c>
      <c r="H84" t="inlineStr">
        <is>
          <t>D40</t>
        </is>
      </c>
      <c r="I84">
        <f>D36-D39</f>
        <v/>
      </c>
      <c r="J84" t="n">
        <v>6500</v>
      </c>
      <c r="K84" t="n">
        <v>0.01</v>
      </c>
      <c r="L84" t="inlineStr">
        <is>
          <t>noa_agg__20231231,net_debt__20231231</t>
        </is>
      </c>
      <c r="M84" t="inlineStr">
        <is>
          <t>Reformulated Equity = NOA − Net Debt.|This identity must reconcile to reported equity within tolerance.</t>
        </is>
      </c>
      <c r="O84" t="inlineStr">
        <is>
          <t>pending</t>
        </is>
      </c>
      <c r="P84" t="inlineStr">
        <is>
          <t>equity_reformulated_fy</t>
        </is>
      </c>
      <c r="Q84" t="n">
        <v>17</v>
      </c>
      <c r="R84" t="n">
        <v>2</v>
      </c>
      <c r="S84" t="inlineStr">
        <is>
          <t>2023-12-31</t>
        </is>
      </c>
    </row>
    <row r="85">
      <c r="A85" t="inlineStr">
        <is>
          <t>equity_reformulated_fy__20241231</t>
        </is>
      </c>
      <c r="B85" t="n">
        <v>84</v>
      </c>
      <c r="C85" t="inlineStr">
        <is>
          <t>Reformulated equity</t>
        </is>
      </c>
      <c r="D85" t="inlineStr">
        <is>
          <t>Use the operating/financing identity linking NOA, Net Debt, and Equity.</t>
        </is>
      </c>
      <c r="E85" t="inlineStr">
        <is>
          <t>condensed.equity.2024-12-31</t>
        </is>
      </c>
      <c r="F85" t="inlineStr">
        <is>
          <t>accounting</t>
        </is>
      </c>
      <c r="G85" t="inlineStr">
        <is>
          <t>Condensed Financials</t>
        </is>
      </c>
      <c r="H85" t="inlineStr">
        <is>
          <t>E40</t>
        </is>
      </c>
      <c r="I85">
        <f>E36-E39</f>
        <v/>
      </c>
      <c r="J85" t="n">
        <v>7500</v>
      </c>
      <c r="K85" t="n">
        <v>0.01</v>
      </c>
      <c r="L85" t="inlineStr">
        <is>
          <t>noa_agg__20241231,net_debt__20241231</t>
        </is>
      </c>
      <c r="M85" t="inlineStr">
        <is>
          <t>Reformulated Equity = NOA − Net Debt.|This identity must reconcile to reported equity within tolerance.</t>
        </is>
      </c>
      <c r="O85" t="inlineStr">
        <is>
          <t>pending</t>
        </is>
      </c>
      <c r="P85" t="inlineStr">
        <is>
          <t>equity_reformulated_fy</t>
        </is>
      </c>
      <c r="Q85" t="n">
        <v>17</v>
      </c>
      <c r="R85" t="n">
        <v>3</v>
      </c>
      <c r="S85" t="inlineStr">
        <is>
          <t>2024-12-31</t>
        </is>
      </c>
    </row>
    <row r="86">
      <c r="A86" t="inlineStr">
        <is>
          <t>equity_reformulated_fy__20251231</t>
        </is>
      </c>
      <c r="B86" t="n">
        <v>85</v>
      </c>
      <c r="C86" t="inlineStr">
        <is>
          <t>Reformulated equity</t>
        </is>
      </c>
      <c r="D86" t="inlineStr">
        <is>
          <t>Use the operating/financing identity linking NOA, Net Debt, and Equity.</t>
        </is>
      </c>
      <c r="E86" t="inlineStr">
        <is>
          <t>condensed.equity.2025-12-31</t>
        </is>
      </c>
      <c r="F86" t="inlineStr">
        <is>
          <t>accounting</t>
        </is>
      </c>
      <c r="G86" t="inlineStr">
        <is>
          <t>Condensed Financials</t>
        </is>
      </c>
      <c r="H86" t="inlineStr">
        <is>
          <t>F40</t>
        </is>
      </c>
      <c r="I86">
        <f>F36-F39</f>
        <v/>
      </c>
      <c r="J86" t="n">
        <v>8700</v>
      </c>
      <c r="K86" t="n">
        <v>0.01</v>
      </c>
      <c r="L86" t="inlineStr">
        <is>
          <t>noa_agg__20251231,net_debt__20251231</t>
        </is>
      </c>
      <c r="M86" t="inlineStr">
        <is>
          <t>Reformulated Equity = NOA − Net Debt.|This identity must reconcile to reported equity within tolerance.</t>
        </is>
      </c>
      <c r="O86" t="inlineStr">
        <is>
          <t>pending</t>
        </is>
      </c>
      <c r="P86" t="inlineStr">
        <is>
          <t>equity_reformulated_fy</t>
        </is>
      </c>
      <c r="Q86" t="n">
        <v>17</v>
      </c>
      <c r="R86" t="n">
        <v>4</v>
      </c>
      <c r="S86" t="inlineStr">
        <is>
          <t>2025-12-31</t>
        </is>
      </c>
    </row>
    <row r="87">
      <c r="A87" t="inlineStr">
        <is>
          <t>sales_growth__20221231</t>
        </is>
      </c>
      <c r="B87" t="n">
        <v>86</v>
      </c>
      <c r="C87" t="inlineStr">
        <is>
          <t>Sales Growth</t>
        </is>
      </c>
      <c r="D87" t="inlineStr">
        <is>
          <t>Current Revenue relative to the immediately preceding fiscal year.</t>
        </is>
      </c>
      <c r="E87" t="inlineStr">
        <is>
          <t>dupont.sales_growth.2022-12-31</t>
        </is>
      </c>
      <c r="F87" t="inlineStr">
        <is>
          <t>dupont</t>
        </is>
      </c>
      <c r="G87" t="inlineStr">
        <is>
          <t>ALT DuPont</t>
        </is>
      </c>
      <c r="H87" t="inlineStr">
        <is>
          <t>C5</t>
        </is>
      </c>
      <c r="I87">
        <f>IF('Condensed Financials'!B18=0,0,'Condensed Financials'!C18/'Condensed Financials'!B18-1)</f>
        <v/>
      </c>
      <c r="J87" t="n">
        <v>0.08235294117647052</v>
      </c>
      <c r="K87" t="n">
        <v>0.01</v>
      </c>
      <c r="L87" t="inlineStr">
        <is>
          <t>revenue_link__20221231,revenue_link__20211231</t>
        </is>
      </c>
      <c r="M87" t="inlineStr">
        <is>
          <t>Sales Growth = Current Revenue / Prior Revenue − 1.</t>
        </is>
      </c>
      <c r="O87" t="inlineStr">
        <is>
          <t>pending</t>
        </is>
      </c>
      <c r="P87" t="inlineStr">
        <is>
          <t>sales_growth</t>
        </is>
      </c>
      <c r="Q87" t="n">
        <v>18</v>
      </c>
      <c r="R87" t="n">
        <v>1</v>
      </c>
      <c r="S87" t="inlineStr">
        <is>
          <t>2022-12-31</t>
        </is>
      </c>
    </row>
    <row r="88">
      <c r="A88" t="inlineStr">
        <is>
          <t>sales_growth__20231231</t>
        </is>
      </c>
      <c r="B88" t="n">
        <v>87</v>
      </c>
      <c r="C88" t="inlineStr">
        <is>
          <t>Sales Growth</t>
        </is>
      </c>
      <c r="D88" t="inlineStr">
        <is>
          <t>Current Revenue relative to the immediately preceding fiscal year.</t>
        </is>
      </c>
      <c r="E88" t="inlineStr">
        <is>
          <t>dupont.sales_growth.2023-12-31</t>
        </is>
      </c>
      <c r="F88" t="inlineStr">
        <is>
          <t>dupont</t>
        </is>
      </c>
      <c r="G88" t="inlineStr">
        <is>
          <t>ALT DuPont</t>
        </is>
      </c>
      <c r="H88" t="inlineStr">
        <is>
          <t>D5</t>
        </is>
      </c>
      <c r="I88">
        <f>IF('Condensed Financials'!C18=0,0,'Condensed Financials'!D18/'Condensed Financials'!C18-1)</f>
        <v/>
      </c>
      <c r="J88" t="n">
        <v>0.09782608695652173</v>
      </c>
      <c r="K88" t="n">
        <v>0.01</v>
      </c>
      <c r="L88" t="inlineStr">
        <is>
          <t>revenue_link__20231231,revenue_link__20221231</t>
        </is>
      </c>
      <c r="M88" t="inlineStr">
        <is>
          <t>Sales Growth = Current Revenue / Prior Revenue − 1.</t>
        </is>
      </c>
      <c r="O88" t="inlineStr">
        <is>
          <t>pending</t>
        </is>
      </c>
      <c r="P88" t="inlineStr">
        <is>
          <t>sales_growth</t>
        </is>
      </c>
      <c r="Q88" t="n">
        <v>18</v>
      </c>
      <c r="R88" t="n">
        <v>2</v>
      </c>
      <c r="S88" t="inlineStr">
        <is>
          <t>2023-12-31</t>
        </is>
      </c>
    </row>
    <row r="89">
      <c r="A89" t="inlineStr">
        <is>
          <t>sales_growth__20241231</t>
        </is>
      </c>
      <c r="B89" t="n">
        <v>88</v>
      </c>
      <c r="C89" t="inlineStr">
        <is>
          <t>Sales Growth</t>
        </is>
      </c>
      <c r="D89" t="inlineStr">
        <is>
          <t>Current Revenue relative to the immediately preceding fiscal year.</t>
        </is>
      </c>
      <c r="E89" t="inlineStr">
        <is>
          <t>dupont.sales_growth.2024-12-31</t>
        </is>
      </c>
      <c r="F89" t="inlineStr">
        <is>
          <t>dupont</t>
        </is>
      </c>
      <c r="G89" t="inlineStr">
        <is>
          <t>ALT DuPont</t>
        </is>
      </c>
      <c r="H89" t="inlineStr">
        <is>
          <t>E5</t>
        </is>
      </c>
      <c r="I89">
        <f>IF('Condensed Financials'!D18=0,0,'Condensed Financials'!E18/'Condensed Financials'!D18-1)</f>
        <v/>
      </c>
      <c r="J89" t="n">
        <v>0.108910891089109</v>
      </c>
      <c r="K89" t="n">
        <v>0.01</v>
      </c>
      <c r="L89" t="inlineStr">
        <is>
          <t>revenue_link__20241231,revenue_link__20231231</t>
        </is>
      </c>
      <c r="M89" t="inlineStr">
        <is>
          <t>Sales Growth = Current Revenue / Prior Revenue − 1.</t>
        </is>
      </c>
      <c r="O89" t="inlineStr">
        <is>
          <t>pending</t>
        </is>
      </c>
      <c r="P89" t="inlineStr">
        <is>
          <t>sales_growth</t>
        </is>
      </c>
      <c r="Q89" t="n">
        <v>18</v>
      </c>
      <c r="R89" t="n">
        <v>3</v>
      </c>
      <c r="S89" t="inlineStr">
        <is>
          <t>2024-12-31</t>
        </is>
      </c>
    </row>
    <row r="90">
      <c r="A90" t="inlineStr">
        <is>
          <t>sales_growth__20251231</t>
        </is>
      </c>
      <c r="B90" t="n">
        <v>89</v>
      </c>
      <c r="C90" t="inlineStr">
        <is>
          <t>Sales Growth</t>
        </is>
      </c>
      <c r="D90" t="inlineStr">
        <is>
          <t>Current Revenue relative to the immediately preceding fiscal year.</t>
        </is>
      </c>
      <c r="E90" t="inlineStr">
        <is>
          <t>dupont.sales_growth.2025-12-31</t>
        </is>
      </c>
      <c r="F90" t="inlineStr">
        <is>
          <t>dupont</t>
        </is>
      </c>
      <c r="G90" t="inlineStr">
        <is>
          <t>ALT DuPont</t>
        </is>
      </c>
      <c r="H90" t="inlineStr">
        <is>
          <t>F5</t>
        </is>
      </c>
      <c r="I90">
        <f>IF('Condensed Financials'!E18=0,0,'Condensed Financials'!F18/'Condensed Financials'!E18-1)</f>
        <v/>
      </c>
      <c r="J90" t="n">
        <v>0.1160714285714286</v>
      </c>
      <c r="K90" t="n">
        <v>0.01</v>
      </c>
      <c r="L90" t="inlineStr">
        <is>
          <t>revenue_link__20251231,revenue_link__20241231</t>
        </is>
      </c>
      <c r="M90" t="inlineStr">
        <is>
          <t>Sales Growth = Current Revenue / Prior Revenue − 1.</t>
        </is>
      </c>
      <c r="O90" t="inlineStr">
        <is>
          <t>pending</t>
        </is>
      </c>
      <c r="P90" t="inlineStr">
        <is>
          <t>sales_growth</t>
        </is>
      </c>
      <c r="Q90" t="n">
        <v>18</v>
      </c>
      <c r="R90" t="n">
        <v>4</v>
      </c>
      <c r="S90" t="inlineStr">
        <is>
          <t>2025-12-31</t>
        </is>
      </c>
    </row>
    <row r="91">
      <c r="A91" t="inlineStr">
        <is>
          <t>nopat_margin__20211231</t>
        </is>
      </c>
      <c r="B91" t="n">
        <v>90</v>
      </c>
      <c r="C91" t="inlineStr">
        <is>
          <t>NOPAT Margin</t>
        </is>
      </c>
      <c r="D91" t="inlineStr">
        <is>
          <t>NOPAT divided by Revenue for the same fiscal period.</t>
        </is>
      </c>
      <c r="E91" t="inlineStr">
        <is>
          <t>dupont.nopat_margin.2021-12-31</t>
        </is>
      </c>
      <c r="F91" t="inlineStr">
        <is>
          <t>dupont</t>
        </is>
      </c>
      <c r="G91" t="inlineStr">
        <is>
          <t>ALT DuPont</t>
        </is>
      </c>
      <c r="H91" t="inlineStr">
        <is>
          <t>B6</t>
        </is>
      </c>
      <c r="I91">
        <f>IF('Condensed Financials'!B18=0,0,'Condensed Financials'!B27/'Condensed Financials'!B18)</f>
        <v/>
      </c>
      <c r="J91" t="n">
        <v>0.3320300751879699</v>
      </c>
      <c r="K91" t="n">
        <v>0.01</v>
      </c>
      <c r="L91" t="inlineStr">
        <is>
          <t>nopat_fy__20211231,revenue_link__20211231</t>
        </is>
      </c>
      <c r="M91" t="inlineStr">
        <is>
          <t>NOPAT Margin = NOPAT / Revenue.</t>
        </is>
      </c>
      <c r="O91" t="inlineStr">
        <is>
          <t>pending</t>
        </is>
      </c>
      <c r="P91" t="inlineStr">
        <is>
          <t>nopat_margin</t>
        </is>
      </c>
      <c r="Q91" t="n">
        <v>19</v>
      </c>
      <c r="R91" t="n">
        <v>0</v>
      </c>
      <c r="S91" t="inlineStr">
        <is>
          <t>2021-12-31</t>
        </is>
      </c>
    </row>
    <row r="92">
      <c r="A92" t="inlineStr">
        <is>
          <t>nopat_margin__20221231</t>
        </is>
      </c>
      <c r="B92" t="n">
        <v>91</v>
      </c>
      <c r="C92" t="inlineStr">
        <is>
          <t>NOPAT Margin</t>
        </is>
      </c>
      <c r="D92" t="inlineStr">
        <is>
          <t>NOPAT divided by Revenue for the same fiscal period.</t>
        </is>
      </c>
      <c r="E92" t="inlineStr">
        <is>
          <t>dupont.nopat_margin.2022-12-31</t>
        </is>
      </c>
      <c r="F92" t="inlineStr">
        <is>
          <t>dupont</t>
        </is>
      </c>
      <c r="G92" t="inlineStr">
        <is>
          <t>ALT DuPont</t>
        </is>
      </c>
      <c r="H92" t="inlineStr">
        <is>
          <t>C6</t>
        </is>
      </c>
      <c r="I92">
        <f>IF('Condensed Financials'!C18=0,0,'Condensed Financials'!C27/'Condensed Financials'!C18)</f>
        <v/>
      </c>
      <c r="J92" t="n">
        <v>0.332</v>
      </c>
      <c r="K92" t="n">
        <v>0.01</v>
      </c>
      <c r="L92" t="inlineStr">
        <is>
          <t>nopat_fy__20221231,revenue_link__20221231</t>
        </is>
      </c>
      <c r="M92" t="inlineStr">
        <is>
          <t>NOPAT Margin = NOPAT / Revenue.</t>
        </is>
      </c>
      <c r="O92" t="inlineStr">
        <is>
          <t>pending</t>
        </is>
      </c>
      <c r="P92" t="inlineStr">
        <is>
          <t>nopat_margin</t>
        </is>
      </c>
      <c r="Q92" t="n">
        <v>19</v>
      </c>
      <c r="R92" t="n">
        <v>1</v>
      </c>
      <c r="S92" t="inlineStr">
        <is>
          <t>2022-12-31</t>
        </is>
      </c>
    </row>
    <row r="93">
      <c r="A93" t="inlineStr">
        <is>
          <t>nopat_margin__20231231</t>
        </is>
      </c>
      <c r="B93" t="n">
        <v>92</v>
      </c>
      <c r="C93" t="inlineStr">
        <is>
          <t>NOPAT Margin</t>
        </is>
      </c>
      <c r="D93" t="inlineStr">
        <is>
          <t>NOPAT divided by Revenue for the same fiscal period.</t>
        </is>
      </c>
      <c r="E93" t="inlineStr">
        <is>
          <t>dupont.nopat_margin.2023-12-31</t>
        </is>
      </c>
      <c r="F93" t="inlineStr">
        <is>
          <t>dupont</t>
        </is>
      </c>
      <c r="G93" t="inlineStr">
        <is>
          <t>ALT DuPont</t>
        </is>
      </c>
      <c r="H93" t="inlineStr">
        <is>
          <t>D6</t>
        </is>
      </c>
      <c r="I93">
        <f>IF('Condensed Financials'!D18=0,0,'Condensed Financials'!D27/'Condensed Financials'!D18)</f>
        <v/>
      </c>
      <c r="J93" t="n">
        <v>0.3320353982300885</v>
      </c>
      <c r="K93" t="n">
        <v>0.01</v>
      </c>
      <c r="L93" t="inlineStr">
        <is>
          <t>nopat_fy__20231231,revenue_link__20231231</t>
        </is>
      </c>
      <c r="M93" t="inlineStr">
        <is>
          <t>NOPAT Margin = NOPAT / Revenue.</t>
        </is>
      </c>
      <c r="O93" t="inlineStr">
        <is>
          <t>pending</t>
        </is>
      </c>
      <c r="P93" t="inlineStr">
        <is>
          <t>nopat_margin</t>
        </is>
      </c>
      <c r="Q93" t="n">
        <v>19</v>
      </c>
      <c r="R93" t="n">
        <v>2</v>
      </c>
      <c r="S93" t="inlineStr">
        <is>
          <t>2023-12-31</t>
        </is>
      </c>
    </row>
    <row r="94">
      <c r="A94" t="inlineStr">
        <is>
          <t>nopat_margin__20241231</t>
        </is>
      </c>
      <c r="B94" t="n">
        <v>93</v>
      </c>
      <c r="C94" t="inlineStr">
        <is>
          <t>NOPAT Margin</t>
        </is>
      </c>
      <c r="D94" t="inlineStr">
        <is>
          <t>NOPAT divided by Revenue for the same fiscal period.</t>
        </is>
      </c>
      <c r="E94" t="inlineStr">
        <is>
          <t>dupont.nopat_margin.2024-12-31</t>
        </is>
      </c>
      <c r="F94" t="inlineStr">
        <is>
          <t>dupont</t>
        </is>
      </c>
      <c r="G94" t="inlineStr">
        <is>
          <t>ALT DuPont</t>
        </is>
      </c>
      <c r="H94" t="inlineStr">
        <is>
          <t>E6</t>
        </is>
      </c>
      <c r="I94">
        <f>IF('Condensed Financials'!E18=0,0,'Condensed Financials'!E27/'Condensed Financials'!E18)</f>
        <v/>
      </c>
      <c r="J94" t="n">
        <v>0.3320273348519363</v>
      </c>
      <c r="K94" t="n">
        <v>0.01</v>
      </c>
      <c r="L94" t="inlineStr">
        <is>
          <t>nopat_fy__20241231,revenue_link__20241231</t>
        </is>
      </c>
      <c r="M94" t="inlineStr">
        <is>
          <t>NOPAT Margin = NOPAT / Revenue.</t>
        </is>
      </c>
      <c r="O94" t="inlineStr">
        <is>
          <t>pending</t>
        </is>
      </c>
      <c r="P94" t="inlineStr">
        <is>
          <t>nopat_margin</t>
        </is>
      </c>
      <c r="Q94" t="n">
        <v>19</v>
      </c>
      <c r="R94" t="n">
        <v>3</v>
      </c>
      <c r="S94" t="inlineStr">
        <is>
          <t>2024-12-31</t>
        </is>
      </c>
    </row>
    <row r="95">
      <c r="A95" t="inlineStr">
        <is>
          <t>nopat_margin__20251231</t>
        </is>
      </c>
      <c r="B95" t="n">
        <v>94</v>
      </c>
      <c r="C95" t="inlineStr">
        <is>
          <t>NOPAT Margin</t>
        </is>
      </c>
      <c r="D95" t="inlineStr">
        <is>
          <t>NOPAT divided by Revenue for the same fiscal period.</t>
        </is>
      </c>
      <c r="E95" t="inlineStr">
        <is>
          <t>dupont.nopat_margin.2025-12-31</t>
        </is>
      </c>
      <c r="F95" t="inlineStr">
        <is>
          <t>dupont</t>
        </is>
      </c>
      <c r="G95" t="inlineStr">
        <is>
          <t>ALT DuPont</t>
        </is>
      </c>
      <c r="H95" t="inlineStr">
        <is>
          <t>F6</t>
        </is>
      </c>
      <c r="I95">
        <f>IF('Condensed Financials'!F18=0,0,'Condensed Financials'!F27/'Condensed Financials'!F18)</f>
        <v/>
      </c>
      <c r="J95" t="n">
        <v>0.3320693170234455</v>
      </c>
      <c r="K95" t="n">
        <v>0.01</v>
      </c>
      <c r="L95" t="inlineStr">
        <is>
          <t>nopat_fy__20251231,revenue_link__20251231</t>
        </is>
      </c>
      <c r="M95" t="inlineStr">
        <is>
          <t>NOPAT Margin = NOPAT / Revenue.</t>
        </is>
      </c>
      <c r="O95" t="inlineStr">
        <is>
          <t>pending</t>
        </is>
      </c>
      <c r="P95" t="inlineStr">
        <is>
          <t>nopat_margin</t>
        </is>
      </c>
      <c r="Q95" t="n">
        <v>19</v>
      </c>
      <c r="R95" t="n">
        <v>4</v>
      </c>
      <c r="S95" t="inlineStr">
        <is>
          <t>2025-12-31</t>
        </is>
      </c>
    </row>
    <row r="96">
      <c r="A96" t="inlineStr">
        <is>
          <t>rnoa__20221231</t>
        </is>
      </c>
      <c r="B96" t="n">
        <v>95</v>
      </c>
      <c r="C96" t="inlineStr">
        <is>
          <t>Return on Net Operating Assets (RNOA)</t>
        </is>
      </c>
      <c r="D96" t="inlineStr">
        <is>
          <t>NOPAT divided by average NOA.</t>
        </is>
      </c>
      <c r="E96" t="inlineStr">
        <is>
          <t>dupont.rnoa.2022-12-31</t>
        </is>
      </c>
      <c r="F96" t="inlineStr">
        <is>
          <t>dupont</t>
        </is>
      </c>
      <c r="G96" t="inlineStr">
        <is>
          <t>ALT DuPont</t>
        </is>
      </c>
      <c r="H96" t="inlineStr">
        <is>
          <t>C7</t>
        </is>
      </c>
      <c r="I96">
        <f>IF((('Condensed Financials'!C36+'Condensed Financials'!B36)/2)=0,0,'Condensed Financials'!C27/(('Condensed Financials'!C36+'Condensed Financials'!B36)/2))</f>
        <v/>
      </c>
      <c r="J96" t="n">
        <v>0.5478744394618834</v>
      </c>
      <c r="K96" t="n">
        <v>0.01</v>
      </c>
      <c r="L96" t="inlineStr">
        <is>
          <t>nopat_fy__20221231,noa_agg__20221231,noa_agg__20211231</t>
        </is>
      </c>
      <c r="M96" t="inlineStr">
        <is>
          <t>RNOA = NOPAT / Average NOA.|Average NOA = (Beginning NOA + Ending NOA) / 2.</t>
        </is>
      </c>
      <c r="O96" t="inlineStr">
        <is>
          <t>pending</t>
        </is>
      </c>
      <c r="P96" t="inlineStr">
        <is>
          <t>rnoa</t>
        </is>
      </c>
      <c r="Q96" t="n">
        <v>20</v>
      </c>
      <c r="R96" t="n">
        <v>1</v>
      </c>
      <c r="S96" t="inlineStr">
        <is>
          <t>2022-12-31</t>
        </is>
      </c>
    </row>
    <row r="97">
      <c r="A97" t="inlineStr">
        <is>
          <t>rnoa__20231231</t>
        </is>
      </c>
      <c r="B97" t="n">
        <v>96</v>
      </c>
      <c r="C97" t="inlineStr">
        <is>
          <t>Return on Net Operating Assets (RNOA)</t>
        </is>
      </c>
      <c r="D97" t="inlineStr">
        <is>
          <t>NOPAT divided by average NOA.</t>
        </is>
      </c>
      <c r="E97" t="inlineStr">
        <is>
          <t>dupont.rnoa.2023-12-31</t>
        </is>
      </c>
      <c r="F97" t="inlineStr">
        <is>
          <t>dupont</t>
        </is>
      </c>
      <c r="G97" t="inlineStr">
        <is>
          <t>ALT DuPont</t>
        </is>
      </c>
      <c r="H97" t="inlineStr">
        <is>
          <t>D7</t>
        </is>
      </c>
      <c r="I97">
        <f>IF((('Condensed Financials'!D36+'Condensed Financials'!C36)/2)=0,0,'Condensed Financials'!D27/(('Condensed Financials'!D36+'Condensed Financials'!C36)/2))</f>
        <v/>
      </c>
      <c r="J97" t="n">
        <v>0.5566070576139243</v>
      </c>
      <c r="K97" t="n">
        <v>0.01</v>
      </c>
      <c r="L97" t="inlineStr">
        <is>
          <t>nopat_fy__20231231,noa_agg__20231231,noa_agg__20221231</t>
        </is>
      </c>
      <c r="M97" t="inlineStr">
        <is>
          <t>RNOA = NOPAT / Average NOA.|Average NOA = (Beginning NOA + Ending NOA) / 2.</t>
        </is>
      </c>
      <c r="O97" t="inlineStr">
        <is>
          <t>pending</t>
        </is>
      </c>
      <c r="P97" t="inlineStr">
        <is>
          <t>rnoa</t>
        </is>
      </c>
      <c r="Q97" t="n">
        <v>20</v>
      </c>
      <c r="R97" t="n">
        <v>2</v>
      </c>
      <c r="S97" t="inlineStr">
        <is>
          <t>2023-12-31</t>
        </is>
      </c>
    </row>
    <row r="98">
      <c r="A98" t="inlineStr">
        <is>
          <t>rnoa__20241231</t>
        </is>
      </c>
      <c r="B98" t="n">
        <v>97</v>
      </c>
      <c r="C98" t="inlineStr">
        <is>
          <t>Return on Net Operating Assets (RNOA)</t>
        </is>
      </c>
      <c r="D98" t="inlineStr">
        <is>
          <t>NOPAT divided by average NOA.</t>
        </is>
      </c>
      <c r="E98" t="inlineStr">
        <is>
          <t>dupont.rnoa.2024-12-31</t>
        </is>
      </c>
      <c r="F98" t="inlineStr">
        <is>
          <t>dupont</t>
        </is>
      </c>
      <c r="G98" t="inlineStr">
        <is>
          <t>ALT DuPont</t>
        </is>
      </c>
      <c r="H98" t="inlineStr">
        <is>
          <t>E7</t>
        </is>
      </c>
      <c r="I98">
        <f>IF((('Condensed Financials'!E36+'Condensed Financials'!D36)/2)=0,0,'Condensed Financials'!E27/(('Condensed Financials'!E36+'Condensed Financials'!D36)/2))</f>
        <v/>
      </c>
      <c r="J98" t="n">
        <v>0.5583642868380909</v>
      </c>
      <c r="K98" t="n">
        <v>0.01</v>
      </c>
      <c r="L98" t="inlineStr">
        <is>
          <t>nopat_fy__20241231,noa_agg__20241231,noa_agg__20231231</t>
        </is>
      </c>
      <c r="M98" t="inlineStr">
        <is>
          <t>RNOA = NOPAT / Average NOA.|Average NOA = (Beginning NOA + Ending NOA) / 2.</t>
        </is>
      </c>
      <c r="O98" t="inlineStr">
        <is>
          <t>pending</t>
        </is>
      </c>
      <c r="P98" t="inlineStr">
        <is>
          <t>rnoa</t>
        </is>
      </c>
      <c r="Q98" t="n">
        <v>20</v>
      </c>
      <c r="R98" t="n">
        <v>3</v>
      </c>
      <c r="S98" t="inlineStr">
        <is>
          <t>2024-12-31</t>
        </is>
      </c>
    </row>
    <row r="99">
      <c r="A99" t="inlineStr">
        <is>
          <t>rnoa__20251231</t>
        </is>
      </c>
      <c r="B99" t="n">
        <v>98</v>
      </c>
      <c r="C99" t="inlineStr">
        <is>
          <t>Return on Net Operating Assets (RNOA)</t>
        </is>
      </c>
      <c r="D99" t="inlineStr">
        <is>
          <t>NOPAT divided by average NOA.</t>
        </is>
      </c>
      <c r="E99" t="inlineStr">
        <is>
          <t>dupont.rnoa.2025-12-31</t>
        </is>
      </c>
      <c r="F99" t="inlineStr">
        <is>
          <t>dupont</t>
        </is>
      </c>
      <c r="G99" t="inlineStr">
        <is>
          <t>ALT DuPont</t>
        </is>
      </c>
      <c r="H99" t="inlineStr">
        <is>
          <t>F7</t>
        </is>
      </c>
      <c r="I99">
        <f>IF((('Condensed Financials'!F36+'Condensed Financials'!E36)/2)=0,0,'Condensed Financials'!F27/(('Condensed Financials'!F36+'Condensed Financials'!E36)/2))</f>
        <v/>
      </c>
      <c r="J99" t="n">
        <v>0.5545579776610646</v>
      </c>
      <c r="K99" t="n">
        <v>0.01</v>
      </c>
      <c r="L99" t="inlineStr">
        <is>
          <t>nopat_fy__20251231,noa_agg__20251231,noa_agg__20241231</t>
        </is>
      </c>
      <c r="M99" t="inlineStr">
        <is>
          <t>RNOA = NOPAT / Average NOA.|Average NOA = (Beginning NOA + Ending NOA) / 2.</t>
        </is>
      </c>
      <c r="O99" t="inlineStr">
        <is>
          <t>pending</t>
        </is>
      </c>
      <c r="P99" t="inlineStr">
        <is>
          <t>rnoa</t>
        </is>
      </c>
      <c r="Q99" t="n">
        <v>20</v>
      </c>
      <c r="R99" t="n">
        <v>4</v>
      </c>
      <c r="S99" t="inlineStr">
        <is>
          <t>2025-12-31</t>
        </is>
      </c>
    </row>
    <row r="100">
      <c r="A100" t="inlineStr">
        <is>
          <t>after_tax_cod__20221231</t>
        </is>
      </c>
      <c r="B100" t="n">
        <v>99</v>
      </c>
      <c r="C100" t="inlineStr">
        <is>
          <t>After-tax cost of debt</t>
        </is>
      </c>
      <c r="D100" t="inlineStr">
        <is>
          <t>Relate net interest after tax to average net debt.</t>
        </is>
      </c>
      <c r="E100" t="inlineStr">
        <is>
          <t>dupont.after_tax_cod.2022-12-31</t>
        </is>
      </c>
      <c r="F100" t="inlineStr">
        <is>
          <t>dupont</t>
        </is>
      </c>
      <c r="G100" t="inlineStr">
        <is>
          <t>ALT DuPont</t>
        </is>
      </c>
      <c r="H100" t="inlineStr">
        <is>
          <t>C8</t>
        </is>
      </c>
      <c r="I100">
        <f>IF((('Condensed Financials'!C39+'Condensed Financials'!B39)/2)=0,0,'Condensed Financials'!C26/(('Condensed Financials'!C39+'Condensed Financials'!B39)/2))</f>
        <v/>
      </c>
      <c r="J100" t="n">
        <v>0.3794285714285714</v>
      </c>
      <c r="K100" t="n">
        <v>0.01</v>
      </c>
      <c r="L100" t="inlineStr">
        <is>
          <t>net_interest_after_tax_fy__20221231,net_debt__20221231,net_debt__20211231</t>
        </is>
      </c>
      <c r="M100" t="inlineStr">
        <is>
          <t>After-tax CoD = Net Interest After Tax / Average Net Debt.|Do not apply the tax rate a second time.</t>
        </is>
      </c>
      <c r="O100" t="inlineStr">
        <is>
          <t>pending</t>
        </is>
      </c>
      <c r="P100" t="inlineStr">
        <is>
          <t>after_tax_cod</t>
        </is>
      </c>
      <c r="Q100" t="n">
        <v>21</v>
      </c>
      <c r="R100" t="n">
        <v>1</v>
      </c>
      <c r="S100" t="inlineStr">
        <is>
          <t>2022-12-31</t>
        </is>
      </c>
    </row>
    <row r="101">
      <c r="A101" t="inlineStr">
        <is>
          <t>after_tax_cod__20231231</t>
        </is>
      </c>
      <c r="B101" t="n">
        <v>100</v>
      </c>
      <c r="C101" t="inlineStr">
        <is>
          <t>After-tax cost of debt</t>
        </is>
      </c>
      <c r="D101" t="inlineStr">
        <is>
          <t>Relate net interest after tax to average net debt.</t>
        </is>
      </c>
      <c r="E101" t="inlineStr">
        <is>
          <t>dupont.after_tax_cod.2023-12-31</t>
        </is>
      </c>
      <c r="F101" t="inlineStr">
        <is>
          <t>dupont</t>
        </is>
      </c>
      <c r="G101" t="inlineStr">
        <is>
          <t>ALT DuPont</t>
        </is>
      </c>
      <c r="H101" t="inlineStr">
        <is>
          <t>D8</t>
        </is>
      </c>
      <c r="I101">
        <f>IF((('Condensed Financials'!D39+'Condensed Financials'!C39)/2)=0,0,'Condensed Financials'!D26/(('Condensed Financials'!D39+'Condensed Financials'!C39)/2))</f>
        <v/>
      </c>
      <c r="J101" t="n">
        <v>-0.9407669616519174</v>
      </c>
      <c r="K101" t="n">
        <v>0.01</v>
      </c>
      <c r="L101" t="inlineStr">
        <is>
          <t>net_interest_after_tax_fy__20231231,net_debt__20231231,net_debt__20221231</t>
        </is>
      </c>
      <c r="M101" t="inlineStr">
        <is>
          <t>After-tax CoD = Net Interest After Tax / Average Net Debt.|Do not apply the tax rate a second time.</t>
        </is>
      </c>
      <c r="O101" t="inlineStr">
        <is>
          <t>pending</t>
        </is>
      </c>
      <c r="P101" t="inlineStr">
        <is>
          <t>after_tax_cod</t>
        </is>
      </c>
      <c r="Q101" t="n">
        <v>21</v>
      </c>
      <c r="R101" t="n">
        <v>2</v>
      </c>
      <c r="S101" t="inlineStr">
        <is>
          <t>2023-12-31</t>
        </is>
      </c>
    </row>
    <row r="102">
      <c r="A102" t="inlineStr">
        <is>
          <t>after_tax_cod__20241231</t>
        </is>
      </c>
      <c r="B102" t="n">
        <v>101</v>
      </c>
      <c r="C102" t="inlineStr">
        <is>
          <t>After-tax cost of debt</t>
        </is>
      </c>
      <c r="D102" t="inlineStr">
        <is>
          <t>Relate net interest after tax to average net debt.</t>
        </is>
      </c>
      <c r="E102" t="inlineStr">
        <is>
          <t>dupont.after_tax_cod.2024-12-31</t>
        </is>
      </c>
      <c r="F102" t="inlineStr">
        <is>
          <t>dupont</t>
        </is>
      </c>
      <c r="G102" t="inlineStr">
        <is>
          <t>ALT DuPont</t>
        </is>
      </c>
      <c r="H102" t="inlineStr">
        <is>
          <t>E8</t>
        </is>
      </c>
      <c r="I102">
        <f>IF((('Condensed Financials'!E39+'Condensed Financials'!D39)/2)=0,0,'Condensed Financials'!E26/(('Condensed Financials'!E39+'Condensed Financials'!D39)/2))</f>
        <v/>
      </c>
      <c r="J102" t="n">
        <v>-0.2197239715931931</v>
      </c>
      <c r="K102" t="n">
        <v>0.01</v>
      </c>
      <c r="L102" t="inlineStr">
        <is>
          <t>net_interest_after_tax_fy__20241231,net_debt__20241231,net_debt__20231231</t>
        </is>
      </c>
      <c r="M102" t="inlineStr">
        <is>
          <t>After-tax CoD = Net Interest After Tax / Average Net Debt.|Do not apply the tax rate a second time.</t>
        </is>
      </c>
      <c r="O102" t="inlineStr">
        <is>
          <t>pending</t>
        </is>
      </c>
      <c r="P102" t="inlineStr">
        <is>
          <t>after_tax_cod</t>
        </is>
      </c>
      <c r="Q102" t="n">
        <v>21</v>
      </c>
      <c r="R102" t="n">
        <v>3</v>
      </c>
      <c r="S102" t="inlineStr">
        <is>
          <t>2024-12-31</t>
        </is>
      </c>
    </row>
    <row r="103">
      <c r="A103" t="inlineStr">
        <is>
          <t>after_tax_cod__20251231</t>
        </is>
      </c>
      <c r="B103" t="n">
        <v>102</v>
      </c>
      <c r="C103" t="inlineStr">
        <is>
          <t>After-tax cost of debt</t>
        </is>
      </c>
      <c r="D103" t="inlineStr">
        <is>
          <t>Relate net interest after tax to average net debt.</t>
        </is>
      </c>
      <c r="E103" t="inlineStr">
        <is>
          <t>dupont.after_tax_cod.2025-12-31</t>
        </is>
      </c>
      <c r="F103" t="inlineStr">
        <is>
          <t>dupont</t>
        </is>
      </c>
      <c r="G103" t="inlineStr">
        <is>
          <t>ALT DuPont</t>
        </is>
      </c>
      <c r="H103" t="inlineStr">
        <is>
          <t>F8</t>
        </is>
      </c>
      <c r="I103">
        <f>IF((('Condensed Financials'!F39+'Condensed Financials'!E39)/2)=0,0,'Condensed Financials'!F26/(('Condensed Financials'!F39+'Condensed Financials'!E39)/2))</f>
        <v/>
      </c>
      <c r="J103" t="n">
        <v>-0.1282381508830379</v>
      </c>
      <c r="K103" t="n">
        <v>0.01</v>
      </c>
      <c r="L103" t="inlineStr">
        <is>
          <t>net_interest_after_tax_fy__20251231,net_debt__20251231,net_debt__20241231</t>
        </is>
      </c>
      <c r="M103" t="inlineStr">
        <is>
          <t>After-tax CoD = Net Interest After Tax / Average Net Debt.|Do not apply the tax rate a second time.</t>
        </is>
      </c>
      <c r="O103" t="inlineStr">
        <is>
          <t>pending</t>
        </is>
      </c>
      <c r="P103" t="inlineStr">
        <is>
          <t>after_tax_cod</t>
        </is>
      </c>
      <c r="Q103" t="n">
        <v>21</v>
      </c>
      <c r="R103" t="n">
        <v>4</v>
      </c>
      <c r="S103" t="inlineStr">
        <is>
          <t>2025-12-31</t>
        </is>
      </c>
    </row>
    <row r="104">
      <c r="A104" t="inlineStr">
        <is>
          <t>spread__20221231</t>
        </is>
      </c>
      <c r="B104" t="n">
        <v>103</v>
      </c>
      <c r="C104" t="inlineStr">
        <is>
          <t>Operating Spread (RNOA − After-tax CoD)</t>
        </is>
      </c>
      <c r="D104" t="inlineStr">
        <is>
          <t>Operating return minus after-tax cost of debt.</t>
        </is>
      </c>
      <c r="E104" t="inlineStr">
        <is>
          <t>dupont.spread.2022-12-31</t>
        </is>
      </c>
      <c r="F104" t="inlineStr">
        <is>
          <t>dupont</t>
        </is>
      </c>
      <c r="G104" t="inlineStr">
        <is>
          <t>ALT DuPont</t>
        </is>
      </c>
      <c r="H104" t="inlineStr">
        <is>
          <t>C9</t>
        </is>
      </c>
      <c r="I104">
        <f>C7-C8</f>
        <v/>
      </c>
      <c r="J104" t="n">
        <v>0.168445868033312</v>
      </c>
      <c r="K104" t="n">
        <v>0.01</v>
      </c>
      <c r="L104" t="inlineStr">
        <is>
          <t>rnoa__20221231,after_tax_cod__20221231</t>
        </is>
      </c>
      <c r="M104" t="inlineStr">
        <is>
          <t>After-tax CoD = Net Interest After Tax / Average Net Debt.|Spread = RNOA − After-tax CoD.</t>
        </is>
      </c>
      <c r="O104" t="inlineStr">
        <is>
          <t>pending</t>
        </is>
      </c>
      <c r="P104" t="inlineStr">
        <is>
          <t>spread</t>
        </is>
      </c>
      <c r="Q104" t="n">
        <v>22</v>
      </c>
      <c r="R104" t="n">
        <v>1</v>
      </c>
      <c r="S104" t="inlineStr">
        <is>
          <t>2022-12-31</t>
        </is>
      </c>
    </row>
    <row r="105">
      <c r="A105" t="inlineStr">
        <is>
          <t>spread__20231231</t>
        </is>
      </c>
      <c r="B105" t="n">
        <v>104</v>
      </c>
      <c r="C105" t="inlineStr">
        <is>
          <t>Operating Spread (RNOA − After-tax CoD)</t>
        </is>
      </c>
      <c r="D105" t="inlineStr">
        <is>
          <t>Operating return minus after-tax cost of debt.</t>
        </is>
      </c>
      <c r="E105" t="inlineStr">
        <is>
          <t>dupont.spread.2023-12-31</t>
        </is>
      </c>
      <c r="F105" t="inlineStr">
        <is>
          <t>dupont</t>
        </is>
      </c>
      <c r="G105" t="inlineStr">
        <is>
          <t>ALT DuPont</t>
        </is>
      </c>
      <c r="H105" t="inlineStr">
        <is>
          <t>D9</t>
        </is>
      </c>
      <c r="I105">
        <f>D7-D8</f>
        <v/>
      </c>
      <c r="J105" t="n">
        <v>1.497374019265842</v>
      </c>
      <c r="K105" t="n">
        <v>0.01</v>
      </c>
      <c r="L105" t="inlineStr">
        <is>
          <t>rnoa__20231231,after_tax_cod__20231231</t>
        </is>
      </c>
      <c r="M105" t="inlineStr">
        <is>
          <t>After-tax CoD = Net Interest After Tax / Average Net Debt.|Spread = RNOA − After-tax CoD.</t>
        </is>
      </c>
      <c r="O105" t="inlineStr">
        <is>
          <t>pending</t>
        </is>
      </c>
      <c r="P105" t="inlineStr">
        <is>
          <t>spread</t>
        </is>
      </c>
      <c r="Q105" t="n">
        <v>22</v>
      </c>
      <c r="R105" t="n">
        <v>2</v>
      </c>
      <c r="S105" t="inlineStr">
        <is>
          <t>2023-12-31</t>
        </is>
      </c>
    </row>
    <row r="106">
      <c r="A106" t="inlineStr">
        <is>
          <t>spread__20241231</t>
        </is>
      </c>
      <c r="B106" t="n">
        <v>105</v>
      </c>
      <c r="C106" t="inlineStr">
        <is>
          <t>Operating Spread (RNOA − After-tax CoD)</t>
        </is>
      </c>
      <c r="D106" t="inlineStr">
        <is>
          <t>Operating return minus after-tax cost of debt.</t>
        </is>
      </c>
      <c r="E106" t="inlineStr">
        <is>
          <t>dupont.spread.2024-12-31</t>
        </is>
      </c>
      <c r="F106" t="inlineStr">
        <is>
          <t>dupont</t>
        </is>
      </c>
      <c r="G106" t="inlineStr">
        <is>
          <t>ALT DuPont</t>
        </is>
      </c>
      <c r="H106" t="inlineStr">
        <is>
          <t>E9</t>
        </is>
      </c>
      <c r="I106">
        <f>E7-E8</f>
        <v/>
      </c>
      <c r="J106" t="n">
        <v>0.778088258431284</v>
      </c>
      <c r="K106" t="n">
        <v>0.01</v>
      </c>
      <c r="L106" t="inlineStr">
        <is>
          <t>rnoa__20241231,after_tax_cod__20241231</t>
        </is>
      </c>
      <c r="M106" t="inlineStr">
        <is>
          <t>After-tax CoD = Net Interest After Tax / Average Net Debt.|Spread = RNOA − After-tax CoD.</t>
        </is>
      </c>
      <c r="O106" t="inlineStr">
        <is>
          <t>pending</t>
        </is>
      </c>
      <c r="P106" t="inlineStr">
        <is>
          <t>spread</t>
        </is>
      </c>
      <c r="Q106" t="n">
        <v>22</v>
      </c>
      <c r="R106" t="n">
        <v>3</v>
      </c>
      <c r="S106" t="inlineStr">
        <is>
          <t>2024-12-31</t>
        </is>
      </c>
    </row>
    <row r="107">
      <c r="A107" t="inlineStr">
        <is>
          <t>spread__20251231</t>
        </is>
      </c>
      <c r="B107" t="n">
        <v>106</v>
      </c>
      <c r="C107" t="inlineStr">
        <is>
          <t>Operating Spread (RNOA − After-tax CoD)</t>
        </is>
      </c>
      <c r="D107" t="inlineStr">
        <is>
          <t>Operating return minus after-tax cost of debt.</t>
        </is>
      </c>
      <c r="E107" t="inlineStr">
        <is>
          <t>dupont.spread.2025-12-31</t>
        </is>
      </c>
      <c r="F107" t="inlineStr">
        <is>
          <t>dupont</t>
        </is>
      </c>
      <c r="G107" t="inlineStr">
        <is>
          <t>ALT DuPont</t>
        </is>
      </c>
      <c r="H107" t="inlineStr">
        <is>
          <t>F9</t>
        </is>
      </c>
      <c r="I107">
        <f>F7-F8</f>
        <v/>
      </c>
      <c r="J107" t="n">
        <v>0.6827961285441025</v>
      </c>
      <c r="K107" t="n">
        <v>0.01</v>
      </c>
      <c r="L107" t="inlineStr">
        <is>
          <t>rnoa__20251231,after_tax_cod__20251231</t>
        </is>
      </c>
      <c r="M107" t="inlineStr">
        <is>
          <t>After-tax CoD = Net Interest After Tax / Average Net Debt.|Spread = RNOA − After-tax CoD.</t>
        </is>
      </c>
      <c r="O107" t="inlineStr">
        <is>
          <t>pending</t>
        </is>
      </c>
      <c r="P107" t="inlineStr">
        <is>
          <t>spread</t>
        </is>
      </c>
      <c r="Q107" t="n">
        <v>22</v>
      </c>
      <c r="R107" t="n">
        <v>4</v>
      </c>
      <c r="S107" t="inlineStr">
        <is>
          <t>2025-12-31</t>
        </is>
      </c>
    </row>
    <row r="108">
      <c r="A108" t="inlineStr">
        <is>
          <t>flev__20221231</t>
        </is>
      </c>
      <c r="B108" t="n">
        <v>107</v>
      </c>
      <c r="C108" t="inlineStr">
        <is>
          <t>Financial leverage (FLEV)</t>
        </is>
      </c>
      <c r="D108" t="inlineStr">
        <is>
          <t>Relate average net debt to average reformulated equity.</t>
        </is>
      </c>
      <c r="E108" t="inlineStr">
        <is>
          <t>dupont.flev.2022-12-31</t>
        </is>
      </c>
      <c r="F108" t="inlineStr">
        <is>
          <t>dupont</t>
        </is>
      </c>
      <c r="G108" t="inlineStr">
        <is>
          <t>ALT DuPont</t>
        </is>
      </c>
      <c r="H108" t="inlineStr">
        <is>
          <t>C10</t>
        </is>
      </c>
      <c r="I108">
        <f>IF((('Condensed Financials'!C40+'Condensed Financials'!B40)/2)=0,0,(('Condensed Financials'!C39+'Condensed Financials'!B39)/2)/(('Condensed Financials'!C40+'Condensed Financials'!B40)/2))</f>
        <v/>
      </c>
      <c r="J108" t="n">
        <v>0.03240740740740741</v>
      </c>
      <c r="K108" t="n">
        <v>0.01</v>
      </c>
      <c r="L108" t="inlineStr">
        <is>
          <t>net_debt__20221231,equity_reformulated_fy__20221231,net_debt__20211231,equity_reformulated_fy__20211231</t>
        </is>
      </c>
      <c r="M108" t="inlineStr">
        <is>
          <t>FLEV = Average Net Debt / Average Equity.</t>
        </is>
      </c>
      <c r="O108" t="inlineStr">
        <is>
          <t>pending</t>
        </is>
      </c>
      <c r="P108" t="inlineStr">
        <is>
          <t>flev</t>
        </is>
      </c>
      <c r="Q108" t="n">
        <v>23</v>
      </c>
      <c r="R108" t="n">
        <v>1</v>
      </c>
      <c r="S108" t="inlineStr">
        <is>
          <t>2022-12-31</t>
        </is>
      </c>
    </row>
    <row r="109">
      <c r="A109" t="inlineStr">
        <is>
          <t>flev__20231231</t>
        </is>
      </c>
      <c r="B109" t="n">
        <v>108</v>
      </c>
      <c r="C109" t="inlineStr">
        <is>
          <t>Financial leverage (FLEV)</t>
        </is>
      </c>
      <c r="D109" t="inlineStr">
        <is>
          <t>Relate average net debt to average reformulated equity.</t>
        </is>
      </c>
      <c r="E109" t="inlineStr">
        <is>
          <t>dupont.flev.2023-12-31</t>
        </is>
      </c>
      <c r="F109" t="inlineStr">
        <is>
          <t>dupont</t>
        </is>
      </c>
      <c r="G109" t="inlineStr">
        <is>
          <t>ALT DuPont</t>
        </is>
      </c>
      <c r="H109" t="inlineStr">
        <is>
          <t>D10</t>
        </is>
      </c>
      <c r="I109">
        <f>IF((('Condensed Financials'!D40+'Condensed Financials'!C40)/2)=0,0,(('Condensed Financials'!D39+'Condensed Financials'!C39)/2)/(('Condensed Financials'!D40+'Condensed Financials'!C40)/2))</f>
        <v/>
      </c>
      <c r="J109" t="n">
        <v>-0.01229508196721311</v>
      </c>
      <c r="K109" t="n">
        <v>0.01</v>
      </c>
      <c r="L109" t="inlineStr">
        <is>
          <t>net_debt__20231231,equity_reformulated_fy__20231231,net_debt__20221231,equity_reformulated_fy__20221231</t>
        </is>
      </c>
      <c r="M109" t="inlineStr">
        <is>
          <t>FLEV = Average Net Debt / Average Equity.</t>
        </is>
      </c>
      <c r="O109" t="inlineStr">
        <is>
          <t>pending</t>
        </is>
      </c>
      <c r="P109" t="inlineStr">
        <is>
          <t>flev</t>
        </is>
      </c>
      <c r="Q109" t="n">
        <v>23</v>
      </c>
      <c r="R109" t="n">
        <v>2</v>
      </c>
      <c r="S109" t="inlineStr">
        <is>
          <t>2023-12-31</t>
        </is>
      </c>
    </row>
    <row r="110">
      <c r="A110" t="inlineStr">
        <is>
          <t>flev__20241231</t>
        </is>
      </c>
      <c r="B110" t="n">
        <v>109</v>
      </c>
      <c r="C110" t="inlineStr">
        <is>
          <t>Financial leverage (FLEV)</t>
        </is>
      </c>
      <c r="D110" t="inlineStr">
        <is>
          <t>Relate average net debt to average reformulated equity.</t>
        </is>
      </c>
      <c r="E110" t="inlineStr">
        <is>
          <t>dupont.flev.2024-12-31</t>
        </is>
      </c>
      <c r="F110" t="inlineStr">
        <is>
          <t>dupont</t>
        </is>
      </c>
      <c r="G110" t="inlineStr">
        <is>
          <t>ALT DuPont</t>
        </is>
      </c>
      <c r="H110" t="inlineStr">
        <is>
          <t>E10</t>
        </is>
      </c>
      <c r="I110">
        <f>IF((('Condensed Financials'!E40+'Condensed Financials'!D40)/2)=0,0,(('Condensed Financials'!E39+'Condensed Financials'!D39)/2)/(('Condensed Financials'!E40+'Condensed Financials'!D40)/2))</f>
        <v/>
      </c>
      <c r="J110" t="n">
        <v>-0.04857142857142857</v>
      </c>
      <c r="K110" t="n">
        <v>0.01</v>
      </c>
      <c r="L110" t="inlineStr">
        <is>
          <t>net_debt__20241231,equity_reformulated_fy__20241231,net_debt__20231231,equity_reformulated_fy__20231231</t>
        </is>
      </c>
      <c r="M110" t="inlineStr">
        <is>
          <t>FLEV = Average Net Debt / Average Equity.</t>
        </is>
      </c>
      <c r="O110" t="inlineStr">
        <is>
          <t>pending</t>
        </is>
      </c>
      <c r="P110" t="inlineStr">
        <is>
          <t>flev</t>
        </is>
      </c>
      <c r="Q110" t="n">
        <v>23</v>
      </c>
      <c r="R110" t="n">
        <v>3</v>
      </c>
      <c r="S110" t="inlineStr">
        <is>
          <t>2024-12-31</t>
        </is>
      </c>
    </row>
    <row r="111">
      <c r="A111" t="inlineStr">
        <is>
          <t>flev__20251231</t>
        </is>
      </c>
      <c r="B111" t="n">
        <v>110</v>
      </c>
      <c r="C111" t="inlineStr">
        <is>
          <t>Financial leverage (FLEV)</t>
        </is>
      </c>
      <c r="D111" t="inlineStr">
        <is>
          <t>Relate average net debt to average reformulated equity.</t>
        </is>
      </c>
      <c r="E111" t="inlineStr">
        <is>
          <t>dupont.flev.2025-12-31</t>
        </is>
      </c>
      <c r="F111" t="inlineStr">
        <is>
          <t>dupont</t>
        </is>
      </c>
      <c r="G111" t="inlineStr">
        <is>
          <t>ALT DuPont</t>
        </is>
      </c>
      <c r="H111" t="inlineStr">
        <is>
          <t>F10</t>
        </is>
      </c>
      <c r="I111">
        <f>IF((('Condensed Financials'!F40+'Condensed Financials'!E40)/2)=0,0,(('Condensed Financials'!F39+'Condensed Financials'!E39)/2)/(('Condensed Financials'!F40+'Condensed Financials'!E40)/2))</f>
        <v/>
      </c>
      <c r="J111" t="n">
        <v>-0.07592592592592592</v>
      </c>
      <c r="K111" t="n">
        <v>0.01</v>
      </c>
      <c r="L111" t="inlineStr">
        <is>
          <t>net_debt__20251231,equity_reformulated_fy__20251231,net_debt__20241231,equity_reformulated_fy__20241231</t>
        </is>
      </c>
      <c r="M111" t="inlineStr">
        <is>
          <t>FLEV = Average Net Debt / Average Equity.</t>
        </is>
      </c>
      <c r="O111" t="inlineStr">
        <is>
          <t>pending</t>
        </is>
      </c>
      <c r="P111" t="inlineStr">
        <is>
          <t>flev</t>
        </is>
      </c>
      <c r="Q111" t="n">
        <v>23</v>
      </c>
      <c r="R111" t="n">
        <v>4</v>
      </c>
      <c r="S111" t="inlineStr">
        <is>
          <t>2025-12-31</t>
        </is>
      </c>
    </row>
    <row r="112">
      <c r="A112" t="inlineStr">
        <is>
          <t>roe_decomp__20221231</t>
        </is>
      </c>
      <c r="B112" t="n">
        <v>111</v>
      </c>
      <c r="C112" t="inlineStr">
        <is>
          <t>ROE decomposition</t>
        </is>
      </c>
      <c r="D112" t="inlineStr">
        <is>
          <t>ROE = RNOA + FLEV × Spread.</t>
        </is>
      </c>
      <c r="E112" t="inlineStr">
        <is>
          <t>dupont.roe_decomposed.2022-12-31</t>
        </is>
      </c>
      <c r="F112" t="inlineStr">
        <is>
          <t>dupont</t>
        </is>
      </c>
      <c r="G112" t="inlineStr">
        <is>
          <t>ALT DuPont</t>
        </is>
      </c>
      <c r="H112" t="inlineStr">
        <is>
          <t>C11</t>
        </is>
      </c>
      <c r="I112">
        <f>C7+C10*(C9)</f>
        <v/>
      </c>
      <c r="J112" t="n">
        <v>0.5533333333333333</v>
      </c>
      <c r="K112" t="n">
        <v>0.01</v>
      </c>
      <c r="L112" t="inlineStr">
        <is>
          <t>rnoa__20221231,spread__20221231,flev__20221231</t>
        </is>
      </c>
      <c r="M112" t="inlineStr">
        <is>
          <t>Financial leverage (FLEV) = Average Net Debt / Average Equity.|ROE (decomposed) = RNOA + FLEV × (RNOA − After-tax CoD).</t>
        </is>
      </c>
      <c r="O112" t="inlineStr">
        <is>
          <t>pending</t>
        </is>
      </c>
      <c r="P112" t="inlineStr">
        <is>
          <t>roe_decomp</t>
        </is>
      </c>
      <c r="Q112" t="n">
        <v>24</v>
      </c>
      <c r="R112" t="n">
        <v>1</v>
      </c>
      <c r="S112" t="inlineStr">
        <is>
          <t>2022-12-31</t>
        </is>
      </c>
    </row>
    <row r="113">
      <c r="A113" t="inlineStr">
        <is>
          <t>roe_decomp__20231231</t>
        </is>
      </c>
      <c r="B113" t="n">
        <v>112</v>
      </c>
      <c r="C113" t="inlineStr">
        <is>
          <t>ROE decomposition</t>
        </is>
      </c>
      <c r="D113" t="inlineStr">
        <is>
          <t>ROE = RNOA + FLEV × Spread.</t>
        </is>
      </c>
      <c r="E113" t="inlineStr">
        <is>
          <t>dupont.roe_decomposed.2023-12-31</t>
        </is>
      </c>
      <c r="F113" t="inlineStr">
        <is>
          <t>dupont</t>
        </is>
      </c>
      <c r="G113" t="inlineStr">
        <is>
          <t>ALT DuPont</t>
        </is>
      </c>
      <c r="H113" t="inlineStr">
        <is>
          <t>D11</t>
        </is>
      </c>
      <c r="I113">
        <f>D7+D10*(D9)</f>
        <v/>
      </c>
      <c r="J113" t="n">
        <v>0.5381967213114753</v>
      </c>
      <c r="K113" t="n">
        <v>0.01</v>
      </c>
      <c r="L113" t="inlineStr">
        <is>
          <t>rnoa__20231231,spread__20231231,flev__20231231</t>
        </is>
      </c>
      <c r="M113" t="inlineStr">
        <is>
          <t>Financial leverage (FLEV) = Average Net Debt / Average Equity.|ROE (decomposed) = RNOA + FLEV × (RNOA − After-tax CoD).</t>
        </is>
      </c>
      <c r="O113" t="inlineStr">
        <is>
          <t>pending</t>
        </is>
      </c>
      <c r="P113" t="inlineStr">
        <is>
          <t>roe_decomp</t>
        </is>
      </c>
      <c r="Q113" t="n">
        <v>24</v>
      </c>
      <c r="R113" t="n">
        <v>2</v>
      </c>
      <c r="S113" t="inlineStr">
        <is>
          <t>2023-12-31</t>
        </is>
      </c>
    </row>
    <row r="114">
      <c r="A114" t="inlineStr">
        <is>
          <t>roe_decomp__20241231</t>
        </is>
      </c>
      <c r="B114" t="n">
        <v>113</v>
      </c>
      <c r="C114" t="inlineStr">
        <is>
          <t>ROE decomposition</t>
        </is>
      </c>
      <c r="D114" t="inlineStr">
        <is>
          <t>ROE = RNOA + FLEV × Spread.</t>
        </is>
      </c>
      <c r="E114" t="inlineStr">
        <is>
          <t>dupont.roe_decomposed.2024-12-31</t>
        </is>
      </c>
      <c r="F114" t="inlineStr">
        <is>
          <t>dupont</t>
        </is>
      </c>
      <c r="G114" t="inlineStr">
        <is>
          <t>ALT DuPont</t>
        </is>
      </c>
      <c r="H114" t="inlineStr">
        <is>
          <t>E11</t>
        </is>
      </c>
      <c r="I114">
        <f>E7+E10*(E9)</f>
        <v/>
      </c>
      <c r="J114" t="n">
        <v>0.5205714285714286</v>
      </c>
      <c r="K114" t="n">
        <v>0.01</v>
      </c>
      <c r="L114" t="inlineStr">
        <is>
          <t>rnoa__20241231,spread__20241231,flev__20241231</t>
        </is>
      </c>
      <c r="M114" t="inlineStr">
        <is>
          <t>Financial leverage (FLEV) = Average Net Debt / Average Equity.|ROE (decomposed) = RNOA + FLEV × (RNOA − After-tax CoD).</t>
        </is>
      </c>
      <c r="O114" t="inlineStr">
        <is>
          <t>pending</t>
        </is>
      </c>
      <c r="P114" t="inlineStr">
        <is>
          <t>roe_decomp</t>
        </is>
      </c>
      <c r="Q114" t="n">
        <v>24</v>
      </c>
      <c r="R114" t="n">
        <v>3</v>
      </c>
      <c r="S114" t="inlineStr">
        <is>
          <t>2024-12-31</t>
        </is>
      </c>
    </row>
    <row r="115">
      <c r="A115" t="inlineStr">
        <is>
          <t>roe_decomp__20251231</t>
        </is>
      </c>
      <c r="B115" t="n">
        <v>114</v>
      </c>
      <c r="C115" t="inlineStr">
        <is>
          <t>ROE decomposition</t>
        </is>
      </c>
      <c r="D115" t="inlineStr">
        <is>
          <t>ROE = RNOA + FLEV × Spread.</t>
        </is>
      </c>
      <c r="E115" t="inlineStr">
        <is>
          <t>dupont.roe_decomposed.2025-12-31</t>
        </is>
      </c>
      <c r="F115" t="inlineStr">
        <is>
          <t>dupont</t>
        </is>
      </c>
      <c r="G115" t="inlineStr">
        <is>
          <t>ALT DuPont</t>
        </is>
      </c>
      <c r="H115" t="inlineStr">
        <is>
          <t>F11</t>
        </is>
      </c>
      <c r="I115">
        <f>F7+F10*(F9)</f>
        <v/>
      </c>
      <c r="J115" t="n">
        <v>0.5027160493827161</v>
      </c>
      <c r="K115" t="n">
        <v>0.01</v>
      </c>
      <c r="L115" t="inlineStr">
        <is>
          <t>rnoa__20251231,spread__20251231,flev__20251231</t>
        </is>
      </c>
      <c r="M115" t="inlineStr">
        <is>
          <t>Financial leverage (FLEV) = Average Net Debt / Average Equity.|ROE (decomposed) = RNOA + FLEV × (RNOA − After-tax CoD).</t>
        </is>
      </c>
      <c r="O115" t="inlineStr">
        <is>
          <t>pending</t>
        </is>
      </c>
      <c r="P115" t="inlineStr">
        <is>
          <t>roe_decomp</t>
        </is>
      </c>
      <c r="Q115" t="n">
        <v>24</v>
      </c>
      <c r="R115" t="n">
        <v>4</v>
      </c>
      <c r="S115" t="inlineStr">
        <is>
          <t>2025-12-31</t>
        </is>
      </c>
    </row>
    <row r="116">
      <c r="A116" t="inlineStr">
        <is>
          <t>actual_roe__20221231</t>
        </is>
      </c>
      <c r="B116" t="n">
        <v>115</v>
      </c>
      <c r="C116" t="inlineStr">
        <is>
          <t>Actual ROE</t>
        </is>
      </c>
      <c r="D116" t="inlineStr">
        <is>
          <t>Relate net income to average reformulated equity.</t>
        </is>
      </c>
      <c r="E116" t="inlineStr">
        <is>
          <t>dupont.actual_roe.2022-12-31</t>
        </is>
      </c>
      <c r="F116" t="inlineStr">
        <is>
          <t>dupont</t>
        </is>
      </c>
      <c r="G116" t="inlineStr">
        <is>
          <t>ALT DuPont</t>
        </is>
      </c>
      <c r="H116" t="inlineStr">
        <is>
          <t>C12</t>
        </is>
      </c>
      <c r="I116">
        <f>IF((('Condensed Financials'!C40+'Condensed Financials'!B40)/2)=0,0,'Condensed Financials'!C19/(('Condensed Financials'!C40+'Condensed Financials'!B40)/2))</f>
        <v/>
      </c>
      <c r="J116" t="n">
        <v>0.5533333333333333</v>
      </c>
      <c r="K116" t="n">
        <v>0.01</v>
      </c>
      <c r="L116" t="inlineStr">
        <is>
          <t>net_income_link__20221231,equity_reformulated_fy__20221231,equity_reformulated_fy__20211231</t>
        </is>
      </c>
      <c r="M116" t="inlineStr">
        <is>
          <t>Actual ROE = Net Income / Average Equity.</t>
        </is>
      </c>
      <c r="O116" t="inlineStr">
        <is>
          <t>pending</t>
        </is>
      </c>
      <c r="P116" t="inlineStr">
        <is>
          <t>actual_roe</t>
        </is>
      </c>
      <c r="Q116" t="n">
        <v>25</v>
      </c>
      <c r="R116" t="n">
        <v>1</v>
      </c>
      <c r="S116" t="inlineStr">
        <is>
          <t>2022-12-31</t>
        </is>
      </c>
    </row>
    <row r="117">
      <c r="A117" t="inlineStr">
        <is>
          <t>actual_roe__20231231</t>
        </is>
      </c>
      <c r="B117" t="n">
        <v>116</v>
      </c>
      <c r="C117" t="inlineStr">
        <is>
          <t>Actual ROE</t>
        </is>
      </c>
      <c r="D117" t="inlineStr">
        <is>
          <t>Relate net income to average reformulated equity.</t>
        </is>
      </c>
      <c r="E117" t="inlineStr">
        <is>
          <t>dupont.actual_roe.2023-12-31</t>
        </is>
      </c>
      <c r="F117" t="inlineStr">
        <is>
          <t>dupont</t>
        </is>
      </c>
      <c r="G117" t="inlineStr">
        <is>
          <t>ALT DuPont</t>
        </is>
      </c>
      <c r="H117" t="inlineStr">
        <is>
          <t>D12</t>
        </is>
      </c>
      <c r="I117">
        <f>IF((('Condensed Financials'!D40+'Condensed Financials'!C40)/2)=0,0,'Condensed Financials'!D19/(('Condensed Financials'!D40+'Condensed Financials'!C40)/2))</f>
        <v/>
      </c>
      <c r="J117" t="n">
        <v>0.5381967213114754</v>
      </c>
      <c r="K117" t="n">
        <v>0.01</v>
      </c>
      <c r="L117" t="inlineStr">
        <is>
          <t>net_income_link__20231231,equity_reformulated_fy__20231231,equity_reformulated_fy__20221231</t>
        </is>
      </c>
      <c r="M117" t="inlineStr">
        <is>
          <t>Actual ROE = Net Income / Average Equity.</t>
        </is>
      </c>
      <c r="O117" t="inlineStr">
        <is>
          <t>pending</t>
        </is>
      </c>
      <c r="P117" t="inlineStr">
        <is>
          <t>actual_roe</t>
        </is>
      </c>
      <c r="Q117" t="n">
        <v>25</v>
      </c>
      <c r="R117" t="n">
        <v>2</v>
      </c>
      <c r="S117" t="inlineStr">
        <is>
          <t>2023-12-31</t>
        </is>
      </c>
    </row>
    <row r="118">
      <c r="A118" t="inlineStr">
        <is>
          <t>actual_roe__20241231</t>
        </is>
      </c>
      <c r="B118" t="n">
        <v>117</v>
      </c>
      <c r="C118" t="inlineStr">
        <is>
          <t>Actual ROE</t>
        </is>
      </c>
      <c r="D118" t="inlineStr">
        <is>
          <t>Relate net income to average reformulated equity.</t>
        </is>
      </c>
      <c r="E118" t="inlineStr">
        <is>
          <t>dupont.actual_roe.2024-12-31</t>
        </is>
      </c>
      <c r="F118" t="inlineStr">
        <is>
          <t>dupont</t>
        </is>
      </c>
      <c r="G118" t="inlineStr">
        <is>
          <t>ALT DuPont</t>
        </is>
      </c>
      <c r="H118" t="inlineStr">
        <is>
          <t>E12</t>
        </is>
      </c>
      <c r="I118">
        <f>IF((('Condensed Financials'!E40+'Condensed Financials'!D40)/2)=0,0,'Condensed Financials'!E19/(('Condensed Financials'!E40+'Condensed Financials'!D40)/2))</f>
        <v/>
      </c>
      <c r="J118" t="n">
        <v>0.5205714285714286</v>
      </c>
      <c r="K118" t="n">
        <v>0.01</v>
      </c>
      <c r="L118" t="inlineStr">
        <is>
          <t>net_income_link__20241231,equity_reformulated_fy__20241231,equity_reformulated_fy__20231231</t>
        </is>
      </c>
      <c r="M118" t="inlineStr">
        <is>
          <t>Actual ROE = Net Income / Average Equity.</t>
        </is>
      </c>
      <c r="O118" t="inlineStr">
        <is>
          <t>pending</t>
        </is>
      </c>
      <c r="P118" t="inlineStr">
        <is>
          <t>actual_roe</t>
        </is>
      </c>
      <c r="Q118" t="n">
        <v>25</v>
      </c>
      <c r="R118" t="n">
        <v>3</v>
      </c>
      <c r="S118" t="inlineStr">
        <is>
          <t>2024-12-31</t>
        </is>
      </c>
    </row>
    <row r="119">
      <c r="A119" t="inlineStr">
        <is>
          <t>actual_roe__20251231</t>
        </is>
      </c>
      <c r="B119" t="n">
        <v>118</v>
      </c>
      <c r="C119" t="inlineStr">
        <is>
          <t>Actual ROE</t>
        </is>
      </c>
      <c r="D119" t="inlineStr">
        <is>
          <t>Relate net income to average reformulated equity.</t>
        </is>
      </c>
      <c r="E119" t="inlineStr">
        <is>
          <t>dupont.actual_roe.2025-12-31</t>
        </is>
      </c>
      <c r="F119" t="inlineStr">
        <is>
          <t>dupont</t>
        </is>
      </c>
      <c r="G119" t="inlineStr">
        <is>
          <t>ALT DuPont</t>
        </is>
      </c>
      <c r="H119" t="inlineStr">
        <is>
          <t>F12</t>
        </is>
      </c>
      <c r="I119">
        <f>IF((('Condensed Financials'!F40+'Condensed Financials'!E40)/2)=0,0,'Condensed Financials'!F19/(('Condensed Financials'!F40+'Condensed Financials'!E40)/2))</f>
        <v/>
      </c>
      <c r="J119" t="n">
        <v>0.5027160493827161</v>
      </c>
      <c r="K119" t="n">
        <v>0.01</v>
      </c>
      <c r="L119" t="inlineStr">
        <is>
          <t>net_income_link__20251231,equity_reformulated_fy__20251231,equity_reformulated_fy__20241231</t>
        </is>
      </c>
      <c r="M119" t="inlineStr">
        <is>
          <t>Actual ROE = Net Income / Average Equity.</t>
        </is>
      </c>
      <c r="O119" t="inlineStr">
        <is>
          <t>pending</t>
        </is>
      </c>
      <c r="P119" t="inlineStr">
        <is>
          <t>actual_roe</t>
        </is>
      </c>
      <c r="Q119" t="n">
        <v>25</v>
      </c>
      <c r="R119" t="n">
        <v>4</v>
      </c>
      <c r="S119" t="inlineStr">
        <is>
          <t>2025-12-31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2026-09-04T11:30:20Z</dcterms:created>
  <dcterms:modified xmlns:dcterms="http://purl.org/dc/terms/" xmlns:xsi="http://www.w3.org/2001/XMLSchema-instance" xsi:type="dcterms:W3CDTF">2026-09-04T11:30:20Z</dcterms:modified>
</cp:coreProperties>
</file>