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Model_Bear" sheetId="8" state="hidden" r:id="rId8"/>
    <sheet xmlns:r="http://schemas.openxmlformats.org/officeDocument/2006/relationships" name="Model_Base" sheetId="9" state="hidden" r:id="rId9"/>
    <sheet xmlns:r="http://schemas.openxmlformats.org/officeDocument/2006/relationships" name="Model_Bull" sheetId="10" state="hidden" r:id="rId10"/>
    <sheet xmlns:r="http://schemas.openxmlformats.org/officeDocument/2006/relationships" name="Scenario_Summary" sheetId="11" state="hidden" r:id="rId11"/>
    <sheet xmlns:r="http://schemas.openxmlformats.org/officeDocument/2006/relationships" name="_ComponentMap" sheetId="12" state="hidden" r:id="rId12"/>
    <sheet xmlns:r="http://schemas.openxmlformats.org/officeDocument/2006/relationships" name="_CheckContext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 against the treatment currently selected on Accounting Judgment (blank F uses the supplied reference treatment). Also complete Accounting Judgment when cases are present; rationale and consequence responses are not graded by Check. Compare them with the matching Answer Key. Do not edit linked Condensed Financials classification cells directly.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>
        <f>IF('Accounting Judgment'!$F$5="",'Accounting Judgment'!$D$5,'Accounting Judgment'!$F$5)</f>
        <v/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7"/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>
        <f>'Income Statement'!B7</f>
        <v/>
      </c>
      <c r="C19" s="16">
        <f>'Income Statement'!C7</f>
        <v/>
      </c>
      <c r="D19" s="16">
        <f>'Income Statement'!D7</f>
        <v/>
      </c>
      <c r="E19" s="16">
        <f>'Income Statement'!E7</f>
        <v/>
      </c>
      <c r="F19" s="16">
        <f>'Income Statement'!F7</f>
        <v/>
      </c>
    </row>
    <row r="20">
      <c r="A20" s="12" t="inlineStr">
        <is>
          <t>Net Income</t>
        </is>
      </c>
      <c r="B20" s="17">
        <f>'Income Statement'!B16</f>
        <v/>
      </c>
      <c r="C20" s="17">
        <f>'Income Statement'!C16</f>
        <v/>
      </c>
      <c r="D20" s="17">
        <f>'Income Statement'!D16</f>
        <v/>
      </c>
      <c r="E20" s="17">
        <f>'Income Statement'!E16</f>
        <v/>
      </c>
      <c r="F20" s="17">
        <f>'Income Statement'!F16</f>
        <v/>
      </c>
    </row>
    <row r="21">
      <c r="A21" s="12" t="inlineStr">
        <is>
          <t>Pretax Income</t>
        </is>
      </c>
      <c r="B21" s="12">
        <f>'Income Statement'!B14</f>
        <v/>
      </c>
      <c r="C21" s="12">
        <f>'Income Statement'!C14</f>
        <v/>
      </c>
      <c r="D21" s="12">
        <f>'Income Statement'!D14</f>
        <v/>
      </c>
      <c r="E21" s="12">
        <f>'Income Statement'!E14</f>
        <v/>
      </c>
      <c r="F21" s="12">
        <f>'Income Statement'!F14</f>
        <v/>
      </c>
    </row>
    <row r="22">
      <c r="A22" s="12" t="inlineStr">
        <is>
          <t>Tax Expense</t>
        </is>
      </c>
      <c r="B22" s="12">
        <f>'Income Statement'!B15</f>
        <v/>
      </c>
      <c r="C22" s="12">
        <f>'Income Statement'!C15</f>
        <v/>
      </c>
      <c r="D22" s="12">
        <f>'Income Statement'!D15</f>
        <v/>
      </c>
      <c r="E22" s="12">
        <f>'Income Statement'!E15</f>
        <v/>
      </c>
      <c r="F22" s="12">
        <f>'Income Statement'!F15</f>
        <v/>
      </c>
    </row>
    <row r="23">
      <c r="A23" s="12" t="inlineStr">
        <is>
          <t>Interest Expense</t>
        </is>
      </c>
      <c r="B23" s="12">
        <f>'Income Statement'!B12</f>
        <v/>
      </c>
      <c r="C23" s="12">
        <f>'Income Statement'!C12</f>
        <v/>
      </c>
      <c r="D23" s="12">
        <f>'Income Statement'!D12</f>
        <v/>
      </c>
      <c r="E23" s="12">
        <f>'Income Statement'!E12</f>
        <v/>
      </c>
      <c r="F23" s="12">
        <f>'Income Statement'!F12</f>
        <v/>
      </c>
    </row>
    <row r="24">
      <c r="A24" s="12" t="inlineStr">
        <is>
          <t>Interest Income</t>
        </is>
      </c>
      <c r="B24" s="12">
        <f>'Income Statement'!B13</f>
        <v/>
      </c>
      <c r="C24" s="12">
        <f>'Income Statement'!C13</f>
        <v/>
      </c>
      <c r="D24" s="12">
        <f>'Income Statement'!D13</f>
        <v/>
      </c>
      <c r="E24" s="12">
        <f>'Income Statement'!E13</f>
        <v/>
      </c>
      <c r="F24" s="12">
        <f>'Income Statement'!F13</f>
        <v/>
      </c>
    </row>
    <row r="25">
      <c r="A25" s="12" t="inlineStr">
        <is>
          <t>Effective Tax Rate</t>
        </is>
      </c>
      <c r="B25" s="18">
        <f>IF(B21=0,0,-B22/B21)</f>
        <v/>
      </c>
      <c r="C25" s="18">
        <f>IF(C21=0,0,-C22/C21)</f>
        <v/>
      </c>
      <c r="D25" s="18">
        <f>IF(D21=0,0,-D22/D21)</f>
        <v/>
      </c>
      <c r="E25" s="18">
        <f>IF(E21=0,0,-E22/E21)</f>
        <v/>
      </c>
      <c r="F25" s="18">
        <f>IF(F21=0,0,-F22/F21)</f>
        <v/>
      </c>
    </row>
    <row r="26">
      <c r="A26" s="12" t="inlineStr">
        <is>
          <t>Net Interest</t>
        </is>
      </c>
      <c r="B26" s="19">
        <f>-(B23+B24)</f>
        <v/>
      </c>
      <c r="C26" s="19">
        <f>-(C23+C24)</f>
        <v/>
      </c>
      <c r="D26" s="19">
        <f>-(D23+D24)</f>
        <v/>
      </c>
      <c r="E26" s="19">
        <f>-(E23+E24)</f>
        <v/>
      </c>
      <c r="F26" s="19">
        <f>-(F23+F24)</f>
        <v/>
      </c>
    </row>
    <row r="27">
      <c r="A27" s="12" t="inlineStr">
        <is>
          <t>Net Interest After Tax</t>
        </is>
      </c>
      <c r="B27" s="19">
        <f>B26*(1-B25)</f>
        <v/>
      </c>
      <c r="C27" s="19">
        <f>C26*(1-C25)</f>
        <v/>
      </c>
      <c r="D27" s="19">
        <f>D26*(1-D25)</f>
        <v/>
      </c>
      <c r="E27" s="19">
        <f>E26*(1-E25)</f>
        <v/>
      </c>
      <c r="F27" s="19">
        <f>F26*(1-F25)</f>
        <v/>
      </c>
    </row>
    <row r="28">
      <c r="A28" s="20" t="inlineStr">
        <is>
          <t>NOPAT</t>
        </is>
      </c>
      <c r="B28" s="21">
        <f>B20+B27</f>
        <v/>
      </c>
      <c r="C28" s="21">
        <f>C20+C27</f>
        <v/>
      </c>
      <c r="D28" s="21">
        <f>D20+D27</f>
        <v/>
      </c>
      <c r="E28" s="21">
        <f>E20+E27</f>
        <v/>
      </c>
      <c r="F28" s="21">
        <f>F20+F27</f>
        <v/>
      </c>
    </row>
    <row r="29"/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>
        <f>SUMIF($B$6:$B$16,"Operating Working Capital Asset",C$6:C$16)</f>
        <v/>
      </c>
      <c r="C31" s="19">
        <f>SUMIF($B$6:$B$16,"Operating Working Capital Asset",D$6:D$16)</f>
        <v/>
      </c>
      <c r="D31" s="19">
        <f>SUMIF($B$6:$B$16,"Operating Working Capital Asset",E$6:E$16)</f>
        <v/>
      </c>
      <c r="E31" s="19">
        <f>SUMIF($B$6:$B$16,"Operating Working Capital Asset",F$6:F$16)</f>
        <v/>
      </c>
      <c r="F31" s="19">
        <f>SUMIF($B$6:$B$16,"Operating Working Capital Asset",G$6:G$16)</f>
        <v/>
      </c>
    </row>
    <row r="32">
      <c r="A32" s="12" t="inlineStr">
        <is>
          <t>Operating Working Capital Liabilities</t>
        </is>
      </c>
      <c r="B32" s="19">
        <f>SUMIF($B$6:$B$16,"Operating Working Capital Liability",C$6:C$16)</f>
        <v/>
      </c>
      <c r="C32" s="19">
        <f>SUMIF($B$6:$B$16,"Operating Working Capital Liability",D$6:D$16)</f>
        <v/>
      </c>
      <c r="D32" s="19">
        <f>SUMIF($B$6:$B$16,"Operating Working Capital Liability",E$6:E$16)</f>
        <v/>
      </c>
      <c r="E32" s="19">
        <f>SUMIF($B$6:$B$16,"Operating Working Capital Liability",F$6:F$16)</f>
        <v/>
      </c>
      <c r="F32" s="19">
        <f>SUMIF($B$6:$B$16,"Operating Working Capital Liability",G$6:G$16)</f>
        <v/>
      </c>
    </row>
    <row r="33">
      <c r="A33" s="20" t="inlineStr">
        <is>
          <t>NOWC</t>
        </is>
      </c>
      <c r="B33" s="21">
        <f>B31-B32</f>
        <v/>
      </c>
      <c r="C33" s="21">
        <f>C31-C32</f>
        <v/>
      </c>
      <c r="D33" s="21">
        <f>D31-D32</f>
        <v/>
      </c>
      <c r="E33" s="21">
        <f>E31-E32</f>
        <v/>
      </c>
      <c r="F33" s="21">
        <f>F31-F32</f>
        <v/>
      </c>
    </row>
    <row r="34">
      <c r="A34" s="12" t="inlineStr">
        <is>
          <t>Operating Long-Term Assets</t>
        </is>
      </c>
      <c r="B34" s="19">
        <f>SUMIF($B$6:$B$16,"Operating Long-Term Asset",C$6:C$16)</f>
        <v/>
      </c>
      <c r="C34" s="19">
        <f>SUMIF($B$6:$B$16,"Operating Long-Term Asset",D$6:D$16)</f>
        <v/>
      </c>
      <c r="D34" s="19">
        <f>SUMIF($B$6:$B$16,"Operating Long-Term Asset",E$6:E$16)</f>
        <v/>
      </c>
      <c r="E34" s="19">
        <f>SUMIF($B$6:$B$16,"Operating Long-Term Asset",F$6:F$16)</f>
        <v/>
      </c>
      <c r="F34" s="19">
        <f>SUMIF($B$6:$B$16,"Operating Long-Term Asset",G$6:G$16)</f>
        <v/>
      </c>
    </row>
    <row r="35">
      <c r="A35" s="12" t="inlineStr">
        <is>
          <t>Operating Long-Term Liabilities</t>
        </is>
      </c>
      <c r="B35" s="19">
        <f>SUMIF($B$6:$B$16,"Operating Long-Term Liability",C$6:C$16)</f>
        <v/>
      </c>
      <c r="C35" s="19">
        <f>SUMIF($B$6:$B$16,"Operating Long-Term Liability",D$6:D$16)</f>
        <v/>
      </c>
      <c r="D35" s="19">
        <f>SUMIF($B$6:$B$16,"Operating Long-Term Liability",E$6:E$16)</f>
        <v/>
      </c>
      <c r="E35" s="19">
        <f>SUMIF($B$6:$B$16,"Operating Long-Term Liability",F$6:F$16)</f>
        <v/>
      </c>
      <c r="F35" s="19">
        <f>SUMIF($B$6:$B$16,"Operating Long-Term Liability",G$6:G$16)</f>
        <v/>
      </c>
    </row>
    <row r="36">
      <c r="A36" s="20" t="inlineStr">
        <is>
          <t>NOLA</t>
        </is>
      </c>
      <c r="B36" s="21">
        <f>B34-B35</f>
        <v/>
      </c>
      <c r="C36" s="21">
        <f>C34-C35</f>
        <v/>
      </c>
      <c r="D36" s="21">
        <f>D34-D35</f>
        <v/>
      </c>
      <c r="E36" s="21">
        <f>E34-E35</f>
        <v/>
      </c>
      <c r="F36" s="21">
        <f>F34-F35</f>
        <v/>
      </c>
    </row>
    <row r="37">
      <c r="A37" s="20" t="inlineStr">
        <is>
          <t>NOA</t>
        </is>
      </c>
      <c r="B37" s="21">
        <f>B33+B36</f>
        <v/>
      </c>
      <c r="C37" s="21">
        <f>C33+C36</f>
        <v/>
      </c>
      <c r="D37" s="21">
        <f>D33+D36</f>
        <v/>
      </c>
      <c r="E37" s="21">
        <f>E33+E36</f>
        <v/>
      </c>
      <c r="F37" s="21">
        <f>F33+F36</f>
        <v/>
      </c>
    </row>
    <row r="38">
      <c r="A38" s="12" t="inlineStr">
        <is>
          <t>Financial Assets</t>
        </is>
      </c>
      <c r="B38" s="19">
        <f>SUMIF($B$6:$B$16,"Financial Asset",C$6:C$16)</f>
        <v/>
      </c>
      <c r="C38" s="19">
        <f>SUMIF($B$6:$B$16,"Financial Asset",D$6:D$16)</f>
        <v/>
      </c>
      <c r="D38" s="19">
        <f>SUMIF($B$6:$B$16,"Financial Asset",E$6:E$16)</f>
        <v/>
      </c>
      <c r="E38" s="19">
        <f>SUMIF($B$6:$B$16,"Financial Asset",F$6:F$16)</f>
        <v/>
      </c>
      <c r="F38" s="19">
        <f>SUMIF($B$6:$B$16,"Financial Asset",G$6:G$16)</f>
        <v/>
      </c>
    </row>
    <row r="39">
      <c r="A39" s="12" t="inlineStr">
        <is>
          <t>Financial Liabilities</t>
        </is>
      </c>
      <c r="B39" s="19">
        <f>SUMIF($B$6:$B$16,"Financial Liability",C$6:C$16)</f>
        <v/>
      </c>
      <c r="C39" s="19">
        <f>SUMIF($B$6:$B$16,"Financial Liability",D$6:D$16)</f>
        <v/>
      </c>
      <c r="D39" s="19">
        <f>SUMIF($B$6:$B$16,"Financial Liability",E$6:E$16)</f>
        <v/>
      </c>
      <c r="E39" s="19">
        <f>SUMIF($B$6:$B$16,"Financial Liability",F$6:F$16)</f>
        <v/>
      </c>
      <c r="F39" s="19">
        <f>SUMIF($B$6:$B$16,"Financial Liability",G$6:G$16)</f>
        <v/>
      </c>
    </row>
    <row r="40">
      <c r="A40" s="10" t="inlineStr">
        <is>
          <t>Net Debt</t>
        </is>
      </c>
      <c r="B40" s="19">
        <f>B39-B38</f>
        <v/>
      </c>
      <c r="C40" s="19">
        <f>C39-C38</f>
        <v/>
      </c>
      <c r="D40" s="19">
        <f>D39-D38</f>
        <v/>
      </c>
      <c r="E40" s="19">
        <f>E39-E38</f>
        <v/>
      </c>
      <c r="F40" s="19">
        <f>F39-F38</f>
        <v/>
      </c>
    </row>
    <row r="41">
      <c r="A41" s="10" t="inlineStr">
        <is>
          <t>Equity (NOA - Net Debt)</t>
        </is>
      </c>
      <c r="B41" s="19">
        <f>B37-B40</f>
        <v/>
      </c>
      <c r="C41" s="19">
        <f>C37-C40</f>
        <v/>
      </c>
      <c r="D41" s="19">
        <f>D37-D40</f>
        <v/>
      </c>
      <c r="E41" s="19">
        <f>E37-E40</f>
        <v/>
      </c>
      <c r="F41" s="19">
        <f>F37-F40</f>
        <v/>
      </c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3"/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>
        <f>IF('Condensed Financials'!B19=0,0,'Condensed Financials'!C19/'Condensed Financials'!B19-1)</f>
        <v/>
      </c>
      <c r="D5" s="18">
        <f>IF('Condensed Financials'!C19=0,0,'Condensed Financials'!D19/'Condensed Financials'!C19-1)</f>
        <v/>
      </c>
      <c r="E5" s="18">
        <f>IF('Condensed Financials'!D19=0,0,'Condensed Financials'!E19/'Condensed Financials'!D19-1)</f>
        <v/>
      </c>
      <c r="F5" s="18">
        <f>IF('Condensed Financials'!E19=0,0,'Condensed Financials'!F19/'Condensed Financials'!E19-1)</f>
        <v/>
      </c>
    </row>
    <row r="6">
      <c r="A6" s="12" t="inlineStr">
        <is>
          <t>NOPAT Margin</t>
        </is>
      </c>
      <c r="B6" s="18">
        <f>IF('Condensed Financials'!B19=0,0,'Condensed Financials'!B28/'Condensed Financials'!B19)</f>
        <v/>
      </c>
      <c r="C6" s="18">
        <f>IF('Condensed Financials'!C19=0,0,'Condensed Financials'!C28/'Condensed Financials'!C19)</f>
        <v/>
      </c>
      <c r="D6" s="18">
        <f>IF('Condensed Financials'!D19=0,0,'Condensed Financials'!D28/'Condensed Financials'!D19)</f>
        <v/>
      </c>
      <c r="E6" s="18">
        <f>IF('Condensed Financials'!E19=0,0,'Condensed Financials'!E28/'Condensed Financials'!E19)</f>
        <v/>
      </c>
      <c r="F6" s="18">
        <f>IF('Condensed Financials'!F19=0,0,'Condensed Financials'!F28/'Condensed Financials'!F19)</f>
        <v/>
      </c>
    </row>
    <row r="7">
      <c r="A7" s="9" t="inlineStr">
        <is>
          <t>RNOA</t>
        </is>
      </c>
      <c r="B7" s="9" t="inlineStr">
        <is>
          <t>N/A</t>
        </is>
      </c>
      <c r="C7" s="22">
        <f>IF((('Condensed Financials'!C37+'Condensed Financials'!B37)/2)=0,0,'Condensed Financials'!C28/(('Condensed Financials'!C37+'Condensed Financials'!B37)/2))</f>
        <v/>
      </c>
      <c r="D7" s="22">
        <f>IF((('Condensed Financials'!D37+'Condensed Financials'!C37)/2)=0,0,'Condensed Financials'!D28/(('Condensed Financials'!D37+'Condensed Financials'!C37)/2))</f>
        <v/>
      </c>
      <c r="E7" s="22">
        <f>IF((('Condensed Financials'!E37+'Condensed Financials'!D37)/2)=0,0,'Condensed Financials'!E28/(('Condensed Financials'!E37+'Condensed Financials'!D37)/2))</f>
        <v/>
      </c>
      <c r="F7" s="22">
        <f>IF((('Condensed Financials'!F37+'Condensed Financials'!E37)/2)=0,0,'Condensed Financials'!F28/(('Condensed Financials'!F37+'Condensed Financials'!E37)/2))</f>
        <v/>
      </c>
    </row>
    <row r="8">
      <c r="A8" s="12" t="inlineStr">
        <is>
          <t>After-tax CoD</t>
        </is>
      </c>
      <c r="B8" s="12" t="inlineStr">
        <is>
          <t>N/A</t>
        </is>
      </c>
      <c r="C8" s="18">
        <f>IF((('Condensed Financials'!C40+'Condensed Financials'!B40)/2)=0,0,'Condensed Financials'!C27/(('Condensed Financials'!C40+'Condensed Financials'!B40)/2))</f>
        <v/>
      </c>
      <c r="D8" s="18">
        <f>IF((('Condensed Financials'!D40+'Condensed Financials'!C40)/2)=0,0,'Condensed Financials'!D27/(('Condensed Financials'!D40+'Condensed Financials'!C40)/2))</f>
        <v/>
      </c>
      <c r="E8" s="18">
        <f>IF((('Condensed Financials'!E40+'Condensed Financials'!D40)/2)=0,0,'Condensed Financials'!E27/(('Condensed Financials'!E40+'Condensed Financials'!D40)/2))</f>
        <v/>
      </c>
      <c r="F8" s="18">
        <f>IF((('Condensed Financials'!F40+'Condensed Financials'!E40)/2)=0,0,'Condensed Financials'!F27/(('Condensed Financials'!F40+'Condensed Financials'!E40)/2))</f>
        <v/>
      </c>
    </row>
    <row r="9">
      <c r="A9" s="9" t="inlineStr">
        <is>
          <t>Spread</t>
        </is>
      </c>
      <c r="B9" s="9" t="inlineStr">
        <is>
          <t>N/A</t>
        </is>
      </c>
      <c r="C9" s="22">
        <f>C7-C8</f>
        <v/>
      </c>
      <c r="D9" s="22">
        <f>D7-D8</f>
        <v/>
      </c>
      <c r="E9" s="22">
        <f>E7-E8</f>
        <v/>
      </c>
      <c r="F9" s="22">
        <f>F7-F8</f>
        <v/>
      </c>
    </row>
    <row r="10">
      <c r="A10" s="9" t="inlineStr">
        <is>
          <t>FLEV</t>
        </is>
      </c>
      <c r="B10" s="9" t="inlineStr">
        <is>
          <t>N/A</t>
        </is>
      </c>
      <c r="C10" s="16">
        <f>IF((('Condensed Financials'!C41+'Condensed Financials'!B41)/2)=0,0,(('Condensed Financials'!C40+'Condensed Financials'!B40)/2)/(('Condensed Financials'!C41+'Condensed Financials'!B41)/2))</f>
        <v/>
      </c>
      <c r="D10" s="16">
        <f>IF((('Condensed Financials'!D41+'Condensed Financials'!C41)/2)=0,0,(('Condensed Financials'!D40+'Condensed Financials'!C40)/2)/(('Condensed Financials'!D41+'Condensed Financials'!C41)/2))</f>
        <v/>
      </c>
      <c r="E10" s="16">
        <f>IF((('Condensed Financials'!E41+'Condensed Financials'!D41)/2)=0,0,(('Condensed Financials'!E40+'Condensed Financials'!D40)/2)/(('Condensed Financials'!E41+'Condensed Financials'!D41)/2))</f>
        <v/>
      </c>
      <c r="F10" s="16">
        <f>IF((('Condensed Financials'!F41+'Condensed Financials'!E41)/2)=0,0,(('Condensed Financials'!F40+'Condensed Financials'!E40)/2)/(('Condensed Financials'!F41+'Condensed Financials'!E41)/2))</f>
        <v/>
      </c>
    </row>
    <row r="11">
      <c r="A11" s="12" t="inlineStr">
        <is>
          <t>ROE (decomposed)</t>
        </is>
      </c>
      <c r="B11" s="12" t="inlineStr">
        <is>
          <t>N/A</t>
        </is>
      </c>
      <c r="C11" s="18">
        <f>C7+C10*(C9)</f>
        <v/>
      </c>
      <c r="D11" s="18">
        <f>D7+D10*(D9)</f>
        <v/>
      </c>
      <c r="E11" s="18">
        <f>E7+E10*(E9)</f>
        <v/>
      </c>
      <c r="F11" s="18">
        <f>F7+F10*(F9)</f>
        <v/>
      </c>
    </row>
    <row r="12">
      <c r="A12" s="12" t="inlineStr">
        <is>
          <t>Actual ROE</t>
        </is>
      </c>
      <c r="B12" s="12" t="inlineStr">
        <is>
          <t>N/A</t>
        </is>
      </c>
      <c r="C12" s="18">
        <f>IF((('Condensed Financials'!C41+'Condensed Financials'!B41)/2)=0,0,'Condensed Financials'!C20/(('Condensed Financials'!C41+'Condensed Financials'!B41)/2))</f>
        <v/>
      </c>
      <c r="D12" s="18">
        <f>IF((('Condensed Financials'!D41+'Condensed Financials'!C41)/2)=0,0,'Condensed Financials'!D20/(('Condensed Financials'!D41+'Condensed Financials'!C41)/2))</f>
        <v/>
      </c>
      <c r="E12" s="18">
        <f>IF((('Condensed Financials'!E41+'Condensed Financials'!D41)/2)=0,0,'Condensed Financials'!E20/(('Condensed Financials'!E41+'Condensed Financials'!D41)/2))</f>
        <v/>
      </c>
      <c r="F12" s="18">
        <f>IF((('Condensed Financials'!F41+'Condensed Financials'!E41)/2)=0,0,'Condensed Financials'!F20/(('Condensed Financials'!F41+'Condensed Financials'!E41)/2))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Choose a treatment in column F. That choice drives the matching Condensed Financials classification and downstream historical schedules; leaving it blank uses the supplied reference treatment. Enter your rationale and economic consequence in G:H. Formula Check grades formula cells against the treatment currently selected here;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inlineStr">
        <is>
          <t>Operating Long-Term Liability</t>
        </is>
      </c>
      <c r="G5" s="23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23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Statement'!B16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Statement'!C16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Statement'!D16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Statement'!E16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Statement'!F16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IF(B21=0,0,-B22/B21)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IF(C21=0,0,-C22/C21)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IF(D21=0,0,-D22/D21)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IF(E21=0,0,-E22/E21)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IF(F21=0,0,-F22/F21)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income.|Missing optional interest lines are treated as zero.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income.|Missing optional interest lines are treated as zero.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income.|Missing optional interest lines are treated as zero.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income.|Missing optional interest lines are treated as zero.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income.|Missing optional interest lines are treated as zero.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B26*(1-B25)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C26*(1-C25)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D26*(1-D25)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E26*(1-E25)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F26*(1-F25)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Financials'!B19=0,0,'Condensed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Financials'!C19=0,0,'Condensed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Financials'!D19=0,0,'Condensed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Financials'!E19=0,0,'Condensed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Financials'!B19=0,0,'Condensed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Financials'!C19=0,0,'Condensed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Financials'!D19=0,0,'Condensed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Financials'!E19=0,0,'Condensed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Financials'!F19=0,0,'Condensed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Financials'!B37)/2)=0,0,'Condensed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Financials'!C37)/2)=0,0,'Condensed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Financials'!D37)/2)=0,0,'Condensed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Financials'!E37)/2)=0,0,'Condensed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Financials'!B40)/2)=0,0,'Condensed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Financials'!C40)/2)=0,0,'Condensed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Financials'!D40)/2)=0,0,'Condensed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Financials'!E40)/2)=0,0,'Condensed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Financials'!B41)/2)=0,0,(('Condensed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Financials'!C41)/2)=0,0,(('Condensed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Financials'!D41)/2)=0,0,(('Condensed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Financials'!E41)/2)=0,0,(('Condensed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Financials'!B41)/2)=0,0,'Condensed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Financials'!C41)/2)=0,0,'Condensed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Financials'!D41)/2)=0,0,'Condensed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Financials'!E41)/2)=0,0,'Condensed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Liability","worksheet_row":5}],"modeled_periods":["2021-12-31","2022-12-31","2023-12-31","2024-12-31","2025-12-31"],"schema_version":1,"source_payload":{"balance_sheet":[{"concept":"","label":"Cash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expenses","values":{"2021-12-31":-1700.0,"2022-12-31":-1840.0,"2023-12-31":-2020.0,"2024-12-31":-2240.0,"2025-12-31":-2500.0}},{"concept":"","label":"Operating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2026-09-12T10:19:44Z</dcterms:created>
  <dcterms:modified xmlns:dcterms="http://purl.org/dc/terms/" xmlns:xsi="http://www.w3.org/2001/XMLSchema-instance" xsi:type="dcterms:W3CDTF">2026-09-12T10:19:44Z</dcterms:modified>
</cp:coreProperties>
</file>