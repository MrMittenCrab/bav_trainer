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lizhiguo/Documents/Developer/bav_trainer/example/"/>
    </mc:Choice>
  </mc:AlternateContent>
  <xr:revisionPtr revIDLastSave="0" documentId="13_ncr:1_{413A0499-2152-2446-A7E1-9A7BD99083CC}" xr6:coauthVersionLast="47" xr6:coauthVersionMax="47" xr10:uidLastSave="{00000000-0000-0000-0000-000000000000}"/>
  <bookViews>
    <workbookView xWindow="0" yWindow="780" windowWidth="32780" windowHeight="21460" firstSheet="1" activeTab="4" xr2:uid="{00000000-000D-0000-FFFF-FFFF00000000}"/>
  </bookViews>
  <sheets>
    <sheet name="Trainer" sheetId="1" r:id="rId1"/>
    <sheet name="Income Statement" sheetId="2" r:id="rId2"/>
    <sheet name="Balance Sheet" sheetId="3" r:id="rId3"/>
    <sheet name="Cash Flow Statement" sheetId="4" r:id="rId4"/>
    <sheet name="Condensed Financials" sheetId="5" r:id="rId5"/>
    <sheet name="ALT DuPont" sheetId="6" r:id="rId6"/>
    <sheet name="Accounting Judgment" sheetId="7" r:id="rId7"/>
    <sheet name="Normalization Judgment" sheetId="8" r:id="rId8"/>
    <sheet name="Earnings Normalization" sheetId="9" r:id="rId9"/>
    <sheet name="Earnings Quality" sheetId="10" r:id="rId10"/>
    <sheet name="Working Capital Analysis" sheetId="11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  <sheet name="_ComponentMap" sheetId="16" state="hidden" r:id="rId16"/>
    <sheet name="_CheckContext" sheetId="17" state="hidden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0" i="16" l="1"/>
  <c r="I279" i="16"/>
  <c r="I278" i="16"/>
  <c r="I277" i="16"/>
  <c r="I276" i="16"/>
  <c r="I275" i="16"/>
  <c r="I274" i="16"/>
  <c r="I273" i="16"/>
  <c r="I272" i="16"/>
  <c r="I271" i="16"/>
  <c r="I270" i="16"/>
  <c r="I269" i="16"/>
  <c r="I268" i="16"/>
  <c r="I267" i="16"/>
  <c r="I266" i="16"/>
  <c r="I265" i="16"/>
  <c r="I264" i="16"/>
  <c r="I263" i="16"/>
  <c r="I262" i="16"/>
  <c r="I261" i="16"/>
  <c r="I260" i="16"/>
  <c r="I259" i="16"/>
  <c r="I258" i="16"/>
  <c r="I257" i="16"/>
  <c r="I256" i="16"/>
  <c r="I255" i="16"/>
  <c r="I254" i="16"/>
  <c r="I253" i="16"/>
  <c r="I252" i="16"/>
  <c r="I251" i="16"/>
  <c r="I250" i="16"/>
  <c r="I249" i="16"/>
  <c r="I248" i="16"/>
  <c r="I247" i="16"/>
  <c r="I246" i="16"/>
  <c r="I245" i="16"/>
  <c r="I244" i="16"/>
  <c r="I243" i="16"/>
  <c r="I242" i="16"/>
  <c r="I241" i="16"/>
  <c r="I240" i="16"/>
  <c r="I239" i="16"/>
  <c r="I238" i="16"/>
  <c r="I237" i="16"/>
  <c r="I236" i="16"/>
  <c r="I235" i="16"/>
  <c r="I234" i="16"/>
  <c r="I233" i="16"/>
  <c r="I232" i="16"/>
  <c r="I231" i="16"/>
  <c r="I230" i="16"/>
  <c r="I229" i="16"/>
  <c r="I228" i="16"/>
  <c r="I227" i="16"/>
  <c r="I226" i="16"/>
  <c r="I225" i="16"/>
  <c r="I224" i="16"/>
  <c r="I223" i="16"/>
  <c r="I222" i="16"/>
  <c r="I209" i="16"/>
  <c r="I208" i="16"/>
  <c r="I207" i="16"/>
  <c r="I206" i="16"/>
  <c r="I205" i="16"/>
  <c r="I204" i="16"/>
  <c r="I203" i="16"/>
  <c r="I202" i="16"/>
  <c r="I201" i="16"/>
  <c r="I200" i="16"/>
  <c r="I199" i="16"/>
  <c r="I198" i="16"/>
  <c r="I197" i="16"/>
  <c r="I196" i="16"/>
  <c r="I195" i="16"/>
  <c r="I194" i="16"/>
  <c r="I193" i="16"/>
  <c r="I192" i="16"/>
  <c r="I191" i="16"/>
  <c r="I190" i="16"/>
  <c r="I189" i="16"/>
  <c r="I188" i="16"/>
  <c r="I187" i="16"/>
  <c r="I186" i="16"/>
  <c r="I185" i="16"/>
  <c r="I184" i="16"/>
  <c r="I183" i="16"/>
  <c r="I182" i="16"/>
  <c r="I181" i="16"/>
  <c r="I180" i="16"/>
  <c r="I179" i="16"/>
  <c r="I178" i="16"/>
  <c r="I177" i="16"/>
  <c r="I176" i="16"/>
  <c r="I175" i="16"/>
  <c r="I174" i="16"/>
  <c r="I173" i="16"/>
  <c r="I172" i="16"/>
  <c r="I171" i="16"/>
  <c r="I170" i="16"/>
  <c r="I169" i="16"/>
  <c r="I168" i="16"/>
  <c r="I167" i="16"/>
  <c r="I166" i="16"/>
  <c r="I165" i="16"/>
  <c r="I164" i="16"/>
  <c r="I163" i="16"/>
  <c r="I162" i="16"/>
  <c r="I161" i="16"/>
  <c r="I160" i="16"/>
  <c r="I159" i="16"/>
  <c r="I158" i="16"/>
  <c r="I157" i="16"/>
  <c r="I156" i="16"/>
  <c r="I155" i="16"/>
  <c r="I154" i="16"/>
  <c r="I153" i="16"/>
  <c r="I152" i="16"/>
  <c r="I151" i="16"/>
  <c r="I150" i="16"/>
  <c r="I149" i="16"/>
  <c r="I148" i="16"/>
  <c r="I147" i="16"/>
  <c r="I146" i="16"/>
  <c r="I145" i="16"/>
  <c r="I144" i="16"/>
  <c r="I143" i="16"/>
  <c r="I142" i="16"/>
  <c r="I141" i="16"/>
  <c r="I140" i="16"/>
  <c r="I139" i="16"/>
  <c r="I138" i="16"/>
  <c r="I137" i="16"/>
  <c r="I136" i="16"/>
  <c r="I135" i="16"/>
  <c r="I134" i="16"/>
  <c r="I133" i="16"/>
  <c r="I132" i="16"/>
  <c r="I131" i="16"/>
  <c r="I130" i="16"/>
  <c r="I129" i="16"/>
  <c r="I128" i="16"/>
  <c r="I127" i="16"/>
  <c r="I126" i="16"/>
  <c r="I125" i="16"/>
  <c r="I124" i="16"/>
  <c r="I123" i="16"/>
  <c r="I122" i="16"/>
  <c r="I121" i="16"/>
  <c r="I120" i="16"/>
  <c r="I115" i="16"/>
  <c r="I114" i="16"/>
  <c r="I113" i="16"/>
  <c r="I112" i="16"/>
  <c r="I107" i="16"/>
  <c r="I106" i="16"/>
  <c r="I105" i="16"/>
  <c r="I104" i="16"/>
  <c r="I86" i="16"/>
  <c r="I85" i="16"/>
  <c r="I84" i="16"/>
  <c r="I83" i="16"/>
  <c r="I82" i="16"/>
  <c r="I81" i="16"/>
  <c r="I80" i="16"/>
  <c r="I79" i="16"/>
  <c r="I78" i="16"/>
  <c r="I77" i="16"/>
  <c r="I76" i="16"/>
  <c r="I75" i="16"/>
  <c r="I74" i="16"/>
  <c r="I73" i="16"/>
  <c r="I72" i="16"/>
  <c r="I71" i="16"/>
  <c r="I70" i="16"/>
  <c r="I69" i="16"/>
  <c r="I68" i="16"/>
  <c r="I67" i="16"/>
  <c r="I66" i="16"/>
  <c r="I65" i="16"/>
  <c r="I64" i="16"/>
  <c r="I63" i="16"/>
  <c r="I62" i="16"/>
  <c r="I61" i="16"/>
  <c r="I60" i="16"/>
  <c r="I59" i="16"/>
  <c r="I58" i="16"/>
  <c r="I57" i="16"/>
  <c r="I56" i="16"/>
  <c r="I55" i="16"/>
  <c r="I54" i="16"/>
  <c r="I53" i="16"/>
  <c r="I52" i="16"/>
  <c r="I51" i="16"/>
  <c r="I50" i="16"/>
  <c r="I49" i="16"/>
  <c r="I48" i="16"/>
  <c r="I47" i="16"/>
  <c r="I46" i="16"/>
  <c r="I45" i="16"/>
  <c r="I44" i="16"/>
  <c r="I43" i="16"/>
  <c r="I42" i="16"/>
  <c r="I41" i="16"/>
  <c r="I40" i="16"/>
  <c r="I39" i="16"/>
  <c r="I38" i="16"/>
  <c r="I37" i="16"/>
  <c r="I36" i="16"/>
  <c r="I35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I4" i="16"/>
  <c r="I3" i="16"/>
  <c r="I2" i="16"/>
  <c r="E15" i="10"/>
  <c r="F11" i="10"/>
  <c r="C11" i="10"/>
  <c r="F10" i="10"/>
  <c r="E10" i="10"/>
  <c r="E11" i="10" s="1"/>
  <c r="D10" i="10"/>
  <c r="C10" i="10"/>
  <c r="D11" i="10" s="1"/>
  <c r="B10" i="10"/>
  <c r="F5" i="10"/>
  <c r="F15" i="10" s="1"/>
  <c r="E5" i="10"/>
  <c r="D5" i="10"/>
  <c r="C5" i="10"/>
  <c r="D15" i="10" s="1"/>
  <c r="B5" i="10"/>
  <c r="D9" i="9"/>
  <c r="D11" i="9" s="1"/>
  <c r="G5" i="9"/>
  <c r="F5" i="9"/>
  <c r="E5" i="9"/>
  <c r="D5" i="9"/>
  <c r="C5" i="9"/>
  <c r="B5" i="9"/>
  <c r="C9" i="9" s="1"/>
  <c r="C11" i="9" s="1"/>
  <c r="F42" i="5"/>
  <c r="E42" i="5"/>
  <c r="D42" i="5"/>
  <c r="C42" i="5"/>
  <c r="B42" i="5"/>
  <c r="E38" i="5"/>
  <c r="E34" i="5"/>
  <c r="B34" i="5"/>
  <c r="E32" i="5"/>
  <c r="E8" i="11" s="1"/>
  <c r="B32" i="5"/>
  <c r="B8" i="11" s="1"/>
  <c r="F24" i="5"/>
  <c r="F26" i="5" s="1"/>
  <c r="E24" i="5"/>
  <c r="E26" i="5" s="1"/>
  <c r="D24" i="5"/>
  <c r="C24" i="5"/>
  <c r="C26" i="5" s="1"/>
  <c r="C27" i="5" s="1"/>
  <c r="B24" i="5"/>
  <c r="B26" i="5" s="1"/>
  <c r="B27" i="5" s="1"/>
  <c r="F23" i="5"/>
  <c r="E23" i="5"/>
  <c r="D23" i="5"/>
  <c r="D26" i="5" s="1"/>
  <c r="C23" i="5"/>
  <c r="B23" i="5"/>
  <c r="F22" i="5"/>
  <c r="E22" i="5"/>
  <c r="D22" i="5"/>
  <c r="C22" i="5"/>
  <c r="B22" i="5"/>
  <c r="F21" i="5"/>
  <c r="F25" i="5" s="1"/>
  <c r="G10" i="9" s="1"/>
  <c r="E21" i="5"/>
  <c r="E25" i="5" s="1"/>
  <c r="F10" i="9" s="1"/>
  <c r="D21" i="5"/>
  <c r="D25" i="5" s="1"/>
  <c r="E10" i="9" s="1"/>
  <c r="C21" i="5"/>
  <c r="C25" i="5" s="1"/>
  <c r="D10" i="9" s="1"/>
  <c r="B21" i="5"/>
  <c r="B25" i="5" s="1"/>
  <c r="C10" i="9" s="1"/>
  <c r="F20" i="5"/>
  <c r="E20" i="5"/>
  <c r="E6" i="10" s="1"/>
  <c r="D20" i="5"/>
  <c r="C20" i="5"/>
  <c r="B20" i="5"/>
  <c r="B6" i="10" s="1"/>
  <c r="F19" i="5"/>
  <c r="E19" i="5"/>
  <c r="I220" i="16" s="1"/>
  <c r="D19" i="5"/>
  <c r="I219" i="16" s="1"/>
  <c r="C19" i="5"/>
  <c r="I218" i="16" s="1"/>
  <c r="B19" i="5"/>
  <c r="C5" i="6" s="1"/>
  <c r="B14" i="5"/>
  <c r="B39" i="5" s="1"/>
  <c r="B7" i="10" l="1"/>
  <c r="B8" i="10"/>
  <c r="D27" i="5"/>
  <c r="C28" i="5"/>
  <c r="D7" i="9" s="1"/>
  <c r="D12" i="9" s="1"/>
  <c r="E27" i="5"/>
  <c r="F27" i="5"/>
  <c r="F6" i="6"/>
  <c r="D28" i="5"/>
  <c r="E7" i="9" s="1"/>
  <c r="E8" i="10"/>
  <c r="E7" i="10"/>
  <c r="F28" i="5"/>
  <c r="G7" i="9" s="1"/>
  <c r="E20" i="11"/>
  <c r="C31" i="5"/>
  <c r="C35" i="5"/>
  <c r="C39" i="5"/>
  <c r="D5" i="6"/>
  <c r="E9" i="9"/>
  <c r="E11" i="9" s="1"/>
  <c r="B6" i="11"/>
  <c r="I221" i="16"/>
  <c r="D31" i="5"/>
  <c r="D35" i="5"/>
  <c r="D39" i="5"/>
  <c r="E5" i="6"/>
  <c r="F9" i="9"/>
  <c r="F11" i="9" s="1"/>
  <c r="C15" i="10"/>
  <c r="C6" i="11"/>
  <c r="I92" i="16"/>
  <c r="E28" i="5"/>
  <c r="F7" i="9" s="1"/>
  <c r="F12" i="9" s="1"/>
  <c r="E31" i="5"/>
  <c r="E35" i="5"/>
  <c r="E36" i="5" s="1"/>
  <c r="E39" i="5"/>
  <c r="E40" i="5" s="1"/>
  <c r="F5" i="6"/>
  <c r="G9" i="9"/>
  <c r="G11" i="9" s="1"/>
  <c r="D6" i="11"/>
  <c r="I93" i="16"/>
  <c r="B28" i="5"/>
  <c r="C7" i="9" s="1"/>
  <c r="C12" i="9" s="1"/>
  <c r="C14" i="9" s="1"/>
  <c r="F31" i="5"/>
  <c r="F35" i="5"/>
  <c r="F39" i="5"/>
  <c r="F40" i="5" s="1"/>
  <c r="C8" i="9"/>
  <c r="C13" i="9" s="1"/>
  <c r="E6" i="11"/>
  <c r="I214" i="16"/>
  <c r="B38" i="5"/>
  <c r="B40" i="5" s="1"/>
  <c r="C6" i="6"/>
  <c r="D8" i="9"/>
  <c r="D13" i="9" s="1"/>
  <c r="C6" i="10"/>
  <c r="F6" i="11"/>
  <c r="I215" i="16"/>
  <c r="C32" i="5"/>
  <c r="C8" i="11" s="1"/>
  <c r="C20" i="11" s="1"/>
  <c r="C34" i="5"/>
  <c r="C36" i="5" s="1"/>
  <c r="C38" i="5"/>
  <c r="D6" i="6"/>
  <c r="E8" i="9"/>
  <c r="E13" i="9" s="1"/>
  <c r="D6" i="10"/>
  <c r="I216" i="16"/>
  <c r="D32" i="5"/>
  <c r="D8" i="11" s="1"/>
  <c r="D34" i="5"/>
  <c r="D36" i="5" s="1"/>
  <c r="D38" i="5"/>
  <c r="F8" i="9"/>
  <c r="I87" i="16"/>
  <c r="I217" i="16"/>
  <c r="G8" i="9"/>
  <c r="F6" i="10"/>
  <c r="I88" i="16"/>
  <c r="F32" i="5"/>
  <c r="F8" i="11" s="1"/>
  <c r="F20" i="11" s="1"/>
  <c r="F34" i="5"/>
  <c r="F38" i="5"/>
  <c r="I89" i="16"/>
  <c r="B31" i="5"/>
  <c r="B35" i="5"/>
  <c r="B36" i="5" s="1"/>
  <c r="I90" i="16"/>
  <c r="E12" i="11" l="1"/>
  <c r="E14" i="11"/>
  <c r="C7" i="10"/>
  <c r="C16" i="10" s="1"/>
  <c r="C8" i="10"/>
  <c r="F8" i="6"/>
  <c r="I103" i="16"/>
  <c r="C7" i="11"/>
  <c r="C33" i="5"/>
  <c r="G13" i="9"/>
  <c r="F7" i="11"/>
  <c r="F33" i="5"/>
  <c r="D22" i="6"/>
  <c r="I94" i="16"/>
  <c r="E6" i="6"/>
  <c r="F8" i="10"/>
  <c r="F7" i="10"/>
  <c r="F16" i="10" s="1"/>
  <c r="D8" i="10"/>
  <c r="D7" i="10"/>
  <c r="E7" i="11"/>
  <c r="E11" i="11" s="1"/>
  <c r="E33" i="5"/>
  <c r="D7" i="11"/>
  <c r="D19" i="11" s="1"/>
  <c r="D21" i="11" s="1"/>
  <c r="D33" i="5"/>
  <c r="F14" i="9"/>
  <c r="G12" i="9"/>
  <c r="G14" i="9" s="1"/>
  <c r="I91" i="16"/>
  <c r="C12" i="11"/>
  <c r="C14" i="11"/>
  <c r="C11" i="11"/>
  <c r="B12" i="11"/>
  <c r="E17" i="10"/>
  <c r="E19" i="10" s="1"/>
  <c r="D14" i="9"/>
  <c r="D12" i="11"/>
  <c r="D14" i="11"/>
  <c r="E12" i="9"/>
  <c r="E14" i="9" s="1"/>
  <c r="B33" i="5"/>
  <c r="B7" i="11"/>
  <c r="B11" i="11" s="1"/>
  <c r="F22" i="6"/>
  <c r="F13" i="9"/>
  <c r="I95" i="16"/>
  <c r="C40" i="5"/>
  <c r="E12" i="10"/>
  <c r="F36" i="5"/>
  <c r="D20" i="11"/>
  <c r="F12" i="11"/>
  <c r="F14" i="11"/>
  <c r="F11" i="11"/>
  <c r="B6" i="6"/>
  <c r="E8" i="6"/>
  <c r="D40" i="5"/>
  <c r="E22" i="6" l="1"/>
  <c r="D8" i="6"/>
  <c r="I101" i="16"/>
  <c r="D11" i="11"/>
  <c r="F19" i="11"/>
  <c r="F21" i="11" s="1"/>
  <c r="D9" i="11"/>
  <c r="D37" i="5"/>
  <c r="B37" i="5"/>
  <c r="B9" i="11"/>
  <c r="B13" i="11" s="1"/>
  <c r="C17" i="10"/>
  <c r="C19" i="10" s="1"/>
  <c r="C12" i="10"/>
  <c r="I102" i="16"/>
  <c r="D16" i="10"/>
  <c r="F9" i="11"/>
  <c r="F37" i="5"/>
  <c r="C23" i="11"/>
  <c r="I100" i="16"/>
  <c r="C8" i="6"/>
  <c r="D23" i="11"/>
  <c r="D22" i="11"/>
  <c r="D17" i="10"/>
  <c r="D19" i="10" s="1"/>
  <c r="D12" i="10"/>
  <c r="E23" i="11"/>
  <c r="E22" i="11"/>
  <c r="E16" i="10"/>
  <c r="C9" i="11"/>
  <c r="C37" i="5"/>
  <c r="F23" i="11"/>
  <c r="E9" i="11"/>
  <c r="E37" i="5"/>
  <c r="E19" i="11"/>
  <c r="E21" i="11" s="1"/>
  <c r="F17" i="10"/>
  <c r="F19" i="10" s="1"/>
  <c r="F12" i="10"/>
  <c r="F18" i="10" s="1"/>
  <c r="C19" i="11"/>
  <c r="C21" i="11" s="1"/>
  <c r="F15" i="11" l="1"/>
  <c r="F16" i="11" s="1"/>
  <c r="F13" i="11"/>
  <c r="C15" i="11"/>
  <c r="C16" i="11" s="1"/>
  <c r="C13" i="11"/>
  <c r="I210" i="16"/>
  <c r="B41" i="5"/>
  <c r="C15" i="6"/>
  <c r="I98" i="16"/>
  <c r="F15" i="6"/>
  <c r="I213" i="16"/>
  <c r="E41" i="5"/>
  <c r="E7" i="6"/>
  <c r="E15" i="11"/>
  <c r="E16" i="11" s="1"/>
  <c r="E13" i="11"/>
  <c r="D18" i="10"/>
  <c r="C22" i="11"/>
  <c r="D7" i="6"/>
  <c r="I97" i="16"/>
  <c r="E15" i="6"/>
  <c r="I212" i="16"/>
  <c r="D41" i="5"/>
  <c r="I99" i="16"/>
  <c r="F41" i="5"/>
  <c r="F7" i="6"/>
  <c r="C7" i="6"/>
  <c r="I96" i="16"/>
  <c r="D15" i="6"/>
  <c r="I211" i="16"/>
  <c r="C41" i="5"/>
  <c r="F22" i="11"/>
  <c r="E18" i="10"/>
  <c r="D15" i="11"/>
  <c r="D13" i="11"/>
  <c r="C16" i="6" l="1"/>
  <c r="C18" i="6" s="1"/>
  <c r="C19" i="6" s="1"/>
  <c r="C17" i="6"/>
  <c r="I119" i="16"/>
  <c r="F44" i="5"/>
  <c r="F10" i="6"/>
  <c r="F12" i="6"/>
  <c r="I111" i="16"/>
  <c r="F43" i="5"/>
  <c r="E16" i="6"/>
  <c r="E17" i="6"/>
  <c r="C12" i="6"/>
  <c r="I108" i="16"/>
  <c r="I116" i="16"/>
  <c r="C44" i="5"/>
  <c r="C10" i="6"/>
  <c r="C43" i="5"/>
  <c r="C9" i="6"/>
  <c r="C11" i="6" s="1"/>
  <c r="F9" i="6"/>
  <c r="F24" i="6"/>
  <c r="F36" i="6" s="1"/>
  <c r="B44" i="5"/>
  <c r="B43" i="5"/>
  <c r="D24" i="11"/>
  <c r="D16" i="11"/>
  <c r="E24" i="6"/>
  <c r="E36" i="6" s="1"/>
  <c r="E9" i="6"/>
  <c r="E38" i="6" s="1"/>
  <c r="D12" i="6"/>
  <c r="I109" i="16"/>
  <c r="I117" i="16"/>
  <c r="D44" i="5"/>
  <c r="D10" i="6"/>
  <c r="D43" i="5"/>
  <c r="I110" i="16"/>
  <c r="I118" i="16"/>
  <c r="E44" i="5"/>
  <c r="E10" i="6"/>
  <c r="E12" i="6"/>
  <c r="E43" i="5"/>
  <c r="C24" i="11"/>
  <c r="F16" i="6"/>
  <c r="F17" i="6"/>
  <c r="D16" i="6"/>
  <c r="D17" i="6"/>
  <c r="D24" i="6"/>
  <c r="D36" i="6" s="1"/>
  <c r="D9" i="6"/>
  <c r="E24" i="11"/>
  <c r="F24" i="11"/>
  <c r="F38" i="6" l="1"/>
  <c r="D37" i="6"/>
  <c r="D31" i="6"/>
  <c r="F37" i="6"/>
  <c r="F39" i="6" s="1"/>
  <c r="F31" i="6"/>
  <c r="F32" i="6" s="1"/>
  <c r="F40" i="6"/>
  <c r="F41" i="6" s="1"/>
  <c r="E40" i="6"/>
  <c r="E23" i="6"/>
  <c r="E26" i="6" s="1"/>
  <c r="E18" i="6"/>
  <c r="E19" i="6" s="1"/>
  <c r="E25" i="6"/>
  <c r="D23" i="6"/>
  <c r="D26" i="6" s="1"/>
  <c r="D18" i="6"/>
  <c r="D19" i="6" s="1"/>
  <c r="D25" i="6"/>
  <c r="D27" i="6" s="1"/>
  <c r="D28" i="6" s="1"/>
  <c r="F23" i="6"/>
  <c r="F26" i="6" s="1"/>
  <c r="F18" i="6"/>
  <c r="F19" i="6" s="1"/>
  <c r="F25" i="6"/>
  <c r="F27" i="6" s="1"/>
  <c r="F28" i="6" s="1"/>
  <c r="C31" i="6"/>
  <c r="C32" i="6" s="1"/>
  <c r="D11" i="6"/>
  <c r="D35" i="6" s="1"/>
  <c r="D38" i="6"/>
  <c r="E37" i="6"/>
  <c r="E39" i="6" s="1"/>
  <c r="E31" i="6"/>
  <c r="E11" i="6"/>
  <c r="F11" i="6"/>
  <c r="F35" i="6" s="1"/>
  <c r="E35" i="6" l="1"/>
  <c r="E41" i="6"/>
  <c r="D32" i="6"/>
  <c r="E32" i="6"/>
  <c r="D39" i="6"/>
  <c r="D40" i="6" s="1"/>
  <c r="D41" i="6" s="1"/>
  <c r="E27" i="6"/>
  <c r="E2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BAV Trainer</author>
  </authors>
  <commentList>
    <comment ref="B19" authorId="0" shapeId="0" xr:uid="{00000000-0006-0000-0400-000001000000}">
      <text>
        <r>
          <rPr>
            <sz val="11"/>
            <color rgb="FF000000"/>
            <rFont val="Calibri"/>
            <family val="2"/>
          </rPr>
          <t>Link Revenue from the Income Statement into Condensed Financials.</t>
        </r>
      </text>
    </comment>
    <comment ref="C19" authorId="0" shapeId="0" xr:uid="{00000000-0006-0000-0400-000002000000}">
      <text>
        <r>
          <rPr>
            <sz val="11"/>
            <color rgb="FF000000"/>
            <rFont val="Calibri"/>
            <family val="2"/>
          </rPr>
          <t>Link Revenue from the Income Statement into Condensed Financials.</t>
        </r>
      </text>
    </comment>
    <comment ref="D19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Link Revenue from the Income Statement into Condensed Financials.</t>
        </r>
      </text>
    </comment>
    <comment ref="E19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Link Revenue from the Income Statement into Condensed Financials.</t>
        </r>
      </text>
    </comment>
    <comment ref="F19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Link Revenue from the Income Statement into Condensed Financials.</t>
        </r>
      </text>
    </comment>
    <comment ref="B20" authorId="0" shapeId="0" xr:uid="{00000000-0006-0000-0400-000006000000}">
      <text>
        <r>
          <rPr>
            <sz val="11"/>
            <color rgb="FF000000"/>
            <rFont val="Calibri"/>
            <family val="2"/>
          </rPr>
          <t>Link Net Income from the Income Statement into Condensed Financials.</t>
        </r>
      </text>
    </comment>
    <comment ref="C20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Link Net Income from the Income Statement into Condensed Financials.</t>
        </r>
      </text>
    </comment>
    <comment ref="D20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Link Net Income from the Income Statement into Condensed Financials.</t>
        </r>
      </text>
    </comment>
    <comment ref="E20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Link Net Income from the Income Statement into Condensed Financials.</t>
        </r>
      </text>
    </comment>
    <comment ref="F20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Link Net Income from the Income Statement into Condensed Financials.</t>
        </r>
      </text>
    </comment>
    <comment ref="B25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Relate tax expense to pretax income using the model's sign convention.</t>
        </r>
      </text>
    </comment>
    <comment ref="C25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Relate tax expense to pretax income using the model's sign convention.</t>
        </r>
      </text>
    </comment>
    <comment ref="D25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Relate tax expense to pretax income using the model's sign convention.</t>
        </r>
      </text>
    </comment>
    <comment ref="E25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Relate tax expense to pretax income using the model's sign convention.</t>
        </r>
      </text>
    </comment>
    <comment ref="F25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Relate tax expense to pretax income using the model's sign convention.</t>
        </r>
      </text>
    </comment>
    <comment ref="B26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Combine interest expense and interest income into the financing result.</t>
        </r>
      </text>
    </comment>
    <comment ref="C26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Combine interest expense and interest income into the financing result.</t>
        </r>
      </text>
    </comment>
    <comment ref="D26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Combine interest expense and interest income into the financing result.</t>
        </r>
      </text>
    </comment>
    <comment ref="E26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Combine interest expense and interest income into the financing result.</t>
        </r>
      </text>
    </comment>
    <comment ref="F26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Combine interest expense and interest income into the financing result.</t>
        </r>
      </text>
    </comment>
    <comment ref="B2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Apply the effective tax rate once to net interest.</t>
        </r>
      </text>
    </comment>
    <comment ref="C2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Apply the effective tax rate once to net interest.</t>
        </r>
      </text>
    </comment>
    <comment ref="D2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Apply the effective tax rate once to net interest.</t>
        </r>
      </text>
    </comment>
    <comment ref="E2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Apply the effective tax rate once to net interest.</t>
        </r>
      </text>
    </comment>
    <comment ref="F27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Apply the effective tax rate once to net interest.</t>
        </r>
      </text>
    </comment>
    <comment ref="B28" authorId="0" shapeId="0" xr:uid="{00000000-0006-0000-0400-00001A000000}">
      <text>
        <r>
          <rPr>
            <sz val="11"/>
            <color rgb="FF000000"/>
            <rFont val="Calibri"/>
            <family val="2"/>
          </rPr>
          <t>Reformulate net income to operating profit after tax.</t>
        </r>
      </text>
    </comment>
    <comment ref="C28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Reformulate net income to operating profit after tax.</t>
        </r>
      </text>
    </comment>
    <comment ref="D28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Reformulate net income to operating profit after tax.</t>
        </r>
      </text>
    </comment>
    <comment ref="E28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Reformulate net income to operating profit after tax.</t>
        </r>
      </text>
    </comment>
    <comment ref="F28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Reformulate net income to operating profit after tax.</t>
        </r>
      </text>
    </comment>
    <comment ref="B31" authorId="0" shapeId="0" xr:uid="{00000000-0006-0000-0400-00001F000000}">
      <text>
        <r>
          <rPr>
            <sz val="11"/>
            <color rgb="FF000000"/>
            <rFont val="Calibri"/>
            <family val="2"/>
          </rPr>
          <t>Aggregate the classified balance-sheet detail with the classification column.</t>
        </r>
      </text>
    </comment>
    <comment ref="C31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D31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E31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F31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B32" authorId="0" shapeId="0" xr:uid="{00000000-0006-0000-0400-000024000000}">
      <text>
        <r>
          <rPr>
            <sz val="11"/>
            <color rgb="FF000000"/>
            <rFont val="Calibri"/>
            <family val="2"/>
          </rPr>
          <t>Aggregate the classified balance-sheet detail with the classification column.</t>
        </r>
      </text>
    </comment>
    <comment ref="C32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D32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E32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F32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B33" authorId="0" shapeId="0" xr:uid="{00000000-0006-0000-0400-000029000000}">
      <text>
        <r>
          <rPr>
            <sz val="11"/>
            <color rgb="FF000000"/>
            <rFont val="Calibri"/>
            <family val="2"/>
          </rPr>
          <t>Sum operating WC assets minus operating WC liabilities.</t>
        </r>
      </text>
    </comment>
    <comment ref="C33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Sum operating WC assets minus operating WC liabilities.</t>
        </r>
      </text>
    </comment>
    <comment ref="D33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Sum operating WC assets minus operating WC liabilities.</t>
        </r>
      </text>
    </comment>
    <comment ref="E33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Sum operating WC assets minus operating WC liabilities.</t>
        </r>
      </text>
    </comment>
    <comment ref="F33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Sum operating WC assets minus operating WC liabilities.</t>
        </r>
      </text>
    </comment>
    <comment ref="B34" authorId="0" shapeId="0" xr:uid="{00000000-0006-0000-0400-00002E000000}">
      <text>
        <r>
          <rPr>
            <sz val="11"/>
            <color rgb="FF000000"/>
            <rFont val="Calibri"/>
            <family val="2"/>
          </rPr>
          <t>Aggregate the classified balance-sheet detail with the classification column.</t>
        </r>
      </text>
    </comment>
    <comment ref="C34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D34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E34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F34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B35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C35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D35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E35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F35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B36" authorId="0" shapeId="0" xr:uid="{00000000-0006-0000-0400-000038000000}">
      <text>
        <r>
          <rPr>
            <sz val="11"/>
            <color rgb="FF000000"/>
            <rFont val="Calibri"/>
            <family val="2"/>
          </rPr>
          <t>Operating long-term assets less operating long-term liabilities.</t>
        </r>
      </text>
    </comment>
    <comment ref="C36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Operating long-term assets less operating long-term liabilities.</t>
        </r>
      </text>
    </comment>
    <comment ref="D36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Operating long-term assets less operating long-term liabilities.</t>
        </r>
      </text>
    </comment>
    <comment ref="E36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Operating long-term assets less operating long-term liabilities.</t>
        </r>
      </text>
    </comment>
    <comment ref="F36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Operating long-term assets less operating long-term liabilities.</t>
        </r>
      </text>
    </comment>
    <comment ref="B37" authorId="0" shapeId="0" xr:uid="{00000000-0006-0000-0400-00003D000000}">
      <text>
        <r>
          <rPr>
            <sz val="11"/>
            <color rgb="FF000000"/>
            <rFont val="Calibri"/>
            <family val="2"/>
          </rPr>
          <t>NOWC plus net operating long-term assets.</t>
        </r>
      </text>
    </comment>
    <comment ref="C37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NOWC plus net operating long-term assets.</t>
        </r>
      </text>
    </comment>
    <comment ref="D37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NOWC plus net operating long-term assets.</t>
        </r>
      </text>
    </comment>
    <comment ref="E37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NOWC plus net operating long-term assets.</t>
        </r>
      </text>
    </comment>
    <comment ref="F37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NOWC plus net operating long-term assets.</t>
        </r>
      </text>
    </comment>
    <comment ref="B38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C38" authorId="0" shapeId="0" xr:uid="{00000000-0006-0000-0400-000043000000}">
      <text>
        <r>
          <rPr>
            <sz val="11"/>
            <color rgb="FF000000"/>
            <rFont val="Calibri"/>
            <family val="2"/>
          </rPr>
          <t>Aggregate the classified balance-sheet detail with the classification column.</t>
        </r>
      </text>
    </comment>
    <comment ref="D38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E38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F38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B39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C39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D39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E39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F39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Aggregate the classified balance-sheet detail with the classification column.</t>
        </r>
      </text>
    </comment>
    <comment ref="B40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Financial liabilities minus financial assets.</t>
        </r>
      </text>
    </comment>
    <comment ref="C40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Financial liabilities minus financial assets.</t>
        </r>
      </text>
    </comment>
    <comment ref="D40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Financial liabilities minus financial assets.</t>
        </r>
      </text>
    </comment>
    <comment ref="E40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Financial liabilities minus financial assets.</t>
        </r>
      </text>
    </comment>
    <comment ref="F40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Financial liabilities minus financial assets.</t>
        </r>
      </text>
    </comment>
    <comment ref="B41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Use the operating/financing identity linking NOA, Net Debt, and Equity.</t>
        </r>
      </text>
    </comment>
    <comment ref="C41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Use the operating/financing identity linking NOA, Net Debt, and Equity.</t>
        </r>
      </text>
    </comment>
    <comment ref="D41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Use the operating/financing identity linking NOA, Net Debt, and Equity.</t>
        </r>
      </text>
    </comment>
    <comment ref="E41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Use the operating/financing identity linking NOA, Net Debt, and Equity.</t>
        </r>
      </text>
    </comment>
    <comment ref="F41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Use the operating/financing identity linking NOA, Net Debt, and Equity.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BAV Trainer</author>
  </authors>
  <commentList>
    <comment ref="C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Current Revenue relative to the immediately preceding fiscal year.</t>
        </r>
      </text>
    </comment>
    <comment ref="D5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Current Revenue relative to the immediately preceding fiscal year.</t>
        </r>
      </text>
    </comment>
    <comment ref="E5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Current Revenue relative to the immediately preceding fiscal year.</t>
        </r>
      </text>
    </comment>
    <comment ref="F5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Current Revenue relative to the immediately preceding fiscal year.</t>
        </r>
      </text>
    </comment>
    <comment ref="B6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NOPAT divided by Revenue for the same fiscal period.</t>
        </r>
      </text>
    </comment>
    <comment ref="C6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NOPAT divided by Revenue for the same fiscal period.</t>
        </r>
      </text>
    </comment>
    <comment ref="D6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NOPAT divided by Revenue for the same fiscal period.</t>
        </r>
      </text>
    </comment>
    <comment ref="E6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NOPAT divided by Revenue for the same fiscal period.</t>
        </r>
      </text>
    </comment>
    <comment ref="F6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NOPAT divided by Revenue for the same fiscal period.</t>
        </r>
      </text>
    </comment>
    <comment ref="C7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NOPAT divided by average NOA.</t>
        </r>
      </text>
    </comment>
    <comment ref="D7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NOPAT divided by average NOA.</t>
        </r>
      </text>
    </comment>
    <comment ref="E7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NOPAT divided by average NOA.</t>
        </r>
      </text>
    </comment>
    <comment ref="F7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NOPAT divided by average NOA.</t>
        </r>
      </text>
    </comment>
    <comment ref="C8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Relate net interest after tax to average net debt.</t>
        </r>
      </text>
    </comment>
    <comment ref="D8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Relate net interest after tax to average net debt.</t>
        </r>
      </text>
    </comment>
    <comment ref="E8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Relate net interest after tax to average net debt.</t>
        </r>
      </text>
    </comment>
    <comment ref="F8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Relate net interest after tax to average net debt.</t>
        </r>
      </text>
    </comment>
    <comment ref="C9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Operating return minus after-tax cost of debt.</t>
        </r>
      </text>
    </comment>
    <comment ref="D9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Operating return minus after-tax cost of debt.</t>
        </r>
      </text>
    </comment>
    <comment ref="E9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Operating return minus after-tax cost of debt.</t>
        </r>
      </text>
    </comment>
    <comment ref="F9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Operating return minus after-tax cost of debt.</t>
        </r>
      </text>
    </comment>
    <comment ref="C10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Relate average net debt to average reformulated equity.</t>
        </r>
      </text>
    </comment>
    <comment ref="D10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Relate average net debt to average reformulated equity.</t>
        </r>
      </text>
    </comment>
    <comment ref="E10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Relate average net debt to average reformulated equity.</t>
        </r>
      </text>
    </comment>
    <comment ref="F10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Relate average net debt to average reformulated equity.</t>
        </r>
      </text>
    </comment>
    <comment ref="C11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ROE = RNOA + FLEV × Spread.</t>
        </r>
      </text>
    </comment>
    <comment ref="D11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ROE = RNOA + FLEV × Spread.</t>
        </r>
      </text>
    </comment>
    <comment ref="E11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ROE = RNOA + FLEV × Spread.</t>
        </r>
      </text>
    </comment>
    <comment ref="F11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ROE = RNOA + FLEV × Spread.</t>
        </r>
      </text>
    </comment>
    <comment ref="C12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Relate net income to average reformulated equity.</t>
        </r>
      </text>
    </comment>
    <comment ref="D12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Relate net income to average reformulated equity.</t>
        </r>
      </text>
    </comment>
    <comment ref="E12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Relate net income to average reformulated equity.</t>
        </r>
      </text>
    </comment>
    <comment ref="F12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Relate net income to average reformulated equity.</t>
        </r>
      </text>
    </comment>
    <comment ref="C15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Average beginning and ending NOA for the comparable period.</t>
        </r>
      </text>
    </comment>
    <comment ref="D15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Average beginning and ending NOA for the comparable period.</t>
        </r>
      </text>
    </comment>
    <comment ref="E15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Average beginning and ending NOA for the comparable period.</t>
        </r>
      </text>
    </comment>
    <comment ref="F15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Average beginning and ending NOA for the comparable period.</t>
        </r>
      </text>
    </comment>
    <comment ref="C16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Revenue divided by Average NOA.</t>
        </r>
      </text>
    </comment>
    <comment ref="D16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Revenue divided by Average NOA.</t>
        </r>
      </text>
    </comment>
    <comment ref="E16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Revenue divided by Average NOA.</t>
        </r>
      </text>
    </comment>
    <comment ref="F16" authorId="0" shapeId="0" xr:uid="{00000000-0006-0000-0500-000029000000}">
      <text>
        <r>
          <rPr>
            <sz val="11"/>
            <color theme="1"/>
            <rFont val="Calibri"/>
            <family val="2"/>
            <scheme val="minor"/>
          </rPr>
          <t>Revenue divided by Average NOA.</t>
        </r>
      </text>
    </comment>
    <comment ref="C17" authorId="0" shapeId="0" xr:uid="{00000000-0006-0000-0500-00002A000000}">
      <text>
        <r>
          <rPr>
            <sz val="11"/>
            <color theme="1"/>
            <rFont val="Calibri"/>
            <family val="2"/>
            <scheme val="minor"/>
          </rPr>
          <t>Average NOA divided by Revenue.</t>
        </r>
      </text>
    </comment>
    <comment ref="D17" authorId="0" shapeId="0" xr:uid="{00000000-0006-0000-0500-00002B000000}">
      <text>
        <r>
          <rPr>
            <sz val="11"/>
            <color theme="1"/>
            <rFont val="Calibri"/>
            <family val="2"/>
            <scheme val="minor"/>
          </rPr>
          <t>Average NOA divided by Revenue.</t>
        </r>
      </text>
    </comment>
    <comment ref="E17" authorId="0" shapeId="0" xr:uid="{00000000-0006-0000-0500-00002C000000}">
      <text>
        <r>
          <rPr>
            <sz val="11"/>
            <color theme="1"/>
            <rFont val="Calibri"/>
            <family val="2"/>
            <scheme val="minor"/>
          </rPr>
          <t>Average NOA divided by Revenue.</t>
        </r>
      </text>
    </comment>
    <comment ref="F17" authorId="0" shapeId="0" xr:uid="{00000000-0006-0000-0500-00002D000000}">
      <text>
        <r>
          <rPr>
            <sz val="11"/>
            <color theme="1"/>
            <rFont val="Calibri"/>
            <family val="2"/>
            <scheme val="minor"/>
          </rPr>
          <t>Average NOA divided by Revenue.</t>
        </r>
      </text>
    </comment>
    <comment ref="C18" authorId="0" shapeId="0" xr:uid="{00000000-0006-0000-0500-00002E000000}">
      <text>
        <r>
          <rPr>
            <sz val="11"/>
            <color theme="1"/>
            <rFont val="Calibri"/>
            <family val="2"/>
            <scheme val="minor"/>
          </rPr>
          <t>NOPAT Margin multiplied by NOA Turnover.</t>
        </r>
      </text>
    </comment>
    <comment ref="D18" authorId="0" shapeId="0" xr:uid="{00000000-0006-0000-0500-00002F000000}">
      <text>
        <r>
          <rPr>
            <sz val="11"/>
            <color theme="1"/>
            <rFont val="Calibri"/>
            <family val="2"/>
            <scheme val="minor"/>
          </rPr>
          <t>NOPAT Margin multiplied by NOA Turnover.</t>
        </r>
      </text>
    </comment>
    <comment ref="E18" authorId="0" shapeId="0" xr:uid="{00000000-0006-0000-0500-000030000000}">
      <text>
        <r>
          <rPr>
            <sz val="11"/>
            <color theme="1"/>
            <rFont val="Calibri"/>
            <family val="2"/>
            <scheme val="minor"/>
          </rPr>
          <t>NOPAT Margin multiplied by NOA Turnover.</t>
        </r>
      </text>
    </comment>
    <comment ref="F18" authorId="0" shapeId="0" xr:uid="{00000000-0006-0000-0500-000031000000}">
      <text>
        <r>
          <rPr>
            <sz val="11"/>
            <color theme="1"/>
            <rFont val="Calibri"/>
            <family val="2"/>
            <scheme val="minor"/>
          </rPr>
          <t>NOPAT Margin multiplied by NOA Turnover.</t>
        </r>
      </text>
    </comment>
    <comment ref="D22" authorId="0" shapeId="0" xr:uid="{00000000-0006-0000-0500-000032000000}">
      <text>
        <r>
          <rPr>
            <sz val="11"/>
            <color theme="1"/>
            <rFont val="Calibri"/>
            <family val="2"/>
            <scheme val="minor"/>
          </rPr>
          <t>Current NOPAT Margin minus prior comparable NOPAT Margin.</t>
        </r>
      </text>
    </comment>
    <comment ref="E22" authorId="0" shapeId="0" xr:uid="{00000000-0006-0000-0500-000033000000}">
      <text>
        <r>
          <rPr>
            <sz val="11"/>
            <color theme="1"/>
            <rFont val="Calibri"/>
            <family val="2"/>
            <scheme val="minor"/>
          </rPr>
          <t>Current NOPAT Margin minus prior comparable NOPAT Margin.</t>
        </r>
      </text>
    </comment>
    <comment ref="F22" authorId="0" shapeId="0" xr:uid="{00000000-0006-0000-0500-000034000000}">
      <text>
        <r>
          <rPr>
            <sz val="11"/>
            <color theme="1"/>
            <rFont val="Calibri"/>
            <family val="2"/>
            <scheme val="minor"/>
          </rPr>
          <t>Current NOPAT Margin minus prior comparable NOPAT Margin.</t>
        </r>
      </text>
    </comment>
    <comment ref="D23" authorId="0" shapeId="0" xr:uid="{00000000-0006-0000-0500-000035000000}">
      <text>
        <r>
          <rPr>
            <sz val="11"/>
            <color theme="1"/>
            <rFont val="Calibri"/>
            <family val="2"/>
            <scheme val="minor"/>
          </rPr>
          <t>Current NOA Turnover minus prior comparable NOA Turnover.</t>
        </r>
      </text>
    </comment>
    <comment ref="E23" authorId="0" shapeId="0" xr:uid="{00000000-0006-0000-0500-000036000000}">
      <text>
        <r>
          <rPr>
            <sz val="11"/>
            <color theme="1"/>
            <rFont val="Calibri"/>
            <family val="2"/>
            <scheme val="minor"/>
          </rPr>
          <t>Current NOA Turnover minus prior comparable NOA Turnover.</t>
        </r>
      </text>
    </comment>
    <comment ref="F23" authorId="0" shapeId="0" xr:uid="{00000000-0006-0000-0500-000037000000}">
      <text>
        <r>
          <rPr>
            <sz val="11"/>
            <color theme="1"/>
            <rFont val="Calibri"/>
            <family val="2"/>
            <scheme val="minor"/>
          </rPr>
          <t>Current NOA Turnover minus prior comparable NOA Turnover.</t>
        </r>
      </text>
    </comment>
    <comment ref="D24" authorId="0" shapeId="0" xr:uid="{00000000-0006-0000-0500-000038000000}">
      <text>
        <r>
          <rPr>
            <sz val="11"/>
            <color theme="1"/>
            <rFont val="Calibri"/>
            <family val="2"/>
            <scheme val="minor"/>
          </rPr>
          <t>Current direct RNOA minus prior comparable direct RNOA.</t>
        </r>
      </text>
    </comment>
    <comment ref="E24" authorId="0" shapeId="0" xr:uid="{00000000-0006-0000-0500-000039000000}">
      <text>
        <r>
          <rPr>
            <sz val="11"/>
            <color theme="1"/>
            <rFont val="Calibri"/>
            <family val="2"/>
            <scheme val="minor"/>
          </rPr>
          <t>Current direct RNOA minus prior comparable direct RNOA.</t>
        </r>
      </text>
    </comment>
    <comment ref="F24" authorId="0" shapeId="0" xr:uid="{00000000-0006-0000-0500-00003A000000}">
      <text>
        <r>
          <rPr>
            <sz val="11"/>
            <color theme="1"/>
            <rFont val="Calibri"/>
            <family val="2"/>
            <scheme val="minor"/>
          </rPr>
          <t>Current direct RNOA minus prior comparable direct RNOA.</t>
        </r>
      </text>
    </comment>
    <comment ref="D25" authorId="0" shapeId="0" xr:uid="{00000000-0006-0000-0500-00003B000000}">
      <text>
        <r>
          <rPr>
            <sz val="11"/>
            <color theme="1"/>
            <rFont val="Calibri"/>
            <family val="2"/>
            <scheme val="minor"/>
          </rPr>
          <t>Change in Margin multiplied by midpoint NOA Turnover.</t>
        </r>
      </text>
    </comment>
    <comment ref="E25" authorId="0" shapeId="0" xr:uid="{00000000-0006-0000-0500-00003C000000}">
      <text>
        <r>
          <rPr>
            <sz val="11"/>
            <color theme="1"/>
            <rFont val="Calibri"/>
            <family val="2"/>
            <scheme val="minor"/>
          </rPr>
          <t>Change in Margin multiplied by midpoint NOA Turnover.</t>
        </r>
      </text>
    </comment>
    <comment ref="F25" authorId="0" shapeId="0" xr:uid="{00000000-0006-0000-0500-00003D000000}">
      <text>
        <r>
          <rPr>
            <sz val="11"/>
            <color theme="1"/>
            <rFont val="Calibri"/>
            <family val="2"/>
            <scheme val="minor"/>
          </rPr>
          <t>Change in Margin multiplied by midpoint NOA Turnover.</t>
        </r>
      </text>
    </comment>
    <comment ref="D26" authorId="0" shapeId="0" xr:uid="{00000000-0006-0000-0500-00003E000000}">
      <text>
        <r>
          <rPr>
            <sz val="11"/>
            <color theme="1"/>
            <rFont val="Calibri"/>
            <family val="2"/>
            <scheme val="minor"/>
          </rPr>
          <t>Change in NOA Turnover multiplied by midpoint NOPAT Margin.</t>
        </r>
      </text>
    </comment>
    <comment ref="E26" authorId="0" shapeId="0" xr:uid="{00000000-0006-0000-0500-00003F000000}">
      <text>
        <r>
          <rPr>
            <sz val="11"/>
            <color theme="1"/>
            <rFont val="Calibri"/>
            <family val="2"/>
            <scheme val="minor"/>
          </rPr>
          <t>Change in NOA Turnover multiplied by midpoint NOPAT Margin.</t>
        </r>
      </text>
    </comment>
    <comment ref="F26" authorId="0" shapeId="0" xr:uid="{00000000-0006-0000-0500-000040000000}">
      <text>
        <r>
          <rPr>
            <sz val="11"/>
            <color theme="1"/>
            <rFont val="Calibri"/>
            <family val="2"/>
            <scheme val="minor"/>
          </rPr>
          <t>Change in NOA Turnover multiplied by midpoint NOPAT Margin.</t>
        </r>
      </text>
    </comment>
    <comment ref="D27" authorId="0" shapeId="0" xr:uid="{00000000-0006-0000-0500-000041000000}">
      <text>
        <r>
          <rPr>
            <sz val="11"/>
            <color theme="1"/>
            <rFont val="Calibri"/>
            <family val="2"/>
            <scheme val="minor"/>
          </rPr>
          <t>Margin Effect plus Turnover Effect.</t>
        </r>
      </text>
    </comment>
    <comment ref="E27" authorId="0" shapeId="0" xr:uid="{00000000-0006-0000-0500-000042000000}">
      <text>
        <r>
          <rPr>
            <sz val="11"/>
            <color theme="1"/>
            <rFont val="Calibri"/>
            <family val="2"/>
            <scheme val="minor"/>
          </rPr>
          <t>Margin Effect plus Turnover Effect.</t>
        </r>
      </text>
    </comment>
    <comment ref="F27" authorId="0" shapeId="0" xr:uid="{00000000-0006-0000-0500-000043000000}">
      <text>
        <r>
          <rPr>
            <sz val="11"/>
            <color theme="1"/>
            <rFont val="Calibri"/>
            <family val="2"/>
            <scheme val="minor"/>
          </rPr>
          <t>Margin Effect plus Turnover Effect.</t>
        </r>
      </text>
    </comment>
    <comment ref="C31" authorId="0" shapeId="0" xr:uid="{00000000-0006-0000-0500-000044000000}">
      <text>
        <r>
          <rPr>
            <sz val="11"/>
            <color theme="1"/>
            <rFont val="Calibri"/>
            <family val="2"/>
            <scheme val="minor"/>
          </rPr>
          <t>FLEV multiplied by Spread.</t>
        </r>
      </text>
    </comment>
    <comment ref="D31" authorId="0" shapeId="0" xr:uid="{00000000-0006-0000-0500-000045000000}">
      <text>
        <r>
          <rPr>
            <sz val="11"/>
            <color theme="1"/>
            <rFont val="Calibri"/>
            <family val="2"/>
            <scheme val="minor"/>
          </rPr>
          <t>FLEV multiplied by Spread.</t>
        </r>
      </text>
    </comment>
    <comment ref="E31" authorId="0" shapeId="0" xr:uid="{00000000-0006-0000-0500-000046000000}">
      <text>
        <r>
          <rPr>
            <sz val="11"/>
            <color theme="1"/>
            <rFont val="Calibri"/>
            <family val="2"/>
            <scheme val="minor"/>
          </rPr>
          <t>FLEV multiplied by Spread.</t>
        </r>
      </text>
    </comment>
    <comment ref="F31" authorId="0" shapeId="0" xr:uid="{00000000-0006-0000-0500-000047000000}">
      <text>
        <r>
          <rPr>
            <sz val="11"/>
            <color theme="1"/>
            <rFont val="Calibri"/>
            <family val="2"/>
            <scheme val="minor"/>
          </rPr>
          <t>FLEV multiplied by Spread.</t>
        </r>
      </text>
    </comment>
    <comment ref="D35" authorId="0" shapeId="0" xr:uid="{00000000-0006-0000-0500-000048000000}">
      <text>
        <r>
          <rPr>
            <sz val="11"/>
            <color theme="1"/>
            <rFont val="Calibri"/>
            <family val="2"/>
            <scheme val="minor"/>
          </rPr>
          <t>Current decomposed ROE minus prior decomposed ROE.</t>
        </r>
      </text>
    </comment>
    <comment ref="E35" authorId="0" shapeId="0" xr:uid="{00000000-0006-0000-0500-000049000000}">
      <text>
        <r>
          <rPr>
            <sz val="11"/>
            <color theme="1"/>
            <rFont val="Calibri"/>
            <family val="2"/>
            <scheme val="minor"/>
          </rPr>
          <t>Current decomposed ROE minus prior decomposed ROE.</t>
        </r>
      </text>
    </comment>
    <comment ref="F35" authorId="0" shapeId="0" xr:uid="{00000000-0006-0000-0500-00004A000000}">
      <text>
        <r>
          <rPr>
            <sz val="11"/>
            <color theme="1"/>
            <rFont val="Calibri"/>
            <family val="2"/>
            <scheme val="minor"/>
          </rPr>
          <t>Current decomposed ROE minus prior decomposed ROE.</t>
        </r>
      </text>
    </comment>
    <comment ref="D36" authorId="0" shapeId="0" xr:uid="{00000000-0006-0000-0500-00004B000000}">
      <text>
        <r>
          <rPr>
            <sz val="11"/>
            <color theme="1"/>
            <rFont val="Calibri"/>
            <family val="2"/>
            <scheme val="minor"/>
          </rPr>
          <t>The direct Change in RNOA from the prior diagnostic section.</t>
        </r>
      </text>
    </comment>
    <comment ref="E36" authorId="0" shapeId="0" xr:uid="{00000000-0006-0000-0500-00004C000000}">
      <text>
        <r>
          <rPr>
            <sz val="11"/>
            <color theme="1"/>
            <rFont val="Calibri"/>
            <family val="2"/>
            <scheme val="minor"/>
          </rPr>
          <t>The direct Change in RNOA from the prior diagnostic section.</t>
        </r>
      </text>
    </comment>
    <comment ref="F36" authorId="0" shapeId="0" xr:uid="{00000000-0006-0000-0500-00004D000000}">
      <text>
        <r>
          <rPr>
            <sz val="11"/>
            <color theme="1"/>
            <rFont val="Calibri"/>
            <family val="2"/>
            <scheme val="minor"/>
          </rPr>
          <t>The direct Change in RNOA from the prior diagnostic section.</t>
        </r>
      </text>
    </comment>
    <comment ref="D37" authorId="0" shapeId="0" xr:uid="{00000000-0006-0000-0500-00004E000000}">
      <text>
        <r>
          <rPr>
            <sz val="11"/>
            <color theme="1"/>
            <rFont val="Calibri"/>
            <family val="2"/>
            <scheme val="minor"/>
          </rPr>
          <t>Change in FLEV multiplied by midpoint Spread.</t>
        </r>
      </text>
    </comment>
    <comment ref="E37" authorId="0" shapeId="0" xr:uid="{00000000-0006-0000-0500-00004F000000}">
      <text>
        <r>
          <rPr>
            <sz val="11"/>
            <color theme="1"/>
            <rFont val="Calibri"/>
            <family val="2"/>
            <scheme val="minor"/>
          </rPr>
          <t>Change in FLEV multiplied by midpoint Spread.</t>
        </r>
      </text>
    </comment>
    <comment ref="F37" authorId="0" shapeId="0" xr:uid="{00000000-0006-0000-0500-000050000000}">
      <text>
        <r>
          <rPr>
            <sz val="11"/>
            <color theme="1"/>
            <rFont val="Calibri"/>
            <family val="2"/>
            <scheme val="minor"/>
          </rPr>
          <t>Change in FLEV multiplied by midpoint Spread.</t>
        </r>
      </text>
    </comment>
    <comment ref="D38" authorId="0" shapeId="0" xr:uid="{00000000-0006-0000-0500-000051000000}">
      <text>
        <r>
          <rPr>
            <sz val="11"/>
            <color theme="1"/>
            <rFont val="Calibri"/>
            <family val="2"/>
            <scheme val="minor"/>
          </rPr>
          <t>Change in Spread multiplied by midpoint FLEV.</t>
        </r>
      </text>
    </comment>
    <comment ref="E38" authorId="0" shapeId="0" xr:uid="{00000000-0006-0000-0500-000052000000}">
      <text>
        <r>
          <rPr>
            <sz val="11"/>
            <color theme="1"/>
            <rFont val="Calibri"/>
            <family val="2"/>
            <scheme val="minor"/>
          </rPr>
          <t>Change in Spread multiplied by midpoint FLEV.</t>
        </r>
      </text>
    </comment>
    <comment ref="F38" authorId="0" shapeId="0" xr:uid="{00000000-0006-0000-0500-000053000000}">
      <text>
        <r>
          <rPr>
            <sz val="11"/>
            <color theme="1"/>
            <rFont val="Calibri"/>
            <family val="2"/>
            <scheme val="minor"/>
          </rPr>
          <t>Change in Spread multiplied by midpoint FLEV.</t>
        </r>
      </text>
    </comment>
    <comment ref="D39" authorId="0" shapeId="0" xr:uid="{00000000-0006-0000-0500-000054000000}">
      <text>
        <r>
          <rPr>
            <sz val="11"/>
            <color theme="1"/>
            <rFont val="Calibri"/>
            <family val="2"/>
            <scheme val="minor"/>
          </rPr>
          <t>Leverage Effect plus Spread Effect.</t>
        </r>
      </text>
    </comment>
    <comment ref="E39" authorId="0" shapeId="0" xr:uid="{00000000-0006-0000-0500-000055000000}">
      <text>
        <r>
          <rPr>
            <sz val="11"/>
            <color theme="1"/>
            <rFont val="Calibri"/>
            <family val="2"/>
            <scheme val="minor"/>
          </rPr>
          <t>Leverage Effect plus Spread Effect.</t>
        </r>
      </text>
    </comment>
    <comment ref="F39" authorId="0" shapeId="0" xr:uid="{00000000-0006-0000-0500-000056000000}">
      <text>
        <r>
          <rPr>
            <sz val="11"/>
            <color theme="1"/>
            <rFont val="Calibri"/>
            <family val="2"/>
            <scheme val="minor"/>
          </rPr>
          <t>Leverage Effect plus Spread Effect.</t>
        </r>
      </text>
    </comment>
    <comment ref="D40" authorId="0" shapeId="0" xr:uid="{00000000-0006-0000-0500-000057000000}">
      <text>
        <r>
          <rPr>
            <sz val="11"/>
            <color theme="1"/>
            <rFont val="Calibri"/>
            <family val="2"/>
            <scheme val="minor"/>
          </rPr>
          <t>Operating Effect plus Financing Effect.</t>
        </r>
      </text>
    </comment>
    <comment ref="E40" authorId="0" shapeId="0" xr:uid="{00000000-0006-0000-0500-000058000000}">
      <text>
        <r>
          <rPr>
            <sz val="11"/>
            <color theme="1"/>
            <rFont val="Calibri"/>
            <family val="2"/>
            <scheme val="minor"/>
          </rPr>
          <t>Operating Effect plus Financing Effect.</t>
        </r>
      </text>
    </comment>
    <comment ref="F40" authorId="0" shapeId="0" xr:uid="{00000000-0006-0000-0500-000059000000}">
      <text>
        <r>
          <rPr>
            <sz val="11"/>
            <color theme="1"/>
            <rFont val="Calibri"/>
            <family val="2"/>
            <scheme val="minor"/>
          </rPr>
          <t>Operating Effect plus Financing Effect.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BAV Trainer</author>
  </authors>
  <commentList>
    <comment ref="C9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Sum the signed pretax add-back for items marked Non-recurring on the Earnings Normalization detail block.</t>
        </r>
      </text>
    </comment>
    <comment ref="D9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Sum the signed pretax add-back for items marked Non-recurring on the Earnings Normalization detail block.</t>
        </r>
      </text>
    </comment>
    <comment ref="E9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Sum the signed pretax add-back for items marked Non-recurring on the Earnings Normalization detail block.</t>
        </r>
      </text>
    </comment>
    <comment ref="F9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Sum the signed pretax add-back for items marked Non-recurring on the Earnings Normalization detail block.</t>
        </r>
      </text>
    </comment>
    <comment ref="G9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Sum the signed pretax add-back for items marked Non-recurring on the Earnings Normalization detail block.</t>
        </r>
      </text>
    </comment>
    <comment ref="C11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Apply the period effective tax rate to the pretax normalization adjustment.</t>
        </r>
      </text>
    </comment>
    <comment ref="D11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Apply the period effective tax rate to the pretax normalization adjustment.</t>
        </r>
      </text>
    </comment>
    <comment ref="E11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Apply the period effective tax rate to the pretax normalization adjustment.</t>
        </r>
      </text>
    </comment>
    <comment ref="F11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Apply the period effective tax rate to the pretax normalization adjustment.</t>
        </r>
      </text>
    </comment>
    <comment ref="G11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Apply the period effective tax rate to the pretax normalization adjustment.</t>
        </r>
      </text>
    </comment>
    <comment ref="C12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Add the after-tax normalization adjustment to reported NOPAT.</t>
        </r>
      </text>
    </comment>
    <comment ref="D12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Add the after-tax normalization adjustment to reported NOPAT.</t>
        </r>
      </text>
    </comment>
    <comment ref="E12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Add the after-tax normalization adjustment to reported NOPAT.</t>
        </r>
      </text>
    </comment>
    <comment ref="F12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Add the after-tax normalization adjustment to reported NOPAT.</t>
        </r>
      </text>
    </comment>
    <comment ref="G12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Add the after-tax normalization adjustment to reported NOPAT.</t>
        </r>
      </text>
    </comment>
    <comment ref="C13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Add the after-tax normalization adjustment to reported Net Income.</t>
        </r>
      </text>
    </comment>
    <comment ref="D13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Add the after-tax normalization adjustment to reported Net Income.</t>
        </r>
      </text>
    </comment>
    <comment ref="E13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Add the after-tax normalization adjustment to reported Net Income.</t>
        </r>
      </text>
    </comment>
    <comment ref="F13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Add the after-tax normalization adjustment to reported Net Income.</t>
        </r>
      </text>
    </comment>
    <comment ref="G13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Add the after-tax normalization adjustment to reported Net Income.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BAV Trainer</author>
  </authors>
  <commentList>
    <comment ref="B5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Link net cash from operating activities for the same fiscal period.</t>
        </r>
      </text>
    </comment>
    <comment ref="C5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Link net cash from operating activities for the same fiscal period.</t>
        </r>
      </text>
    </comment>
    <comment ref="D5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Link net cash from operating activities for the same fiscal period.</t>
        </r>
      </text>
    </comment>
    <comment ref="E5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Link net cash from operating activities for the same fiscal period.</t>
        </r>
      </text>
    </comment>
    <comment ref="F5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Link net cash from operating activities for the same fiscal period.</t>
        </r>
      </text>
    </comment>
    <comment ref="B7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Compare operating cash flow with reported Net Income.</t>
        </r>
      </text>
    </comment>
    <comment ref="C7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Compare operating cash flow with reported Net Income.</t>
        </r>
      </text>
    </comment>
    <comment ref="D7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Compare operating cash flow with reported Net Income.</t>
        </r>
      </text>
    </comment>
    <comment ref="E7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Compare operating cash flow with reported Net Income.</t>
        </r>
      </text>
    </comment>
    <comment ref="F7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Compare operating cash flow with reported Net Income.</t>
        </r>
      </text>
    </comment>
    <comment ref="B8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Reported Net Income minus operating cash flow.</t>
        </r>
      </text>
    </comment>
    <comment ref="C8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Reported Net Income minus operating cash flow.</t>
        </r>
      </text>
    </comment>
    <comment ref="D8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Reported Net Income minus operating cash flow.</t>
        </r>
      </text>
    </comment>
    <comment ref="E8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Reported Net Income minus operating cash flow.</t>
        </r>
      </text>
    </comment>
    <comment ref="F8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Reported Net Income minus operating cash flow.</t>
        </r>
      </text>
    </comment>
    <comment ref="C11" authorId="0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Average beginning and ending reported total assets.</t>
        </r>
      </text>
    </comment>
    <comment ref="D11" authorId="0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Average beginning and ending reported total assets.</t>
        </r>
      </text>
    </comment>
    <comment ref="E11" authorId="0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Average beginning and ending reported total assets.</t>
        </r>
      </text>
    </comment>
    <comment ref="F11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Average beginning and ending reported total assets.</t>
        </r>
      </text>
    </comment>
    <comment ref="C12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Scale total accruals by average total assets.</t>
        </r>
      </text>
    </comment>
    <comment ref="D12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Scale total accruals by average total assets.</t>
        </r>
      </text>
    </comment>
    <comment ref="E12" authorId="0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Scale total accruals by average total assets.</t>
        </r>
      </text>
    </comment>
    <comment ref="F12" authorId="0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>Scale total accruals by average total assets.</t>
        </r>
      </text>
    </comment>
    <comment ref="C15" authorId="0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Current CFO minus prior CFO.</t>
        </r>
      </text>
    </comment>
    <comment ref="D15" authorId="0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Current CFO minus prior CFO.</t>
        </r>
      </text>
    </comment>
    <comment ref="E15" authorId="0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Current CFO minus prior CFO.</t>
        </r>
      </text>
    </comment>
    <comment ref="F15" authorId="0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Current CFO minus prior CFO.</t>
        </r>
      </text>
    </comment>
    <comment ref="C16" authorId="0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Current cash conversion ratio minus prior ratio.</t>
        </r>
      </text>
    </comment>
    <comment ref="D16" authorId="0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Current cash conversion ratio minus prior ratio.</t>
        </r>
      </text>
    </comment>
    <comment ref="E16" authorId="0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Current cash conversion ratio minus prior ratio.</t>
        </r>
      </text>
    </comment>
    <comment ref="F16" authorId="0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>Current cash conversion ratio minus prior ratio.</t>
        </r>
      </text>
    </comment>
    <comment ref="C17" authorId="0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Current Total Accruals minus prior Total Accruals.</t>
        </r>
      </text>
    </comment>
    <comment ref="D17" authorId="0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Current Total Accruals minus prior Total Accruals.</t>
        </r>
      </text>
    </comment>
    <comment ref="E17" authorId="0" shapeId="0" xr:uid="{00000000-0006-0000-0900-000022000000}">
      <text>
        <r>
          <rPr>
            <sz val="11"/>
            <color theme="1"/>
            <rFont val="Calibri"/>
            <family val="2"/>
            <scheme val="minor"/>
          </rPr>
          <t>Current Total Accruals minus prior Total Accruals.</t>
        </r>
      </text>
    </comment>
    <comment ref="F17" authorId="0" shapeId="0" xr:uid="{00000000-0006-0000-0900-000023000000}">
      <text>
        <r>
          <rPr>
            <sz val="11"/>
            <color theme="1"/>
            <rFont val="Calibri"/>
            <family val="2"/>
            <scheme val="minor"/>
          </rPr>
          <t>Current Total Accruals minus prior Total Accruals.</t>
        </r>
      </text>
    </comment>
    <comment ref="D18" authorId="0" shapeId="0" xr:uid="{00000000-0006-0000-0900-000024000000}">
      <text>
        <r>
          <rPr>
            <sz val="11"/>
            <color theme="1"/>
            <rFont val="Calibri"/>
            <family val="2"/>
            <scheme val="minor"/>
          </rPr>
          <t>Current accrual ratio minus prior comparable accrual ratio.</t>
        </r>
      </text>
    </comment>
    <comment ref="E18" authorId="0" shapeId="0" xr:uid="{00000000-0006-0000-0900-000025000000}">
      <text>
        <r>
          <rPr>
            <sz val="11"/>
            <color theme="1"/>
            <rFont val="Calibri"/>
            <family val="2"/>
            <scheme val="minor"/>
          </rPr>
          <t>Current accrual ratio minus prior comparable accrual ratio.</t>
        </r>
      </text>
    </comment>
    <comment ref="F18" authorId="0" shapeId="0" xr:uid="{00000000-0006-0000-0900-000026000000}">
      <text>
        <r>
          <rPr>
            <sz val="11"/>
            <color theme="1"/>
            <rFont val="Calibri"/>
            <family val="2"/>
            <scheme val="minor"/>
          </rPr>
          <t>Current accrual ratio minus prior comparable accrual ratio.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BAV Trainer</author>
  </authors>
  <commentList>
    <comment ref="B11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OWCA divided by Revenue for the same fiscal period.</t>
        </r>
      </text>
    </comment>
    <comment ref="C11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OWCA divided by Revenue for the same fiscal period.</t>
        </r>
      </text>
    </comment>
    <comment ref="D11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OWCA divided by Revenue for the same fiscal period.</t>
        </r>
      </text>
    </comment>
    <comment ref="E11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OWCA divided by Revenue for the same fiscal period.</t>
        </r>
      </text>
    </comment>
    <comment ref="F11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OWCA divided by Revenue for the same fiscal period.</t>
        </r>
      </text>
    </comment>
    <comment ref="B12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OWCL divided by Revenue for the same fiscal period.</t>
        </r>
      </text>
    </comment>
    <comment ref="C12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OWCL divided by Revenue for the same fiscal period.</t>
        </r>
      </text>
    </comment>
    <comment ref="D12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OWCL divided by Revenue for the same fiscal period.</t>
        </r>
      </text>
    </comment>
    <comment ref="E12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OWCL divided by Revenue for the same fiscal period.</t>
        </r>
      </text>
    </comment>
    <comment ref="F12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OWCL divided by Revenue for the same fiscal period.</t>
        </r>
      </text>
    </comment>
    <comment ref="B13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NOWC divided by Revenue for the same fiscal period.</t>
        </r>
      </text>
    </comment>
    <comment ref="C13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NOWC divided by Revenue for the same fiscal period.</t>
        </r>
      </text>
    </comment>
    <comment ref="D13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NOWC divided by Revenue for the same fiscal period.</t>
        </r>
      </text>
    </comment>
    <comment ref="E13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NOWC divided by Revenue for the same fiscal period.</t>
        </r>
      </text>
    </comment>
    <comment ref="F13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NOWC divided by Revenue for the same fiscal period.</t>
        </r>
      </text>
    </comment>
    <comment ref="C14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Absolute year-on-year change in Revenue.</t>
        </r>
      </text>
    </comment>
    <comment ref="D14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Absolute year-on-year change in Revenue.</t>
        </r>
      </text>
    </comment>
    <comment ref="E14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Absolute year-on-year change in Revenue.</t>
        </r>
      </text>
    </comment>
    <comment ref="F14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Absolute year-on-year change in Revenue.</t>
        </r>
      </text>
    </comment>
    <comment ref="C15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Absolute year-on-year change in NOWC.</t>
        </r>
      </text>
    </comment>
    <comment ref="D15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Absolute year-on-year change in NOWC.</t>
        </r>
      </text>
    </comment>
    <comment ref="E15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Absolute year-on-year change in NOWC.</t>
        </r>
      </text>
    </comment>
    <comment ref="F15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Absolute year-on-year change in NOWC.</t>
        </r>
      </text>
    </comment>
    <comment ref="C16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Change in NOWC divided by Change in Revenue.</t>
        </r>
      </text>
    </comment>
    <comment ref="D16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Change in NOWC divided by Change in Revenue.</t>
        </r>
      </text>
    </comment>
    <comment ref="E16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Change in NOWC divided by Change in Revenue.</t>
        </r>
      </text>
    </comment>
    <comment ref="F16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Change in NOWC divided by Change in Revenue.</t>
        </r>
      </text>
    </comment>
    <comment ref="C19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Absolute year-on-year change in OWCA.</t>
        </r>
      </text>
    </comment>
    <comment ref="D19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Absolute year-on-year change in OWCA.</t>
        </r>
      </text>
    </comment>
    <comment ref="E19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Absolute year-on-year change in OWCA.</t>
        </r>
      </text>
    </comment>
    <comment ref="F19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Absolute year-on-year change in OWCA.</t>
        </r>
      </text>
    </comment>
    <comment ref="C20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Absolute year-on-year change in OWCL.</t>
        </r>
      </text>
    </comment>
    <comment ref="D20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Absolute year-on-year change in OWCL.</t>
        </r>
      </text>
    </comment>
    <comment ref="E20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Absolute year-on-year change in OWCL.</t>
        </r>
      </text>
    </comment>
    <comment ref="F20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Absolute year-on-year change in OWCL.</t>
        </r>
      </text>
    </comment>
    <comment ref="C21" authorId="0" shapeId="0" xr:uid="{00000000-0006-0000-0A00-000024000000}">
      <text>
        <r>
          <rPr>
            <sz val="11"/>
            <color theme="1"/>
            <rFont val="Calibri"/>
            <family val="2"/>
            <scheme val="minor"/>
          </rPr>
          <t>Change in OWCA minus Change in OWCL.</t>
        </r>
      </text>
    </comment>
    <comment ref="D21" authorId="0" shapeId="0" xr:uid="{00000000-0006-0000-0A00-000025000000}">
      <text>
        <r>
          <rPr>
            <sz val="11"/>
            <color theme="1"/>
            <rFont val="Calibri"/>
            <family val="2"/>
            <scheme val="minor"/>
          </rPr>
          <t>Change in OWCA minus Change in OWCL.</t>
        </r>
      </text>
    </comment>
    <comment ref="E21" authorId="0" shapeId="0" xr:uid="{00000000-0006-0000-0A00-000026000000}">
      <text>
        <r>
          <rPr>
            <sz val="11"/>
            <color theme="1"/>
            <rFont val="Calibri"/>
            <family val="2"/>
            <scheme val="minor"/>
          </rPr>
          <t>Change in OWCA minus Change in OWCL.</t>
        </r>
      </text>
    </comment>
    <comment ref="F21" authorId="0" shapeId="0" xr:uid="{00000000-0006-0000-0A00-000027000000}">
      <text>
        <r>
          <rPr>
            <sz val="11"/>
            <color theme="1"/>
            <rFont val="Calibri"/>
            <family val="2"/>
            <scheme val="minor"/>
          </rPr>
          <t>Change in OWCA minus Change in OWCL.</t>
        </r>
      </text>
    </comment>
    <comment ref="C22" authorId="0" shapeId="0" xr:uid="{00000000-0006-0000-0A00-000028000000}">
      <text>
        <r>
          <rPr>
            <sz val="11"/>
            <color theme="1"/>
            <rFont val="Calibri"/>
            <family val="2"/>
            <scheme val="minor"/>
          </rPr>
          <t>Change in OWCA divided by Change in Revenue.</t>
        </r>
      </text>
    </comment>
    <comment ref="D22" authorId="0" shapeId="0" xr:uid="{00000000-0006-0000-0A00-000029000000}">
      <text>
        <r>
          <rPr>
            <sz val="11"/>
            <color theme="1"/>
            <rFont val="Calibri"/>
            <family val="2"/>
            <scheme val="minor"/>
          </rPr>
          <t>Change in OWCA divided by Change in Revenue.</t>
        </r>
      </text>
    </comment>
    <comment ref="E22" authorId="0" shapeId="0" xr:uid="{00000000-0006-0000-0A00-00002A000000}">
      <text>
        <r>
          <rPr>
            <sz val="11"/>
            <color theme="1"/>
            <rFont val="Calibri"/>
            <family val="2"/>
            <scheme val="minor"/>
          </rPr>
          <t>Change in OWCA divided by Change in Revenue.</t>
        </r>
      </text>
    </comment>
    <comment ref="F22" authorId="0" shapeId="0" xr:uid="{00000000-0006-0000-0A00-00002B000000}">
      <text>
        <r>
          <rPr>
            <sz val="11"/>
            <color theme="1"/>
            <rFont val="Calibri"/>
            <family val="2"/>
            <scheme val="minor"/>
          </rPr>
          <t>Change in OWCA divided by Change in Revenue.</t>
        </r>
      </text>
    </comment>
    <comment ref="C23" authorId="0" shapeId="0" xr:uid="{00000000-0006-0000-0A00-00002C000000}">
      <text>
        <r>
          <rPr>
            <sz val="11"/>
            <color theme="1"/>
            <rFont val="Calibri"/>
            <family val="2"/>
            <scheme val="minor"/>
          </rPr>
          <t>Change in OWCL divided by Change in Revenue.</t>
        </r>
      </text>
    </comment>
    <comment ref="D23" authorId="0" shapeId="0" xr:uid="{00000000-0006-0000-0A00-00002D000000}">
      <text>
        <r>
          <rPr>
            <sz val="11"/>
            <color theme="1"/>
            <rFont val="Calibri"/>
            <family val="2"/>
            <scheme val="minor"/>
          </rPr>
          <t>Change in OWCL divided by Change in Revenue.</t>
        </r>
      </text>
    </comment>
    <comment ref="E23" authorId="0" shapeId="0" xr:uid="{00000000-0006-0000-0A00-00002E000000}">
      <text>
        <r>
          <rPr>
            <sz val="11"/>
            <color theme="1"/>
            <rFont val="Calibri"/>
            <family val="2"/>
            <scheme val="minor"/>
          </rPr>
          <t>Change in OWCL divided by Change in Revenue.</t>
        </r>
      </text>
    </comment>
    <comment ref="F23" authorId="0" shapeId="0" xr:uid="{00000000-0006-0000-0A00-00002F000000}">
      <text>
        <r>
          <rPr>
            <sz val="11"/>
            <color theme="1"/>
            <rFont val="Calibri"/>
            <family val="2"/>
            <scheme val="minor"/>
          </rPr>
          <t>Change in OWCL divided by Change in Revenue.</t>
        </r>
      </text>
    </comment>
  </commentList>
</comments>
</file>

<file path=xl/sharedStrings.xml><?xml version="1.0" encoding="utf-8"?>
<sst xmlns="http://schemas.openxmlformats.org/spreadsheetml/2006/main" count="3902" uniqueCount="1441">
  <si>
    <t>BAV Excel Trainer</t>
  </si>
  <si>
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</si>
  <si>
    <t>Order</t>
  </si>
  <si>
    <t>Schedule</t>
  </si>
  <si>
    <t>Period scope</t>
  </si>
  <si>
    <t>Tab</t>
  </si>
  <si>
    <t>Practice cells</t>
  </si>
  <si>
    <t>Depends on</t>
  </si>
  <si>
    <t>Revenue historical source link</t>
  </si>
  <si>
    <t>2021–2025 (5 cells)</t>
  </si>
  <si>
    <t>Condensed Financials</t>
  </si>
  <si>
    <t>B19:F19</t>
  </si>
  <si>
    <t>—</t>
  </si>
  <si>
    <t>Net Income historical source link</t>
  </si>
  <si>
    <t>B20:F20</t>
  </si>
  <si>
    <t>Effective tax rate</t>
  </si>
  <si>
    <t>B25:F25</t>
  </si>
  <si>
    <t>Net interest</t>
  </si>
  <si>
    <t>B26:F26</t>
  </si>
  <si>
    <t>Net interest after tax</t>
  </si>
  <si>
    <t>B27:F27</t>
  </si>
  <si>
    <t>effective_tax_rate_fy, net_interest_fy</t>
  </si>
  <si>
    <t>NOPAT</t>
  </si>
  <si>
    <t>B28:F28</t>
  </si>
  <si>
    <t>net_income_link, net_interest_after_tax_fy</t>
  </si>
  <si>
    <t>Operating working capital assets</t>
  </si>
  <si>
    <t>B31:F31</t>
  </si>
  <si>
    <t>Operating working capital liabilities</t>
  </si>
  <si>
    <t>B32:F32</t>
  </si>
  <si>
    <t>Net Operating Working Capital (NOWC)</t>
  </si>
  <si>
    <t>B33:F33</t>
  </si>
  <si>
    <t>owca_agg, owcl_agg</t>
  </si>
  <si>
    <t>Operating long-term assets</t>
  </si>
  <si>
    <t>B34:F34</t>
  </si>
  <si>
    <t>Operating long-term liabilities</t>
  </si>
  <si>
    <t>B35:F35</t>
  </si>
  <si>
    <t>Net operating long-term assets (NOLA)</t>
  </si>
  <si>
    <t>B36:F36</t>
  </si>
  <si>
    <t>olta_agg, oltl_agg</t>
  </si>
  <si>
    <t>Net Operating Assets (NOA)</t>
  </si>
  <si>
    <t>B37:F37</t>
  </si>
  <si>
    <t>nowc_agg, nola_agg</t>
  </si>
  <si>
    <t>Financial assets</t>
  </si>
  <si>
    <t>B38:F38</t>
  </si>
  <si>
    <t>Financial liabilities</t>
  </si>
  <si>
    <t>B39:F39</t>
  </si>
  <si>
    <t>Net Debt</t>
  </si>
  <si>
    <t>B40:F40</t>
  </si>
  <si>
    <t>financial_assets_agg, financial_liabilities_agg</t>
  </si>
  <si>
    <t>Reformulated equity</t>
  </si>
  <si>
    <t>B41:F41</t>
  </si>
  <si>
    <t>noa_agg, net_debt</t>
  </si>
  <si>
    <t>Sales Growth</t>
  </si>
  <si>
    <t>2022–2025 (4 cells)</t>
  </si>
  <si>
    <t>ALT DuPont</t>
  </si>
  <si>
    <t>C5:F5</t>
  </si>
  <si>
    <t>revenue_link</t>
  </si>
  <si>
    <t>NOPAT Margin</t>
  </si>
  <si>
    <t>B6:F6</t>
  </si>
  <si>
    <t>nopat_fy, revenue_link</t>
  </si>
  <si>
    <t>Return on Net Operating Assets (RNOA)</t>
  </si>
  <si>
    <t>C7:F7</t>
  </si>
  <si>
    <t>nopat_fy, noa_agg</t>
  </si>
  <si>
    <t>After-tax cost of debt</t>
  </si>
  <si>
    <t>C8:F8</t>
  </si>
  <si>
    <t>net_interest_after_tax_fy, net_debt</t>
  </si>
  <si>
    <t>Operating Spread (RNOA − After-tax CoD)</t>
  </si>
  <si>
    <t>C9:F9</t>
  </si>
  <si>
    <t>rnoa, after_tax_cod</t>
  </si>
  <si>
    <t>Financial leverage (FLEV)</t>
  </si>
  <si>
    <t>C10:F10</t>
  </si>
  <si>
    <t>net_debt, equity_reformulated_fy</t>
  </si>
  <si>
    <t>ROE decomposition</t>
  </si>
  <si>
    <t>C11:F11</t>
  </si>
  <si>
    <t>rnoa, spread, flev</t>
  </si>
  <si>
    <t>Actual ROE</t>
  </si>
  <si>
    <t>C12:F12</t>
  </si>
  <si>
    <t>net_income_link, equity_reformulated_fy</t>
  </si>
  <si>
    <t>Pretax normalization adjustment</t>
  </si>
  <si>
    <t>Earnings Normalization</t>
  </si>
  <si>
    <t>C9:G9</t>
  </si>
  <si>
    <t>After-tax normalization adjustment</t>
  </si>
  <si>
    <t>C11:G11</t>
  </si>
  <si>
    <t>pretax_normalization_adjustment</t>
  </si>
  <si>
    <t>Normalized NOPAT</t>
  </si>
  <si>
    <t>C12:G12</t>
  </si>
  <si>
    <t>after_tax_normalization_adjustment</t>
  </si>
  <si>
    <t>Normalized Net Income</t>
  </si>
  <si>
    <t>C13:G13</t>
  </si>
  <si>
    <t>Operating cash flow historical source link</t>
  </si>
  <si>
    <t>Earnings Quality</t>
  </si>
  <si>
    <t>B5:F5</t>
  </si>
  <si>
    <t>Cash conversion ratio</t>
  </si>
  <si>
    <t>B7:F7</t>
  </si>
  <si>
    <t>operating_cash_flow_link, net_income_link</t>
  </si>
  <si>
    <t>Total accruals</t>
  </si>
  <si>
    <t>B8:F8</t>
  </si>
  <si>
    <t>Average total assets</t>
  </si>
  <si>
    <t>Accrual ratio</t>
  </si>
  <si>
    <t>total_accruals, average_total_assets</t>
  </si>
  <si>
    <t>Operating working capital assets / Revenue</t>
  </si>
  <si>
    <t>Working Capital Analysis</t>
  </si>
  <si>
    <t>B11:F11</t>
  </si>
  <si>
    <t>Operating working capital liabilities / Revenue</t>
  </si>
  <si>
    <t>B12:F12</t>
  </si>
  <si>
    <t>NOWC / Revenue</t>
  </si>
  <si>
    <t>B13:F13</t>
  </si>
  <si>
    <t>Change in Revenue</t>
  </si>
  <si>
    <t>C14:F14</t>
  </si>
  <si>
    <t>Change in NOWC</t>
  </si>
  <si>
    <t>C15:F15</t>
  </si>
  <si>
    <t>Incremental NOWC / Change in Revenue</t>
  </si>
  <si>
    <t>C16:F16</t>
  </si>
  <si>
    <t>nowc_change, revenue_change</t>
  </si>
  <si>
    <t>Change in Operating Working Capital Assets</t>
  </si>
  <si>
    <t>C19:F19</t>
  </si>
  <si>
    <t>owca_agg</t>
  </si>
  <si>
    <t>Change in Operating Working Capital Liabilities</t>
  </si>
  <si>
    <t>C20:F20</t>
  </si>
  <si>
    <t>owcl_agg</t>
  </si>
  <si>
    <t>Change in NOWC from OWCA / OWCL bridge</t>
  </si>
  <si>
    <t>C21:F21</t>
  </si>
  <si>
    <t>owca_change, owcl_change</t>
  </si>
  <si>
    <t>Incremental OWCA / Change in Revenue</t>
  </si>
  <si>
    <t>C22:F22</t>
  </si>
  <si>
    <t>owca_change, revenue_change</t>
  </si>
  <si>
    <t>Incremental OWCL / Change in Revenue</t>
  </si>
  <si>
    <t>C23:F23</t>
  </si>
  <si>
    <t>owcl_change, revenue_change</t>
  </si>
  <si>
    <t>Average Net Operating Assets</t>
  </si>
  <si>
    <t>noa_agg</t>
  </si>
  <si>
    <t>Net Operating Asset Turnover</t>
  </si>
  <si>
    <t>revenue_link, average_noa</t>
  </si>
  <si>
    <t>Net Operating Asset Intensity</t>
  </si>
  <si>
    <t>C17:F17</t>
  </si>
  <si>
    <t>average_noa, revenue_link</t>
  </si>
  <si>
    <t>RNOA from Margin × Turnover</t>
  </si>
  <si>
    <t>C18:F18</t>
  </si>
  <si>
    <t>nopat_margin, noa_turnover</t>
  </si>
  <si>
    <t>Change in NOPAT Margin</t>
  </si>
  <si>
    <t>2023–2025 (3 cells)</t>
  </si>
  <si>
    <t>D22:F22</t>
  </si>
  <si>
    <t>nopat_margin</t>
  </si>
  <si>
    <t>Change in NOA Turnover</t>
  </si>
  <si>
    <t>D23:F23</t>
  </si>
  <si>
    <t>noa_turnover</t>
  </si>
  <si>
    <t>Direct Change in RNOA</t>
  </si>
  <si>
    <t>D24:F24</t>
  </si>
  <si>
    <t>rnoa</t>
  </si>
  <si>
    <t>Margin Effect on Change in RNOA</t>
  </si>
  <si>
    <t>D25:F25</t>
  </si>
  <si>
    <t>nopat_margin_change, noa_turnover</t>
  </si>
  <si>
    <t>Turnover Effect on Change in RNOA</t>
  </si>
  <si>
    <t>D26:F26</t>
  </si>
  <si>
    <t>noa_turnover_change, nopat_margin</t>
  </si>
  <si>
    <t>Change in RNOA from Margin + Turnover Effects</t>
  </si>
  <si>
    <t>D27:F27</t>
  </si>
  <si>
    <t>rnoa_margin_effect, rnoa_turnover_effect</t>
  </si>
  <si>
    <t>Financing Contribution to ROE</t>
  </si>
  <si>
    <t>C31:F31</t>
  </si>
  <si>
    <t>flev, spread</t>
  </si>
  <si>
    <t>Direct Change in Decomposed ROE</t>
  </si>
  <si>
    <t>D35:F35</t>
  </si>
  <si>
    <t>roe_decomp</t>
  </si>
  <si>
    <t>Operating Effect on Change in ROE</t>
  </si>
  <si>
    <t>D36:F36</t>
  </si>
  <si>
    <t>rnoa_change</t>
  </si>
  <si>
    <t>Leverage Effect on Change in ROE</t>
  </si>
  <si>
    <t>D37:F37</t>
  </si>
  <si>
    <t>Spread Effect on Change in ROE</t>
  </si>
  <si>
    <t>D38:F38</t>
  </si>
  <si>
    <t>spread, flev</t>
  </si>
  <si>
    <t>Financing Effect on Change in ROE</t>
  </si>
  <si>
    <t>D39:F39</t>
  </si>
  <si>
    <t>leverage_effect_on_roe_change, spread_effect_on_roe_change</t>
  </si>
  <si>
    <t>Change in ROE from Operating + Financing Drivers</t>
  </si>
  <si>
    <t>D40:F40</t>
  </si>
  <si>
    <t>operating_effect_on_roe_change, financing_effect_on_roe_change</t>
  </si>
  <si>
    <t>Change in Operating Cash Flow</t>
  </si>
  <si>
    <t>operating_cash_flow_link</t>
  </si>
  <si>
    <t>Change in Cash Conversion Ratio</t>
  </si>
  <si>
    <t>cash_conversion_ratio</t>
  </si>
  <si>
    <t>Change in Total Accruals</t>
  </si>
  <si>
    <t>total_accruals</t>
  </si>
  <si>
    <t>Change in Accrual Ratio</t>
  </si>
  <si>
    <t>D18:F18</t>
  </si>
  <si>
    <t>accrual_ratio</t>
  </si>
  <si>
    <t>Company: Demo Holdings Limited (DEMO)</t>
  </si>
  <si>
    <t>Statement: Income Statement</t>
  </si>
  <si>
    <t>Units: HKD in Millions</t>
  </si>
  <si>
    <t>Source: manual ingestion (HK)</t>
  </si>
  <si>
    <t>Line Item</t>
  </si>
  <si>
    <t>Revenue</t>
  </si>
  <si>
    <t>Cost of sales</t>
  </si>
  <si>
    <t>Gross profit</t>
  </si>
  <si>
    <t>Administrative expenses</t>
  </si>
  <si>
    <t>Restructuring expense</t>
  </si>
  <si>
    <t>Operating profit</t>
  </si>
  <si>
    <t>Finance costs</t>
  </si>
  <si>
    <t>Finance income</t>
  </si>
  <si>
    <t>Profit before tax</t>
  </si>
  <si>
    <t>Income tax expense</t>
  </si>
  <si>
    <t>Profit for the year</t>
  </si>
  <si>
    <t>Statement: Balance Sheet</t>
  </si>
  <si>
    <t>Cash and cash equivalents</t>
  </si>
  <si>
    <t>Trade receivables</t>
  </si>
  <si>
    <t>Inventories</t>
  </si>
  <si>
    <t>Property, plant and equipment</t>
  </si>
  <si>
    <t>Goodwill</t>
  </si>
  <si>
    <t>Other non-current assets</t>
  </si>
  <si>
    <t>Total assets</t>
  </si>
  <si>
    <t>Trade payables</t>
  </si>
  <si>
    <t>Bank borrowings</t>
  </si>
  <si>
    <t>Operating lease liabilities</t>
  </si>
  <si>
    <t>Other non-current liabilities</t>
  </si>
  <si>
    <t>Total liabilities</t>
  </si>
  <si>
    <t>Share capital and reserves</t>
  </si>
  <si>
    <t>Total equity</t>
  </si>
  <si>
    <t>Statement: Cash Flow Statement</t>
  </si>
  <si>
    <t>Depreciation and amortisation</t>
  </si>
  <si>
    <t>Net cash from operating activities</t>
  </si>
  <si>
    <t>Net cash used in investing activities</t>
  </si>
  <si>
    <t>Net cash from financing activities</t>
  </si>
  <si>
    <t>Net change in cash and cash equivalents</t>
  </si>
  <si>
    <t>Demo Holdings Limited (DEMO) — Condensed Financials</t>
  </si>
  <si>
    <t>BALANCE SHEET CLASSIFICATION</t>
  </si>
  <si>
    <t>Classification</t>
  </si>
  <si>
    <t>Notes</t>
  </si>
  <si>
    <t>Financial Asset</t>
  </si>
  <si>
    <t>Operating Working Capital Asset</t>
  </si>
  <si>
    <t>Operating Long-Term Asset</t>
  </si>
  <si>
    <t>Operating Working Capital Liability</t>
  </si>
  <si>
    <t>Financial Liability</t>
  </si>
  <si>
    <t>⚠ Review: Lease liability concept — operating vs financial judgment</t>
  </si>
  <si>
    <t>Operating Long-Term Liability</t>
  </si>
  <si>
    <t>Equity</t>
  </si>
  <si>
    <t>CONDENSED INCOME STATEMENT</t>
  </si>
  <si>
    <t>Net Income</t>
  </si>
  <si>
    <t>Pretax Income</t>
  </si>
  <si>
    <t>Tax Expense</t>
  </si>
  <si>
    <t>Interest Expense</t>
  </si>
  <si>
    <t>Interest Income</t>
  </si>
  <si>
    <t>Effective Tax Rate</t>
  </si>
  <si>
    <t>Net Interest</t>
  </si>
  <si>
    <t>Net Interest After Tax</t>
  </si>
  <si>
    <t>CONDENSED BALANCE SHEET</t>
  </si>
  <si>
    <t>Operating Working Capital Assets</t>
  </si>
  <si>
    <t>Operating Working Capital Liabilities</t>
  </si>
  <si>
    <t>NOWC</t>
  </si>
  <si>
    <t>Operating Long-Term Assets</t>
  </si>
  <si>
    <t>Operating Long-Term Liabilities</t>
  </si>
  <si>
    <t>NOLA</t>
  </si>
  <si>
    <t>NOA</t>
  </si>
  <si>
    <t>Financial Assets</t>
  </si>
  <si>
    <t>Financial Liabilities</t>
  </si>
  <si>
    <t>Equity (NOA - Net Debt)</t>
  </si>
  <si>
    <t>Reported Equity</t>
  </si>
  <si>
    <t>Total Capital</t>
  </si>
  <si>
    <t>CHECK</t>
  </si>
  <si>
    <t>Demo Holdings Limited — DuPont Decomposition</t>
  </si>
  <si>
    <t>ROE = RNOA + FLEV × Spread</t>
  </si>
  <si>
    <t>Metric</t>
  </si>
  <si>
    <t>N/A</t>
  </si>
  <si>
    <t>RNOA</t>
  </si>
  <si>
    <t>After-tax CoD</t>
  </si>
  <si>
    <t>Spread</t>
  </si>
  <si>
    <t>FLEV</t>
  </si>
  <si>
    <t>ROE (decomposed)</t>
  </si>
  <si>
    <t>RNOA DRIVER DECOMPOSITION</t>
  </si>
  <si>
    <t>Average NOA</t>
  </si>
  <si>
    <t>NOA Turnover</t>
  </si>
  <si>
    <t>NOA Intensity</t>
  </si>
  <si>
    <t>RNOA DRIVER CHECK</t>
  </si>
  <si>
    <t>RNOA CHANGE ATTRIBUTION</t>
  </si>
  <si>
    <t>Margin Effect on RNOA Change</t>
  </si>
  <si>
    <t>Turnover Effect on RNOA Change</t>
  </si>
  <si>
    <t>RNOA Change from Drivers</t>
  </si>
  <si>
    <t>RNOA CHANGE DRIVER CHECK</t>
  </si>
  <si>
    <t>ROE OPERATING / FINANCING ATTRIBUTION</t>
  </si>
  <si>
    <t>ROE LEVEL ATTRIBUTION CHECK</t>
  </si>
  <si>
    <t>ROE CHANGE ATTRIBUTION</t>
  </si>
  <si>
    <t>Change in ROE from Drivers</t>
  </si>
  <si>
    <t>ROE CHANGE ATTRIBUTION CHECK</t>
  </si>
  <si>
    <t>Accounting Judgment</t>
  </si>
  <si>
    <t>The supplied treatment is the model's reference treatment, not a universal accounting truth. Compare it with the listed alternative(s), choose the treatment you would defend, and explain the economic consequence.</t>
  </si>
  <si>
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</si>
  <si>
    <t>Line item</t>
  </si>
  <si>
    <t>Topic</t>
  </si>
  <si>
    <t>Supplied reference treatment</t>
  </si>
  <si>
    <t>Alternative(s) to evaluate</t>
  </si>
  <si>
    <t>Treatment to defend</t>
  </si>
  <si>
    <t>Rationale</t>
  </si>
  <si>
    <t>Economic consequence</t>
  </si>
  <si>
    <t>Lease liability operating vs financing</t>
  </si>
  <si>
    <t>The reference model keeps the liability in operating long-term liabilities under its current lease convention. Treating it as a financial liability is also defensible when the lease obligation is viewed as debt-like financing.</t>
  </si>
  <si>
    <t>Operating-liability treatment lowers NOLA/NOA; financial-liability treatment raises Net Debt by the same balance. Implied equity is unchanged from this classification switch alone, but RNOA versus FLEV/Spread interpretation changes.</t>
  </si>
  <si>
    <t>Normalization Judgment</t>
  </si>
  <si>
    <t>The supplied treatment is the model's reference convention, not a universal truth. Decide whether each supplied candidate should remain in recurring earnings or be normalized out.</t>
  </si>
  <si>
    <t>Choose the treatment in column F. Blank F uses the supplied reference treatment. G:H are ungraded reasoning. Do not edit the generated Earnings Normalization treatment link directly.</t>
  </si>
  <si>
    <t>Scope</t>
  </si>
  <si>
    <t>Alternative to evaluate</t>
  </si>
  <si>
    <t>operating_pretax_effective_tax</t>
  </si>
  <si>
    <t>Non-recurring</t>
  </si>
  <si>
    <t>Recurring</t>
  </si>
  <si>
    <t>The reference model treats the supplied restructuring charge as non-recurring because the illustrative case identifies it as a discrete restructuring event rather than normal ongoing operations.</t>
  </si>
  <si>
    <t>Non-recurring treatment removes the signed after-tax effect from normalized earnings; recurring treatment leaves reported earnings unchanged.</t>
  </si>
  <si>
    <t>Reported statements stay unchanged. Bridge reported NOPAT / Net Income to normalized earnings using the treatments chosen on Normalization Judgment.</t>
  </si>
  <si>
    <t>Treatment</t>
  </si>
  <si>
    <t>Reported NOPAT</t>
  </si>
  <si>
    <t>Reported Net Income</t>
  </si>
  <si>
    <t>Pretax Normalization Adjustment</t>
  </si>
  <si>
    <t>After-tax Normalization Adjustment</t>
  </si>
  <si>
    <t>NORMALIZATION CHECK</t>
  </si>
  <si>
    <t>Demo Holdings Limited — Earnings Quality</t>
  </si>
  <si>
    <t>Historical cash-conversion and accrual diagnostics. These are mechanical diagnostics, not an automatic quality score.</t>
  </si>
  <si>
    <t>Operating Cash Flow</t>
  </si>
  <si>
    <t>Cash Conversion Ratio</t>
  </si>
  <si>
    <t>Total Accruals (Net Income - CFO)</t>
  </si>
  <si>
    <t>Total Assets</t>
  </si>
  <si>
    <t>Average Total Assets</t>
  </si>
  <si>
    <t>Accrual Ratio</t>
  </si>
  <si>
    <t>EARNINGS QUALITY TREND DIAGNOSTICS</t>
  </si>
  <si>
    <t>EARNINGS QUALITY CHANGE CHECK</t>
  </si>
  <si>
    <t>Relate classified operating working capital to Revenue and identify how much incremental NOWC accompanies changes in sales.</t>
  </si>
  <si>
    <t>These are diagnostics, not automatic judgments. Positive Change in NOWC is an operating cash use; negative Change in NOWC is a release. Annual data alone does not prove seasonality or deterioration.</t>
  </si>
  <si>
    <t>OWCA / Revenue</t>
  </si>
  <si>
    <t>OWCL / Revenue</t>
  </si>
  <si>
    <t>WORKING-CAPITAL DRIVER DECOMPOSITION</t>
  </si>
  <si>
    <t>Change in OWCA</t>
  </si>
  <si>
    <t>Change in OWCL</t>
  </si>
  <si>
    <t>Change in NOWC from Components</t>
  </si>
  <si>
    <t>DRIVER DECOMPOSITION CHECK</t>
  </si>
  <si>
    <t>Deferred from historical-only v1</t>
  </si>
  <si>
    <t>id</t>
  </si>
  <si>
    <t>order</t>
  </si>
  <si>
    <t>title</t>
  </si>
  <si>
    <t>short_hint</t>
  </si>
  <si>
    <t>semantic_key</t>
  </si>
  <si>
    <t>category</t>
  </si>
  <si>
    <t>tab</t>
  </si>
  <si>
    <t>cell</t>
  </si>
  <si>
    <t>formula</t>
  </si>
  <si>
    <t>expected_value</t>
  </si>
  <si>
    <t>tolerance</t>
  </si>
  <si>
    <t>depends_on</t>
  </si>
  <si>
    <t>hints</t>
  </si>
  <si>
    <t>related_cells</t>
  </si>
  <si>
    <t>status</t>
  </si>
  <si>
    <t>family_id</t>
  </si>
  <si>
    <t>family_order</t>
  </si>
  <si>
    <t>period_index</t>
  </si>
  <si>
    <t>period_end</t>
  </si>
  <si>
    <t>revenue_link__20211231</t>
  </si>
  <si>
    <t>Link Revenue from the Income Statement into Condensed Financials.</t>
  </si>
  <si>
    <t>condensed.revenue_link.2021-12-31</t>
  </si>
  <si>
    <t>accounting</t>
  </si>
  <si>
    <t>B19</t>
  </si>
  <si>
    <t>Pull the Revenue line from the Income Statement for the same fiscal period.</t>
  </si>
  <si>
    <t>pending</t>
  </si>
  <si>
    <t>2021-12-31</t>
  </si>
  <si>
    <t>revenue_link__20221231</t>
  </si>
  <si>
    <t>condensed.revenue_link.2022-12-31</t>
  </si>
  <si>
    <t>C19</t>
  </si>
  <si>
    <t>2022-12-31</t>
  </si>
  <si>
    <t>revenue_link__20231231</t>
  </si>
  <si>
    <t>condensed.revenue_link.2023-12-31</t>
  </si>
  <si>
    <t>D19</t>
  </si>
  <si>
    <t>2023-12-31</t>
  </si>
  <si>
    <t>revenue_link__20241231</t>
  </si>
  <si>
    <t>condensed.revenue_link.2024-12-31</t>
  </si>
  <si>
    <t>E19</t>
  </si>
  <si>
    <t>2024-12-31</t>
  </si>
  <si>
    <t>revenue_link__20251231</t>
  </si>
  <si>
    <t>condensed.revenue_link.2025-12-31</t>
  </si>
  <si>
    <t>F19</t>
  </si>
  <si>
    <t>2025-12-31</t>
  </si>
  <si>
    <t>net_income_link__20211231</t>
  </si>
  <si>
    <t>Link Net Income from the Income Statement into Condensed Financials.</t>
  </si>
  <si>
    <t>condensed.net_income_link.2021-12-31</t>
  </si>
  <si>
    <t>B20</t>
  </si>
  <si>
    <t>Pull Net Income from the Income Statement for the same fiscal period.</t>
  </si>
  <si>
    <t>net_income_link</t>
  </si>
  <si>
    <t>net_income_link__20221231</t>
  </si>
  <si>
    <t>condensed.net_income_link.2022-12-31</t>
  </si>
  <si>
    <t>C20</t>
  </si>
  <si>
    <t>net_income_link__20231231</t>
  </si>
  <si>
    <t>condensed.net_income_link.2023-12-31</t>
  </si>
  <si>
    <t>D20</t>
  </si>
  <si>
    <t>net_income_link__20241231</t>
  </si>
  <si>
    <t>condensed.net_income_link.2024-12-31</t>
  </si>
  <si>
    <t>E20</t>
  </si>
  <si>
    <t>net_income_link__20251231</t>
  </si>
  <si>
    <t>condensed.net_income_link.2025-12-31</t>
  </si>
  <si>
    <t>F20</t>
  </si>
  <si>
    <t>effective_tax_rate_fy__20211231</t>
  </si>
  <si>
    <t>Relate tax expense to pretax income using the model's sign convention.</t>
  </si>
  <si>
    <t>condensed.effective_tax_rate.2021-12-31</t>
  </si>
  <si>
    <t>B25</t>
  </si>
  <si>
    <t>Effective tax rate uses pretax income in the denominator.|Preserve the model's sign convention for tax expense.|A zero Pretax Income makes Effective Tax Rate undefined (#N/A).</t>
  </si>
  <si>
    <t>effective_tax_rate_fy</t>
  </si>
  <si>
    <t>effective_tax_rate_fy__20221231</t>
  </si>
  <si>
    <t>condensed.effective_tax_rate.2022-12-31</t>
  </si>
  <si>
    <t>C25</t>
  </si>
  <si>
    <t>effective_tax_rate_fy__20231231</t>
  </si>
  <si>
    <t>condensed.effective_tax_rate.2023-12-31</t>
  </si>
  <si>
    <t>D25</t>
  </si>
  <si>
    <t>effective_tax_rate_fy__20241231</t>
  </si>
  <si>
    <t>condensed.effective_tax_rate.2024-12-31</t>
  </si>
  <si>
    <t>E25</t>
  </si>
  <si>
    <t>effective_tax_rate_fy__20251231</t>
  </si>
  <si>
    <t>condensed.effective_tax_rate.2025-12-31</t>
  </si>
  <si>
    <t>F25</t>
  </si>
  <si>
    <t>net_interest_fy__20211231</t>
  </si>
  <si>
    <t>Combine interest expense and interest income into the financing result.</t>
  </si>
  <si>
    <t>condensed.net_interest.2021-12-31</t>
  </si>
  <si>
    <t>B26</t>
  </si>
  <si>
    <t>Net interest consolidates interest expense and interest income.|Use the explicitly supplied Interest Expense and Interest Income lines with the model's sign convention.</t>
  </si>
  <si>
    <t>net_interest_fy</t>
  </si>
  <si>
    <t>net_interest_fy__20221231</t>
  </si>
  <si>
    <t>condensed.net_interest.2022-12-31</t>
  </si>
  <si>
    <t>C26</t>
  </si>
  <si>
    <t>net_interest_fy__20231231</t>
  </si>
  <si>
    <t>condensed.net_interest.2023-12-31</t>
  </si>
  <si>
    <t>D26</t>
  </si>
  <si>
    <t>net_interest_fy__20241231</t>
  </si>
  <si>
    <t>condensed.net_interest.2024-12-31</t>
  </si>
  <si>
    <t>E26</t>
  </si>
  <si>
    <t>net_interest_fy__20251231</t>
  </si>
  <si>
    <t>condensed.net_interest.2025-12-31</t>
  </si>
  <si>
    <t>F26</t>
  </si>
  <si>
    <t>net_interest_after_tax_fy__20211231</t>
  </si>
  <si>
    <t>Apply the effective tax rate once to net interest.</t>
  </si>
  <si>
    <t>condensed.net_interest_after_tax.2021-12-31</t>
  </si>
  <si>
    <t>B27</t>
  </si>
  <si>
    <t>effective_tax_rate_fy__20211231,net_interest_fy__20211231</t>
  </si>
  <si>
    <t>After-tax net interest = Net Interest × (1 − Effective Tax Rate).|Do not tax-adjust a rate that is already after tax.|A zero Net Interest amount remains zero even if ETR is undefined; otherwise undefined ETR propagates.</t>
  </si>
  <si>
    <t>net_interest_after_tax_fy</t>
  </si>
  <si>
    <t>net_interest_after_tax_fy__20221231</t>
  </si>
  <si>
    <t>condensed.net_interest_after_tax.2022-12-31</t>
  </si>
  <si>
    <t>C27</t>
  </si>
  <si>
    <t>effective_tax_rate_fy__20221231,net_interest_fy__20221231</t>
  </si>
  <si>
    <t>net_interest_after_tax_fy__20231231</t>
  </si>
  <si>
    <t>condensed.net_interest_after_tax.2023-12-31</t>
  </si>
  <si>
    <t>D27</t>
  </si>
  <si>
    <t>effective_tax_rate_fy__20231231,net_interest_fy__20231231</t>
  </si>
  <si>
    <t>net_interest_after_tax_fy__20241231</t>
  </si>
  <si>
    <t>condensed.net_interest_after_tax.2024-12-31</t>
  </si>
  <si>
    <t>E27</t>
  </si>
  <si>
    <t>effective_tax_rate_fy__20241231,net_interest_fy__20241231</t>
  </si>
  <si>
    <t>net_interest_after_tax_fy__20251231</t>
  </si>
  <si>
    <t>condensed.net_interest_after_tax.2025-12-31</t>
  </si>
  <si>
    <t>F27</t>
  </si>
  <si>
    <t>effective_tax_rate_fy__20251231,net_interest_fy__20251231</t>
  </si>
  <si>
    <t>nopat_fy__20211231</t>
  </si>
  <si>
    <t>Reformulate net income to operating profit after tax.</t>
  </si>
  <si>
    <t>condensed.nopat.2021-12-31</t>
  </si>
  <si>
    <t>B28</t>
  </si>
  <si>
    <t>net_income_link__20211231,net_interest_after_tax_fy__20211231</t>
  </si>
  <si>
    <t>Start from Net Income on the Income Statement.|Add back after-tax net interest: Net Interest × (1 − Tax Rate).|NOPAT = Net Income + Net Interest After Tax.|Undefined tax-effected Net Interest propagates to NOPAT.</t>
  </si>
  <si>
    <t>nopat_fy</t>
  </si>
  <si>
    <t>nopat_fy__20221231</t>
  </si>
  <si>
    <t>condensed.nopat.2022-12-31</t>
  </si>
  <si>
    <t>C28</t>
  </si>
  <si>
    <t>net_income_link__20221231,net_interest_after_tax_fy__20221231</t>
  </si>
  <si>
    <t>nopat_fy__20231231</t>
  </si>
  <si>
    <t>condensed.nopat.2023-12-31</t>
  </si>
  <si>
    <t>D28</t>
  </si>
  <si>
    <t>net_income_link__20231231,net_interest_after_tax_fy__20231231</t>
  </si>
  <si>
    <t>nopat_fy__20241231</t>
  </si>
  <si>
    <t>condensed.nopat.2024-12-31</t>
  </si>
  <si>
    <t>E28</t>
  </si>
  <si>
    <t>net_income_link__20241231,net_interest_after_tax_fy__20241231</t>
  </si>
  <si>
    <t>nopat_fy__20251231</t>
  </si>
  <si>
    <t>condensed.nopat.2025-12-31</t>
  </si>
  <si>
    <t>F28</t>
  </si>
  <si>
    <t>net_income_link__20251231,net_interest_after_tax_fy__20251231</t>
  </si>
  <si>
    <t>owca_agg__20211231</t>
  </si>
  <si>
    <t>Aggregate the classified balance-sheet detail with the classification column.</t>
  </si>
  <si>
    <t>condensed.owca.2021-12-31</t>
  </si>
  <si>
    <t>B31</t>
  </si>
  <si>
    <t>Use SUMIF over the classification column for Operating Working Capital Asset.</t>
  </si>
  <si>
    <t>owca_agg__20221231</t>
  </si>
  <si>
    <t>condensed.owca.2022-12-31</t>
  </si>
  <si>
    <t>C31</t>
  </si>
  <si>
    <t>owca_agg__20231231</t>
  </si>
  <si>
    <t>condensed.owca.2023-12-31</t>
  </si>
  <si>
    <t>D31</t>
  </si>
  <si>
    <t>owca_agg__20241231</t>
  </si>
  <si>
    <t>condensed.owca.2024-12-31</t>
  </si>
  <si>
    <t>E31</t>
  </si>
  <si>
    <t>owca_agg__20251231</t>
  </si>
  <si>
    <t>condensed.owca.2025-12-31</t>
  </si>
  <si>
    <t>F31</t>
  </si>
  <si>
    <t>owcl_agg__20211231</t>
  </si>
  <si>
    <t>condensed.owcl.2021-12-31</t>
  </si>
  <si>
    <t>B32</t>
  </si>
  <si>
    <t>Use SUMIF over the classification column for Operating Working Capital Liability.</t>
  </si>
  <si>
    <t>owcl_agg__20221231</t>
  </si>
  <si>
    <t>condensed.owcl.2022-12-31</t>
  </si>
  <si>
    <t>C32</t>
  </si>
  <si>
    <t>owcl_agg__20231231</t>
  </si>
  <si>
    <t>condensed.owcl.2023-12-31</t>
  </si>
  <si>
    <t>D32</t>
  </si>
  <si>
    <t>owcl_agg__20241231</t>
  </si>
  <si>
    <t>condensed.owcl.2024-12-31</t>
  </si>
  <si>
    <t>E32</t>
  </si>
  <si>
    <t>owcl_agg__20251231</t>
  </si>
  <si>
    <t>condensed.owcl.2025-12-31</t>
  </si>
  <si>
    <t>F32</t>
  </si>
  <si>
    <t>nowc_agg__20211231</t>
  </si>
  <si>
    <t>Sum operating WC assets minus operating WC liabilities.</t>
  </si>
  <si>
    <t>condensed.nowc.2021-12-31</t>
  </si>
  <si>
    <t>B33</t>
  </si>
  <si>
    <t>owca_agg__20211231,owcl_agg__20211231</t>
  </si>
  <si>
    <t>Use SUMIF over the classification column for 'Operating Working Capital Asset'.|Subtract SUMIF for 'Operating Working Capital Liability'.|NOWC = Op. WC Assets − Op. WC Liabilities.</t>
  </si>
  <si>
    <t>nowc_agg</t>
  </si>
  <si>
    <t>nowc_agg__20221231</t>
  </si>
  <si>
    <t>condensed.nowc.2022-12-31</t>
  </si>
  <si>
    <t>C33</t>
  </si>
  <si>
    <t>owca_agg__20221231,owcl_agg__20221231</t>
  </si>
  <si>
    <t>nowc_agg__20231231</t>
  </si>
  <si>
    <t>condensed.nowc.2023-12-31</t>
  </si>
  <si>
    <t>D33</t>
  </si>
  <si>
    <t>owca_agg__20231231,owcl_agg__20231231</t>
  </si>
  <si>
    <t>nowc_agg__20241231</t>
  </si>
  <si>
    <t>condensed.nowc.2024-12-31</t>
  </si>
  <si>
    <t>E33</t>
  </si>
  <si>
    <t>owca_agg__20241231,owcl_agg__20241231</t>
  </si>
  <si>
    <t>nowc_agg__20251231</t>
  </si>
  <si>
    <t>condensed.nowc.2025-12-31</t>
  </si>
  <si>
    <t>F33</t>
  </si>
  <si>
    <t>owca_agg__20251231,owcl_agg__20251231</t>
  </si>
  <si>
    <t>olta_agg__20211231</t>
  </si>
  <si>
    <t>condensed.olta.2021-12-31</t>
  </si>
  <si>
    <t>B34</t>
  </si>
  <si>
    <t>Use SUMIF over the classification column for Operating Long-Term Asset.</t>
  </si>
  <si>
    <t>olta_agg</t>
  </si>
  <si>
    <t>olta_agg__20221231</t>
  </si>
  <si>
    <t>condensed.olta.2022-12-31</t>
  </si>
  <si>
    <t>C34</t>
  </si>
  <si>
    <t>olta_agg__20231231</t>
  </si>
  <si>
    <t>condensed.olta.2023-12-31</t>
  </si>
  <si>
    <t>D34</t>
  </si>
  <si>
    <t>olta_agg__20241231</t>
  </si>
  <si>
    <t>condensed.olta.2024-12-31</t>
  </si>
  <si>
    <t>E34</t>
  </si>
  <si>
    <t>olta_agg__20251231</t>
  </si>
  <si>
    <t>condensed.olta.2025-12-31</t>
  </si>
  <si>
    <t>F34</t>
  </si>
  <si>
    <t>oltl_agg__20211231</t>
  </si>
  <si>
    <t>condensed.oltl.2021-12-31</t>
  </si>
  <si>
    <t>B35</t>
  </si>
  <si>
    <t>Use SUMIF over the classification column for Operating Long-Term Liability.</t>
  </si>
  <si>
    <t>oltl_agg</t>
  </si>
  <si>
    <t>oltl_agg__20221231</t>
  </si>
  <si>
    <t>condensed.oltl.2022-12-31</t>
  </si>
  <si>
    <t>C35</t>
  </si>
  <si>
    <t>oltl_agg__20231231</t>
  </si>
  <si>
    <t>condensed.oltl.2023-12-31</t>
  </si>
  <si>
    <t>D35</t>
  </si>
  <si>
    <t>oltl_agg__20241231</t>
  </si>
  <si>
    <t>condensed.oltl.2024-12-31</t>
  </si>
  <si>
    <t>E35</t>
  </si>
  <si>
    <t>oltl_agg__20251231</t>
  </si>
  <si>
    <t>condensed.oltl.2025-12-31</t>
  </si>
  <si>
    <t>F35</t>
  </si>
  <si>
    <t>nola_agg__20211231</t>
  </si>
  <si>
    <t>Operating long-term assets less operating long-term liabilities.</t>
  </si>
  <si>
    <t>condensed.nola.2021-12-31</t>
  </si>
  <si>
    <t>B36</t>
  </si>
  <si>
    <t>olta_agg__20211231,oltl_agg__20211231</t>
  </si>
  <si>
    <t>NOLA = Operating LT Assets − Operating LT Liabilities.</t>
  </si>
  <si>
    <t>nola_agg</t>
  </si>
  <si>
    <t>nola_agg__20221231</t>
  </si>
  <si>
    <t>condensed.nola.2022-12-31</t>
  </si>
  <si>
    <t>C36</t>
  </si>
  <si>
    <t>olta_agg__20221231,oltl_agg__20221231</t>
  </si>
  <si>
    <t>nola_agg__20231231</t>
  </si>
  <si>
    <t>condensed.nola.2023-12-31</t>
  </si>
  <si>
    <t>D36</t>
  </si>
  <si>
    <t>olta_agg__20231231,oltl_agg__20231231</t>
  </si>
  <si>
    <t>nola_agg__20241231</t>
  </si>
  <si>
    <t>condensed.nola.2024-12-31</t>
  </si>
  <si>
    <t>E36</t>
  </si>
  <si>
    <t>olta_agg__20241231,oltl_agg__20241231</t>
  </si>
  <si>
    <t>nola_agg__20251231</t>
  </si>
  <si>
    <t>condensed.nola.2025-12-31</t>
  </si>
  <si>
    <t>F36</t>
  </si>
  <si>
    <t>olta_agg__20251231,oltl_agg__20251231</t>
  </si>
  <si>
    <t>noa_agg__20211231</t>
  </si>
  <si>
    <t>NOWC plus net operating long-term assets.</t>
  </si>
  <si>
    <t>condensed.noa.2021-12-31</t>
  </si>
  <si>
    <t>B37</t>
  </si>
  <si>
    <t>nowc_agg__20211231,nola_agg__20211231</t>
  </si>
  <si>
    <t>Net Operating LT Assets = Op. LT Assets − Op. LT Liabilities (SUMIF).|NOA = NOWC + Net Operating LT Assets.</t>
  </si>
  <si>
    <t>noa_agg__20221231</t>
  </si>
  <si>
    <t>condensed.noa.2022-12-31</t>
  </si>
  <si>
    <t>C37</t>
  </si>
  <si>
    <t>nowc_agg__20221231,nola_agg__20221231</t>
  </si>
  <si>
    <t>noa_agg__20231231</t>
  </si>
  <si>
    <t>condensed.noa.2023-12-31</t>
  </si>
  <si>
    <t>D37</t>
  </si>
  <si>
    <t>nowc_agg__20231231,nola_agg__20231231</t>
  </si>
  <si>
    <t>noa_agg__20241231</t>
  </si>
  <si>
    <t>condensed.noa.2024-12-31</t>
  </si>
  <si>
    <t>E37</t>
  </si>
  <si>
    <t>nowc_agg__20241231,nola_agg__20241231</t>
  </si>
  <si>
    <t>noa_agg__20251231</t>
  </si>
  <si>
    <t>condensed.noa.2025-12-31</t>
  </si>
  <si>
    <t>F37</t>
  </si>
  <si>
    <t>nowc_agg__20251231,nola_agg__20251231</t>
  </si>
  <si>
    <t>financial_assets_agg__20211231</t>
  </si>
  <si>
    <t>condensed.financial_assets.2021-12-31</t>
  </si>
  <si>
    <t>B38</t>
  </si>
  <si>
    <t>Use SUMIF over the classification column for Financial Asset.</t>
  </si>
  <si>
    <t>financial_assets_agg</t>
  </si>
  <si>
    <t>financial_assets_agg__20221231</t>
  </si>
  <si>
    <t>condensed.financial_assets.2022-12-31</t>
  </si>
  <si>
    <t>C38</t>
  </si>
  <si>
    <t>financial_assets_agg__20231231</t>
  </si>
  <si>
    <t>condensed.financial_assets.2023-12-31</t>
  </si>
  <si>
    <t>D38</t>
  </si>
  <si>
    <t>financial_assets_agg__20241231</t>
  </si>
  <si>
    <t>condensed.financial_assets.2024-12-31</t>
  </si>
  <si>
    <t>E38</t>
  </si>
  <si>
    <t>financial_assets_agg__20251231</t>
  </si>
  <si>
    <t>condensed.financial_assets.2025-12-31</t>
  </si>
  <si>
    <t>F38</t>
  </si>
  <si>
    <t>financial_liabilities_agg__20211231</t>
  </si>
  <si>
    <t>condensed.financial_liabilities.2021-12-31</t>
  </si>
  <si>
    <t>B39</t>
  </si>
  <si>
    <t>Use SUMIF over the classification column for Financial Liability.</t>
  </si>
  <si>
    <t>financial_liabilities_agg</t>
  </si>
  <si>
    <t>financial_liabilities_agg__20221231</t>
  </si>
  <si>
    <t>condensed.financial_liabilities.2022-12-31</t>
  </si>
  <si>
    <t>C39</t>
  </si>
  <si>
    <t>financial_liabilities_agg__20231231</t>
  </si>
  <si>
    <t>condensed.financial_liabilities.2023-12-31</t>
  </si>
  <si>
    <t>D39</t>
  </si>
  <si>
    <t>financial_liabilities_agg__20241231</t>
  </si>
  <si>
    <t>condensed.financial_liabilities.2024-12-31</t>
  </si>
  <si>
    <t>E39</t>
  </si>
  <si>
    <t>financial_liabilities_agg__20251231</t>
  </si>
  <si>
    <t>condensed.financial_liabilities.2025-12-31</t>
  </si>
  <si>
    <t>F39</t>
  </si>
  <si>
    <t>net_debt__20211231</t>
  </si>
  <si>
    <t>Financial liabilities minus financial assets.</t>
  </si>
  <si>
    <t>condensed.net_debt.2021-12-31</t>
  </si>
  <si>
    <t>B40</t>
  </si>
  <si>
    <t>financial_assets_agg__20211231,financial_liabilities_agg__20211231</t>
  </si>
  <si>
    <t>Net Debt = SUMIF(Financial Liability) − SUMIF(Financial Asset).|Positive net debt means the firm carries net financial obligations.</t>
  </si>
  <si>
    <t>net_debt</t>
  </si>
  <si>
    <t>net_debt__20221231</t>
  </si>
  <si>
    <t>condensed.net_debt.2022-12-31</t>
  </si>
  <si>
    <t>C40</t>
  </si>
  <si>
    <t>financial_assets_agg__20221231,financial_liabilities_agg__20221231</t>
  </si>
  <si>
    <t>net_debt__20231231</t>
  </si>
  <si>
    <t>condensed.net_debt.2023-12-31</t>
  </si>
  <si>
    <t>D40</t>
  </si>
  <si>
    <t>financial_assets_agg__20231231,financial_liabilities_agg__20231231</t>
  </si>
  <si>
    <t>net_debt__20241231</t>
  </si>
  <si>
    <t>condensed.net_debt.2024-12-31</t>
  </si>
  <si>
    <t>E40</t>
  </si>
  <si>
    <t>financial_assets_agg__20241231,financial_liabilities_agg__20241231</t>
  </si>
  <si>
    <t>net_debt__20251231</t>
  </si>
  <si>
    <t>condensed.net_debt.2025-12-31</t>
  </si>
  <si>
    <t>F40</t>
  </si>
  <si>
    <t>financial_assets_agg__20251231,financial_liabilities_agg__20251231</t>
  </si>
  <si>
    <t>equity_reformulated_fy__20211231</t>
  </si>
  <si>
    <t>Use the operating/financing identity linking NOA, Net Debt, and Equity.</t>
  </si>
  <si>
    <t>condensed.equity.2021-12-31</t>
  </si>
  <si>
    <t>B41</t>
  </si>
  <si>
    <t>noa_agg__20211231,net_debt__20211231</t>
  </si>
  <si>
    <t>Reformulated Equity = NOA − Net Debt.|This identity must reconcile to reported equity within tolerance.</t>
  </si>
  <si>
    <t>equity_reformulated_fy</t>
  </si>
  <si>
    <t>equity_reformulated_fy__20221231</t>
  </si>
  <si>
    <t>condensed.equity.2022-12-31</t>
  </si>
  <si>
    <t>C41</t>
  </si>
  <si>
    <t>noa_agg__20221231,net_debt__20221231</t>
  </si>
  <si>
    <t>equity_reformulated_fy__20231231</t>
  </si>
  <si>
    <t>condensed.equity.2023-12-31</t>
  </si>
  <si>
    <t>D41</t>
  </si>
  <si>
    <t>noa_agg__20231231,net_debt__20231231</t>
  </si>
  <si>
    <t>equity_reformulated_fy__20241231</t>
  </si>
  <si>
    <t>condensed.equity.2024-12-31</t>
  </si>
  <si>
    <t>E41</t>
  </si>
  <si>
    <t>noa_agg__20241231,net_debt__20241231</t>
  </si>
  <si>
    <t>equity_reformulated_fy__20251231</t>
  </si>
  <si>
    <t>condensed.equity.2025-12-31</t>
  </si>
  <si>
    <t>F41</t>
  </si>
  <si>
    <t>noa_agg__20251231,net_debt__20251231</t>
  </si>
  <si>
    <t>sales_growth__20221231</t>
  </si>
  <si>
    <t>Current Revenue relative to the immediately preceding fiscal year.</t>
  </si>
  <si>
    <t>dupont.sales_growth.2022-12-31</t>
  </si>
  <si>
    <t>dupont</t>
  </si>
  <si>
    <t>C5</t>
  </si>
  <si>
    <t>revenue_link__20221231,revenue_link__20211231</t>
  </si>
  <si>
    <t>Sales Growth = Current Revenue / Prior Revenue − 1.|A zero denominator makes this ratio undefined (#N/A), not 0%.</t>
  </si>
  <si>
    <t>sales_growth</t>
  </si>
  <si>
    <t>sales_growth__20231231</t>
  </si>
  <si>
    <t>dupont.sales_growth.2023-12-31</t>
  </si>
  <si>
    <t>D5</t>
  </si>
  <si>
    <t>revenue_link__20231231,revenue_link__20221231</t>
  </si>
  <si>
    <t>sales_growth__20241231</t>
  </si>
  <si>
    <t>dupont.sales_growth.2024-12-31</t>
  </si>
  <si>
    <t>E5</t>
  </si>
  <si>
    <t>revenue_link__20241231,revenue_link__20231231</t>
  </si>
  <si>
    <t>sales_growth__20251231</t>
  </si>
  <si>
    <t>dupont.sales_growth.2025-12-31</t>
  </si>
  <si>
    <t>F5</t>
  </si>
  <si>
    <t>revenue_link__20251231,revenue_link__20241231</t>
  </si>
  <si>
    <t>nopat_margin__20211231</t>
  </si>
  <si>
    <t>NOPAT divided by Revenue for the same fiscal period.</t>
  </si>
  <si>
    <t>dupont.nopat_margin.2021-12-31</t>
  </si>
  <si>
    <t>B6</t>
  </si>
  <si>
    <t>nopat_fy__20211231,revenue_link__20211231</t>
  </si>
  <si>
    <t>NOPAT Margin = NOPAT / Revenue.|A zero denominator makes this ratio undefined (#N/A), not 0%.</t>
  </si>
  <si>
    <t>nopat_margin__20221231</t>
  </si>
  <si>
    <t>dupont.nopat_margin.2022-12-31</t>
  </si>
  <si>
    <t>C6</t>
  </si>
  <si>
    <t>nopat_fy__20221231,revenue_link__20221231</t>
  </si>
  <si>
    <t>nopat_margin__20231231</t>
  </si>
  <si>
    <t>dupont.nopat_margin.2023-12-31</t>
  </si>
  <si>
    <t>D6</t>
  </si>
  <si>
    <t>nopat_fy__20231231,revenue_link__20231231</t>
  </si>
  <si>
    <t>nopat_margin__20241231</t>
  </si>
  <si>
    <t>dupont.nopat_margin.2024-12-31</t>
  </si>
  <si>
    <t>E6</t>
  </si>
  <si>
    <t>nopat_fy__20241231,revenue_link__20241231</t>
  </si>
  <si>
    <t>nopat_margin__20251231</t>
  </si>
  <si>
    <t>dupont.nopat_margin.2025-12-31</t>
  </si>
  <si>
    <t>F6</t>
  </si>
  <si>
    <t>nopat_fy__20251231,revenue_link__20251231</t>
  </si>
  <si>
    <t>rnoa__20221231</t>
  </si>
  <si>
    <t>NOPAT divided by average NOA.</t>
  </si>
  <si>
    <t>dupont.rnoa.2022-12-31</t>
  </si>
  <si>
    <t>C7</t>
  </si>
  <si>
    <t>nopat_fy__20221231,noa_agg__20221231,noa_agg__20211231</t>
  </si>
  <si>
    <t>RNOA = NOPAT / Average NOA.|Average NOA = (Beginning NOA + Ending NOA) / 2.|A zero denominator makes this ratio undefined (#N/A), not 0%.</t>
  </si>
  <si>
    <t>rnoa__20231231</t>
  </si>
  <si>
    <t>dupont.rnoa.2023-12-31</t>
  </si>
  <si>
    <t>D7</t>
  </si>
  <si>
    <t>nopat_fy__20231231,noa_agg__20231231,noa_agg__20221231</t>
  </si>
  <si>
    <t>rnoa__20241231</t>
  </si>
  <si>
    <t>dupont.rnoa.2024-12-31</t>
  </si>
  <si>
    <t>E7</t>
  </si>
  <si>
    <t>nopat_fy__20241231,noa_agg__20241231,noa_agg__20231231</t>
  </si>
  <si>
    <t>rnoa__20251231</t>
  </si>
  <si>
    <t>dupont.rnoa.2025-12-31</t>
  </si>
  <si>
    <t>F7</t>
  </si>
  <si>
    <t>nopat_fy__20251231,noa_agg__20251231,noa_agg__20241231</t>
  </si>
  <si>
    <t>after_tax_cod__20221231</t>
  </si>
  <si>
    <t>Relate net interest after tax to average net debt.</t>
  </si>
  <si>
    <t>dupont.after_tax_cod.2022-12-31</t>
  </si>
  <si>
    <t>C8</t>
  </si>
  <si>
    <t>net_interest_after_tax_fy__20221231,net_debt__20221231,net_debt__20211231</t>
  </si>
  <si>
    <t>After-tax CoD = Net Interest After Tax / Average Net Debt.|Do not apply the tax rate a second time.|A zero denominator makes this ratio undefined (#N/A), not 0%.</t>
  </si>
  <si>
    <t>after_tax_cod</t>
  </si>
  <si>
    <t>after_tax_cod__20231231</t>
  </si>
  <si>
    <t>dupont.after_tax_cod.2023-12-31</t>
  </si>
  <si>
    <t>D8</t>
  </si>
  <si>
    <t>net_interest_after_tax_fy__20231231,net_debt__20231231,net_debt__20221231</t>
  </si>
  <si>
    <t>after_tax_cod__20241231</t>
  </si>
  <si>
    <t>dupont.after_tax_cod.2024-12-31</t>
  </si>
  <si>
    <t>E8</t>
  </si>
  <si>
    <t>net_interest_after_tax_fy__20241231,net_debt__20241231,net_debt__20231231</t>
  </si>
  <si>
    <t>after_tax_cod__20251231</t>
  </si>
  <si>
    <t>dupont.after_tax_cod.2025-12-31</t>
  </si>
  <si>
    <t>F8</t>
  </si>
  <si>
    <t>net_interest_after_tax_fy__20251231,net_debt__20251231,net_debt__20241231</t>
  </si>
  <si>
    <t>spread__20221231</t>
  </si>
  <si>
    <t>Operating return minus after-tax cost of debt.</t>
  </si>
  <si>
    <t>dupont.spread.2022-12-31</t>
  </si>
  <si>
    <t>C9</t>
  </si>
  <si>
    <t>rnoa__20221231,after_tax_cod__20221231</t>
  </si>
  <si>
    <t>After-tax CoD = Net Interest After Tax / Average Net Debt.|Spread = RNOA − After-tax CoD.|An undefined required upstream ratio propagates into Spread.</t>
  </si>
  <si>
    <t>spread</t>
  </si>
  <si>
    <t>spread__20231231</t>
  </si>
  <si>
    <t>dupont.spread.2023-12-31</t>
  </si>
  <si>
    <t>D9</t>
  </si>
  <si>
    <t>rnoa__20231231,after_tax_cod__20231231</t>
  </si>
  <si>
    <t>spread__20241231</t>
  </si>
  <si>
    <t>dupont.spread.2024-12-31</t>
  </si>
  <si>
    <t>E9</t>
  </si>
  <si>
    <t>rnoa__20241231,after_tax_cod__20241231</t>
  </si>
  <si>
    <t>spread__20251231</t>
  </si>
  <si>
    <t>dupont.spread.2025-12-31</t>
  </si>
  <si>
    <t>F9</t>
  </si>
  <si>
    <t>rnoa__20251231,after_tax_cod__20251231</t>
  </si>
  <si>
    <t>flev__20221231</t>
  </si>
  <si>
    <t>Relate average net debt to average reformulated equity.</t>
  </si>
  <si>
    <t>dupont.flev.2022-12-31</t>
  </si>
  <si>
    <t>C10</t>
  </si>
  <si>
    <t>net_debt__20221231,equity_reformulated_fy__20221231,net_debt__20211231,equity_reformulated_fy__20211231</t>
  </si>
  <si>
    <t>FLEV = Average Net Debt / Average Equity.|A zero denominator makes this ratio undefined (#N/A), not 0%.</t>
  </si>
  <si>
    <t>flev</t>
  </si>
  <si>
    <t>flev__20231231</t>
  </si>
  <si>
    <t>dupont.flev.2023-12-31</t>
  </si>
  <si>
    <t>D10</t>
  </si>
  <si>
    <t>net_debt__20231231,equity_reformulated_fy__20231231,net_debt__20221231,equity_reformulated_fy__20221231</t>
  </si>
  <si>
    <t>flev__20241231</t>
  </si>
  <si>
    <t>dupont.flev.2024-12-31</t>
  </si>
  <si>
    <t>E10</t>
  </si>
  <si>
    <t>net_debt__20241231,equity_reformulated_fy__20241231,net_debt__20231231,equity_reformulated_fy__20231231</t>
  </si>
  <si>
    <t>flev__20251231</t>
  </si>
  <si>
    <t>dupont.flev.2025-12-31</t>
  </si>
  <si>
    <t>F10</t>
  </si>
  <si>
    <t>net_debt__20251231,equity_reformulated_fy__20251231,net_debt__20241231,equity_reformulated_fy__20241231</t>
  </si>
  <si>
    <t>roe_decomp__20221231</t>
  </si>
  <si>
    <t>ROE = RNOA + FLEV × Spread.</t>
  </si>
  <si>
    <t>dupont.roe_decomposed.2022-12-31</t>
  </si>
  <si>
    <t>C11</t>
  </si>
  <si>
    <t>rnoa__20221231,spread__20221231,flev__20221231</t>
  </si>
  <si>
    <t>Financial leverage (FLEV) = Average Net Debt / Average Equity.|ROE (decomposed) = RNOA + FLEV × (RNOA − After-tax CoD).|An undefined required upstream ratio propagates into decomposed ROE.</t>
  </si>
  <si>
    <t>roe_decomp__20231231</t>
  </si>
  <si>
    <t>dupont.roe_decomposed.2023-12-31</t>
  </si>
  <si>
    <t>D11</t>
  </si>
  <si>
    <t>rnoa__20231231,spread__20231231,flev__20231231</t>
  </si>
  <si>
    <t>roe_decomp__20241231</t>
  </si>
  <si>
    <t>dupont.roe_decomposed.2024-12-31</t>
  </si>
  <si>
    <t>E11</t>
  </si>
  <si>
    <t>rnoa__20241231,spread__20241231,flev__20241231</t>
  </si>
  <si>
    <t>roe_decomp__20251231</t>
  </si>
  <si>
    <t>dupont.roe_decomposed.2025-12-31</t>
  </si>
  <si>
    <t>F11</t>
  </si>
  <si>
    <t>rnoa__20251231,spread__20251231,flev__20251231</t>
  </si>
  <si>
    <t>actual_roe__20221231</t>
  </si>
  <si>
    <t>Relate net income to average reformulated equity.</t>
  </si>
  <si>
    <t>dupont.actual_roe.2022-12-31</t>
  </si>
  <si>
    <t>C12</t>
  </si>
  <si>
    <t>net_income_link__20221231,equity_reformulated_fy__20221231,equity_reformulated_fy__20211231</t>
  </si>
  <si>
    <t>Actual ROE = Net Income / Average Equity.|A zero denominator makes this ratio undefined (#N/A), not 0%.</t>
  </si>
  <si>
    <t>actual_roe</t>
  </si>
  <si>
    <t>actual_roe__20231231</t>
  </si>
  <si>
    <t>dupont.actual_roe.2023-12-31</t>
  </si>
  <si>
    <t>D12</t>
  </si>
  <si>
    <t>net_income_link__20231231,equity_reformulated_fy__20231231,equity_reformulated_fy__20221231</t>
  </si>
  <si>
    <t>actual_roe__20241231</t>
  </si>
  <si>
    <t>dupont.actual_roe.2024-12-31</t>
  </si>
  <si>
    <t>E12</t>
  </si>
  <si>
    <t>net_income_link__20241231,equity_reformulated_fy__20241231,equity_reformulated_fy__20231231</t>
  </si>
  <si>
    <t>actual_roe__20251231</t>
  </si>
  <si>
    <t>dupont.actual_roe.2025-12-31</t>
  </si>
  <si>
    <t>F12</t>
  </si>
  <si>
    <t>net_income_link__20251231,equity_reformulated_fy__20251231,equity_reformulated_fy__20241231</t>
  </si>
  <si>
    <t>pretax_normalization_adjustment__20211231</t>
  </si>
  <si>
    <t>Sum the signed pretax add-back for items marked Non-recurring on the Earnings Normalization detail block.</t>
  </si>
  <si>
    <t>normalization.pretax_adjustment.2021-12-31</t>
  </si>
  <si>
    <t>normalization</t>
  </si>
  <si>
    <t>Use SUMIF on the detail treatment column for Non-recurring items, then negate the sum so expense add-backs are positive.</t>
  </si>
  <si>
    <t>pretax_normalization_adjustment__20221231</t>
  </si>
  <si>
    <t>normalization.pretax_adjustment.2022-12-31</t>
  </si>
  <si>
    <t>pretax_normalization_adjustment__20231231</t>
  </si>
  <si>
    <t>normalization.pretax_adjustment.2023-12-31</t>
  </si>
  <si>
    <t>pretax_normalization_adjustment__20241231</t>
  </si>
  <si>
    <t>normalization.pretax_adjustment.2024-12-31</t>
  </si>
  <si>
    <t>pretax_normalization_adjustment__20251231</t>
  </si>
  <si>
    <t>normalization.pretax_adjustment.2025-12-31</t>
  </si>
  <si>
    <t>G9</t>
  </si>
  <si>
    <t>after_tax_normalization_adjustment__20211231</t>
  </si>
  <si>
    <t>Apply the period effective tax rate to the pretax normalization adjustment.</t>
  </si>
  <si>
    <t>normalization.after_tax_adjustment.2021-12-31</t>
  </si>
  <si>
    <t>After-tax adjustment = pretax adjustment × (1 − effective tax rate).</t>
  </si>
  <si>
    <t>after_tax_normalization_adjustment__20221231</t>
  </si>
  <si>
    <t>normalization.after_tax_adjustment.2022-12-31</t>
  </si>
  <si>
    <t>after_tax_normalization_adjustment__20231231</t>
  </si>
  <si>
    <t>normalization.after_tax_adjustment.2023-12-31</t>
  </si>
  <si>
    <t>after_tax_normalization_adjustment__20241231</t>
  </si>
  <si>
    <t>normalization.after_tax_adjustment.2024-12-31</t>
  </si>
  <si>
    <t>after_tax_normalization_adjustment__20251231</t>
  </si>
  <si>
    <t>normalization.after_tax_adjustment.2025-12-31</t>
  </si>
  <si>
    <t>G11</t>
  </si>
  <si>
    <t>normalized_nopat__20211231</t>
  </si>
  <si>
    <t>Add the after-tax normalization adjustment to reported NOPAT.</t>
  </si>
  <si>
    <t>normalization.normalized_nopat.2021-12-31</t>
  </si>
  <si>
    <t>Normalized NOPAT = Reported NOPAT + after-tax normalization adjustment.</t>
  </si>
  <si>
    <t>normalized_nopat</t>
  </si>
  <si>
    <t>normalized_nopat__20221231</t>
  </si>
  <si>
    <t>normalization.normalized_nopat.2022-12-31</t>
  </si>
  <si>
    <t>normalized_nopat__20231231</t>
  </si>
  <si>
    <t>normalization.normalized_nopat.2023-12-31</t>
  </si>
  <si>
    <t>normalized_nopat__20241231</t>
  </si>
  <si>
    <t>normalization.normalized_nopat.2024-12-31</t>
  </si>
  <si>
    <t>normalized_nopat__20251231</t>
  </si>
  <si>
    <t>normalization.normalized_nopat.2025-12-31</t>
  </si>
  <si>
    <t>G12</t>
  </si>
  <si>
    <t>normalized_net_income__20211231</t>
  </si>
  <si>
    <t>Add the after-tax normalization adjustment to reported Net Income.</t>
  </si>
  <si>
    <t>normalization.normalized_net_income.2021-12-31</t>
  </si>
  <si>
    <t>C13</t>
  </si>
  <si>
    <t>Normalized Net Income = Reported Net Income + after-tax normalization adjustment.</t>
  </si>
  <si>
    <t>normalized_net_income</t>
  </si>
  <si>
    <t>normalized_net_income__20221231</t>
  </si>
  <si>
    <t>normalization.normalized_net_income.2022-12-31</t>
  </si>
  <si>
    <t>D13</t>
  </si>
  <si>
    <t>normalized_net_income__20231231</t>
  </si>
  <si>
    <t>normalization.normalized_net_income.2023-12-31</t>
  </si>
  <si>
    <t>E13</t>
  </si>
  <si>
    <t>normalized_net_income__20241231</t>
  </si>
  <si>
    <t>normalization.normalized_net_income.2024-12-31</t>
  </si>
  <si>
    <t>F13</t>
  </si>
  <si>
    <t>normalized_net_income__20251231</t>
  </si>
  <si>
    <t>normalization.normalized_net_income.2025-12-31</t>
  </si>
  <si>
    <t>G13</t>
  </si>
  <si>
    <t>operating_cash_flow_link__20211231</t>
  </si>
  <si>
    <t>Link net cash from operating activities for the same fiscal period.</t>
  </si>
  <si>
    <t>quality.operating_cash_flow.2021-12-31</t>
  </si>
  <si>
    <t>earnings_quality</t>
  </si>
  <si>
    <t>B5</t>
  </si>
  <si>
    <t>Pull final net cash from operating activities for the same period.</t>
  </si>
  <si>
    <t>operating_cash_flow_link__20221231</t>
  </si>
  <si>
    <t>quality.operating_cash_flow.2022-12-31</t>
  </si>
  <si>
    <t>operating_cash_flow_link__20231231</t>
  </si>
  <si>
    <t>quality.operating_cash_flow.2023-12-31</t>
  </si>
  <si>
    <t>operating_cash_flow_link__20241231</t>
  </si>
  <si>
    <t>quality.operating_cash_flow.2024-12-31</t>
  </si>
  <si>
    <t>operating_cash_flow_link__20251231</t>
  </si>
  <si>
    <t>quality.operating_cash_flow.2025-12-31</t>
  </si>
  <si>
    <t>cash_conversion_ratio__20211231</t>
  </si>
  <si>
    <t>Compare operating cash flow with reported Net Income.</t>
  </si>
  <si>
    <t>quality.cash_conversion_ratio.2021-12-31</t>
  </si>
  <si>
    <t>B7</t>
  </si>
  <si>
    <t>operating_cash_flow_link__20211231,net_income_link__20211231</t>
  </si>
  <si>
    <t>Cash conversion = CFO / Reported Net Income.</t>
  </si>
  <si>
    <t>cash_conversion_ratio__20221231</t>
  </si>
  <si>
    <t>quality.cash_conversion_ratio.2022-12-31</t>
  </si>
  <si>
    <t>operating_cash_flow_link__20221231,net_income_link__20221231</t>
  </si>
  <si>
    <t>cash_conversion_ratio__20231231</t>
  </si>
  <si>
    <t>quality.cash_conversion_ratio.2023-12-31</t>
  </si>
  <si>
    <t>operating_cash_flow_link__20231231,net_income_link__20231231</t>
  </si>
  <si>
    <t>cash_conversion_ratio__20241231</t>
  </si>
  <si>
    <t>quality.cash_conversion_ratio.2024-12-31</t>
  </si>
  <si>
    <t>operating_cash_flow_link__20241231,net_income_link__20241231</t>
  </si>
  <si>
    <t>cash_conversion_ratio__20251231</t>
  </si>
  <si>
    <t>quality.cash_conversion_ratio.2025-12-31</t>
  </si>
  <si>
    <t>operating_cash_flow_link__20251231,net_income_link__20251231</t>
  </si>
  <si>
    <t>total_accruals__20211231</t>
  </si>
  <si>
    <t>Reported Net Income minus operating cash flow.</t>
  </si>
  <si>
    <t>quality.total_accruals.2021-12-31</t>
  </si>
  <si>
    <t>B8</t>
  </si>
  <si>
    <t>Total accruals = Reported Net Income − CFO.</t>
  </si>
  <si>
    <t>total_accruals__20221231</t>
  </si>
  <si>
    <t>quality.total_accruals.2022-12-31</t>
  </si>
  <si>
    <t>total_accruals__20231231</t>
  </si>
  <si>
    <t>quality.total_accruals.2023-12-31</t>
  </si>
  <si>
    <t>total_accruals__20241231</t>
  </si>
  <si>
    <t>quality.total_accruals.2024-12-31</t>
  </si>
  <si>
    <t>total_accruals__20251231</t>
  </si>
  <si>
    <t>quality.total_accruals.2025-12-31</t>
  </si>
  <si>
    <t>average_total_assets__20221231</t>
  </si>
  <si>
    <t>Average beginning and ending reported total assets.</t>
  </si>
  <si>
    <t>quality.average_total_assets.2022-12-31</t>
  </si>
  <si>
    <t>Average Total Assets = (Beginning Total Assets + Ending Total Assets) / 2.</t>
  </si>
  <si>
    <t>average_total_assets</t>
  </si>
  <si>
    <t>average_total_assets__20231231</t>
  </si>
  <si>
    <t>quality.average_total_assets.2023-12-31</t>
  </si>
  <si>
    <t>average_total_assets__20241231</t>
  </si>
  <si>
    <t>quality.average_total_assets.2024-12-31</t>
  </si>
  <si>
    <t>average_total_assets__20251231</t>
  </si>
  <si>
    <t>quality.average_total_assets.2025-12-31</t>
  </si>
  <si>
    <t>accrual_ratio__20221231</t>
  </si>
  <si>
    <t>Scale total accruals by average total assets.</t>
  </si>
  <si>
    <t>quality.accrual_ratio.2022-12-31</t>
  </si>
  <si>
    <t>total_accruals__20221231,average_total_assets__20221231</t>
  </si>
  <si>
    <t>Accrual ratio = Total Accruals / Average Total Assets.</t>
  </si>
  <si>
    <t>accrual_ratio__20231231</t>
  </si>
  <si>
    <t>quality.accrual_ratio.2023-12-31</t>
  </si>
  <si>
    <t>total_accruals__20231231,average_total_assets__20231231</t>
  </si>
  <si>
    <t>accrual_ratio__20241231</t>
  </si>
  <si>
    <t>quality.accrual_ratio.2024-12-31</t>
  </si>
  <si>
    <t>total_accruals__20241231,average_total_assets__20241231</t>
  </si>
  <si>
    <t>accrual_ratio__20251231</t>
  </si>
  <si>
    <t>quality.accrual_ratio.2025-12-31</t>
  </si>
  <si>
    <t>total_accruals__20251231,average_total_assets__20251231</t>
  </si>
  <si>
    <t>owca_to_revenue__20211231</t>
  </si>
  <si>
    <t>OWCA divided by Revenue for the same fiscal period.</t>
  </si>
  <si>
    <t>working_capital.owca_to_revenue.2021-12-31</t>
  </si>
  <si>
    <t>working_capital</t>
  </si>
  <si>
    <t>B11</t>
  </si>
  <si>
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</si>
  <si>
    <t>owca_to_revenue</t>
  </si>
  <si>
    <t>owca_to_revenue__20221231</t>
  </si>
  <si>
    <t>working_capital.owca_to_revenue.2022-12-31</t>
  </si>
  <si>
    <t>owca_to_revenue__20231231</t>
  </si>
  <si>
    <t>working_capital.owca_to_revenue.2023-12-31</t>
  </si>
  <si>
    <t>owca_to_revenue__20241231</t>
  </si>
  <si>
    <t>working_capital.owca_to_revenue.2024-12-31</t>
  </si>
  <si>
    <t>owca_to_revenue__20251231</t>
  </si>
  <si>
    <t>working_capital.owca_to_revenue.2025-12-31</t>
  </si>
  <si>
    <t>owcl_to_revenue__20211231</t>
  </si>
  <si>
    <t>OWCL divided by Revenue for the same fiscal period.</t>
  </si>
  <si>
    <t>working_capital.owcl_to_revenue.2021-12-31</t>
  </si>
  <si>
    <t>B12</t>
  </si>
  <si>
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</si>
  <si>
    <t>owcl_to_revenue</t>
  </si>
  <si>
    <t>owcl_to_revenue__20221231</t>
  </si>
  <si>
    <t>working_capital.owcl_to_revenue.2022-12-31</t>
  </si>
  <si>
    <t>owcl_to_revenue__20231231</t>
  </si>
  <si>
    <t>working_capital.owcl_to_revenue.2023-12-31</t>
  </si>
  <si>
    <t>owcl_to_revenue__20241231</t>
  </si>
  <si>
    <t>working_capital.owcl_to_revenue.2024-12-31</t>
  </si>
  <si>
    <t>owcl_to_revenue__20251231</t>
  </si>
  <si>
    <t>working_capital.owcl_to_revenue.2025-12-31</t>
  </si>
  <si>
    <t>nowc_to_revenue__20211231</t>
  </si>
  <si>
    <t>NOWC divided by Revenue for the same fiscal period.</t>
  </si>
  <si>
    <t>working_capital.nowc_to_revenue.2021-12-31</t>
  </si>
  <si>
    <t>B13</t>
  </si>
  <si>
    <t>NOWC / Revenue measures net operating working capital tied up per sales dollar.|NOWC = OWCA - OWCL.|Rising intensity means more net working capital is tied up per sales dollar, but the cause must be diagnosed rather than labeled automatically.</t>
  </si>
  <si>
    <t>nowc_to_revenue</t>
  </si>
  <si>
    <t>nowc_to_revenue__20221231</t>
  </si>
  <si>
    <t>working_capital.nowc_to_revenue.2022-12-31</t>
  </si>
  <si>
    <t>nowc_to_revenue__20231231</t>
  </si>
  <si>
    <t>working_capital.nowc_to_revenue.2023-12-31</t>
  </si>
  <si>
    <t>nowc_to_revenue__20241231</t>
  </si>
  <si>
    <t>working_capital.nowc_to_revenue.2024-12-31</t>
  </si>
  <si>
    <t>nowc_to_revenue__20251231</t>
  </si>
  <si>
    <t>working_capital.nowc_to_revenue.2025-12-31</t>
  </si>
  <si>
    <t>revenue_change__20221231</t>
  </si>
  <si>
    <t>Absolute year-on-year change in Revenue.</t>
  </si>
  <si>
    <t>working_capital.revenue_change.2022-12-31</t>
  </si>
  <si>
    <t>C14</t>
  </si>
  <si>
    <t>Use the absolute year-on-year change in Revenue, not the percentage growth rate.</t>
  </si>
  <si>
    <t>revenue_change</t>
  </si>
  <si>
    <t>revenue_change__20231231</t>
  </si>
  <si>
    <t>working_capital.revenue_change.2023-12-31</t>
  </si>
  <si>
    <t>D14</t>
  </si>
  <si>
    <t>revenue_change__20241231</t>
  </si>
  <si>
    <t>working_capital.revenue_change.2024-12-31</t>
  </si>
  <si>
    <t>E14</t>
  </si>
  <si>
    <t>revenue_change__20251231</t>
  </si>
  <si>
    <t>working_capital.revenue_change.2025-12-31</t>
  </si>
  <si>
    <t>F14</t>
  </si>
  <si>
    <t>nowc_change__20221231</t>
  </si>
  <si>
    <t>Absolute year-on-year change in NOWC.</t>
  </si>
  <si>
    <t>working_capital.nowc_change.2022-12-31</t>
  </si>
  <si>
    <t>C15</t>
  </si>
  <si>
    <t>Positive Change in NOWC means additional operating working capital is tied up; negative Change in NOWC means a release.|Do not call the movement good or bad without examining why it occurred.</t>
  </si>
  <si>
    <t>nowc_change</t>
  </si>
  <si>
    <t>nowc_change__20231231</t>
  </si>
  <si>
    <t>working_capital.nowc_change.2023-12-31</t>
  </si>
  <si>
    <t>D15</t>
  </si>
  <si>
    <t>nowc_change__20241231</t>
  </si>
  <si>
    <t>working_capital.nowc_change.2024-12-31</t>
  </si>
  <si>
    <t>E15</t>
  </si>
  <si>
    <t>nowc_change__20251231</t>
  </si>
  <si>
    <t>working_capital.nowc_change.2025-12-31</t>
  </si>
  <si>
    <t>F15</t>
  </si>
  <si>
    <t>incremental_nowc_to_revenue_change__20221231</t>
  </si>
  <si>
    <t>Change in NOWC divided by Change in Revenue.</t>
  </si>
  <si>
    <t>working_capital.incremental_nowc_to_revenue_change.2022-12-31</t>
  </si>
  <si>
    <t>C16</t>
  </si>
  <si>
    <t>nowc_change__20221231,revenue_change__20221231</t>
  </si>
  <si>
    <t>This ratio measures incremental working-capital investment per unit of incremental sales.|A zero Change in Revenue denominator makes the ratio undefined (#N/A).|Negative or unusually large values are diagnostic signals, not automatic quality labels.</t>
  </si>
  <si>
    <t>incremental_nowc_to_revenue_change</t>
  </si>
  <si>
    <t>incremental_nowc_to_revenue_change__20231231</t>
  </si>
  <si>
    <t>working_capital.incremental_nowc_to_revenue_change.2023-12-31</t>
  </si>
  <si>
    <t>D16</t>
  </si>
  <si>
    <t>nowc_change__20231231,revenue_change__20231231</t>
  </si>
  <si>
    <t>incremental_nowc_to_revenue_change__20241231</t>
  </si>
  <si>
    <t>working_capital.incremental_nowc_to_revenue_change.2024-12-31</t>
  </si>
  <si>
    <t>E16</t>
  </si>
  <si>
    <t>nowc_change__20241231,revenue_change__20241231</t>
  </si>
  <si>
    <t>incremental_nowc_to_revenue_change__20251231</t>
  </si>
  <si>
    <t>working_capital.incremental_nowc_to_revenue_change.2025-12-31</t>
  </si>
  <si>
    <t>F16</t>
  </si>
  <si>
    <t>nowc_change__20251231,revenue_change__20251231</t>
  </si>
  <si>
    <t>owca_change__20221231</t>
  </si>
  <si>
    <t>Absolute year-on-year change in OWCA.</t>
  </si>
  <si>
    <t>working_capital.owca_change.2022-12-31</t>
  </si>
  <si>
    <t>owca_agg__20221231,owca_agg__20211231</t>
  </si>
  <si>
    <t>Change in OWCA = Current OWCA - Prior OWCA.|A positive change is additional operating-current-asset investment; a negative change is a release.|Do not infer the underlying receivables/inventory cause from this aggregate alone.</t>
  </si>
  <si>
    <t>owca_change</t>
  </si>
  <si>
    <t>owca_change__20231231</t>
  </si>
  <si>
    <t>working_capital.owca_change.2023-12-31</t>
  </si>
  <si>
    <t>owca_agg__20231231,owca_agg__20221231</t>
  </si>
  <si>
    <t>owca_change__20241231</t>
  </si>
  <si>
    <t>working_capital.owca_change.2024-12-31</t>
  </si>
  <si>
    <t>owca_agg__20241231,owca_agg__20231231</t>
  </si>
  <si>
    <t>owca_change__20251231</t>
  </si>
  <si>
    <t>working_capital.owca_change.2025-12-31</t>
  </si>
  <si>
    <t>owca_agg__20251231,owca_agg__20241231</t>
  </si>
  <si>
    <t>owcl_change__20221231</t>
  </si>
  <si>
    <t>Absolute year-on-year change in OWCL.</t>
  </si>
  <si>
    <t>working_capital.owcl_change.2022-12-31</t>
  </si>
  <si>
    <t>owcl_agg__20221231,owcl_agg__20211231</t>
  </si>
  <si>
    <t>Change in OWCL = Current OWCL - Prior OWCL.|A positive change supplies additional operating-liability financing; a negative change reduces that financing.|Do not infer payment quality or supplier pressure from this aggregate alone.</t>
  </si>
  <si>
    <t>owcl_change</t>
  </si>
  <si>
    <t>owcl_change__20231231</t>
  </si>
  <si>
    <t>working_capital.owcl_change.2023-12-31</t>
  </si>
  <si>
    <t>owcl_agg__20231231,owcl_agg__20221231</t>
  </si>
  <si>
    <t>owcl_change__20241231</t>
  </si>
  <si>
    <t>working_capital.owcl_change.2024-12-31</t>
  </si>
  <si>
    <t>owcl_agg__20241231,owcl_agg__20231231</t>
  </si>
  <si>
    <t>owcl_change__20251231</t>
  </si>
  <si>
    <t>working_capital.owcl_change.2025-12-31</t>
  </si>
  <si>
    <t>owcl_agg__20251231,owcl_agg__20241231</t>
  </si>
  <si>
    <t>nowc_change_from_components__20221231</t>
  </si>
  <si>
    <t>Change in OWCA minus Change in OWCL.</t>
  </si>
  <si>
    <t>working_capital.nowc_change_from_components.2022-12-31</t>
  </si>
  <si>
    <t>C21</t>
  </si>
  <si>
    <t>owca_change__20221231,owcl_change__20221231</t>
  </si>
  <si>
    <t>Because NOWC = OWCA - OWCL, Change in NOWC = Change in OWCA - Change in OWCL.|Use this bridge to separate asset investment from operating-liability financing.|The bridge must reconcile to the direct Change in NOWC row.</t>
  </si>
  <si>
    <t>nowc_change_from_components</t>
  </si>
  <si>
    <t>nowc_change_from_components__20231231</t>
  </si>
  <si>
    <t>working_capital.nowc_change_from_components.2023-12-31</t>
  </si>
  <si>
    <t>D21</t>
  </si>
  <si>
    <t>owca_change__20231231,owcl_change__20231231</t>
  </si>
  <si>
    <t>nowc_change_from_components__20241231</t>
  </si>
  <si>
    <t>working_capital.nowc_change_from_components.2024-12-31</t>
  </si>
  <si>
    <t>E21</t>
  </si>
  <si>
    <t>owca_change__20241231,owcl_change__20241231</t>
  </si>
  <si>
    <t>nowc_change_from_components__20251231</t>
  </si>
  <si>
    <t>working_capital.nowc_change_from_components.2025-12-31</t>
  </si>
  <si>
    <t>F21</t>
  </si>
  <si>
    <t>owca_change__20251231,owcl_change__20251231</t>
  </si>
  <si>
    <t>incremental_owca_to_revenue_change__20221231</t>
  </si>
  <si>
    <t>Change in OWCA divided by Change in Revenue.</t>
  </si>
  <si>
    <t>working_capital.incremental_owca_to_revenue_change.2022-12-31</t>
  </si>
  <si>
    <t>C22</t>
  </si>
  <si>
    <t>owca_change__20221231,revenue_change__20221231</t>
  </si>
  <si>
    <t>This ratio measures incremental operating-current-asset investment per unit of incremental sales.|A zero Change in Revenue denominator makes the ratio undefined (#N/A).|Keep the signed denominator when Revenue falls; do not convert it to an absolute value.</t>
  </si>
  <si>
    <t>incremental_owca_to_revenue_change</t>
  </si>
  <si>
    <t>incremental_owca_to_revenue_change__20231231</t>
  </si>
  <si>
    <t>working_capital.incremental_owca_to_revenue_change.2023-12-31</t>
  </si>
  <si>
    <t>D22</t>
  </si>
  <si>
    <t>owca_change__20231231,revenue_change__20231231</t>
  </si>
  <si>
    <t>incremental_owca_to_revenue_change__20241231</t>
  </si>
  <si>
    <t>working_capital.incremental_owca_to_revenue_change.2024-12-31</t>
  </si>
  <si>
    <t>E22</t>
  </si>
  <si>
    <t>owca_change__20241231,revenue_change__20241231</t>
  </si>
  <si>
    <t>incremental_owca_to_revenue_change__20251231</t>
  </si>
  <si>
    <t>working_capital.incremental_owca_to_revenue_change.2025-12-31</t>
  </si>
  <si>
    <t>F22</t>
  </si>
  <si>
    <t>owca_change__20251231,revenue_change__20251231</t>
  </si>
  <si>
    <t>incremental_owcl_to_revenue_change__20221231</t>
  </si>
  <si>
    <t>Change in OWCL divided by Change in Revenue.</t>
  </si>
  <si>
    <t>working_capital.incremental_owcl_to_revenue_change.2022-12-31</t>
  </si>
  <si>
    <t>C23</t>
  </si>
  <si>
    <t>owcl_change__20221231,revenue_change__20221231</t>
  </si>
  <si>
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</si>
  <si>
    <t>incremental_owcl_to_revenue_change</t>
  </si>
  <si>
    <t>incremental_owcl_to_revenue_change__20231231</t>
  </si>
  <si>
    <t>working_capital.incremental_owcl_to_revenue_change.2023-12-31</t>
  </si>
  <si>
    <t>D23</t>
  </si>
  <si>
    <t>owcl_change__20231231,revenue_change__20231231</t>
  </si>
  <si>
    <t>incremental_owcl_to_revenue_change__20241231</t>
  </si>
  <si>
    <t>working_capital.incremental_owcl_to_revenue_change.2024-12-31</t>
  </si>
  <si>
    <t>E23</t>
  </si>
  <si>
    <t>owcl_change__20241231,revenue_change__20241231</t>
  </si>
  <si>
    <t>incremental_owcl_to_revenue_change__20251231</t>
  </si>
  <si>
    <t>working_capital.incremental_owcl_to_revenue_change.2025-12-31</t>
  </si>
  <si>
    <t>F23</t>
  </si>
  <si>
    <t>owcl_change__20251231,revenue_change__20251231</t>
  </si>
  <si>
    <t>average_noa__20221231</t>
  </si>
  <si>
    <t>Average beginning and ending NOA for the comparable period.</t>
  </si>
  <si>
    <t>profitability.average_noa.2022-12-31</t>
  </si>
  <si>
    <t>profitability_driver</t>
  </si>
  <si>
    <t>noa_agg__20221231,noa_agg__20211231</t>
  </si>
  <si>
    <t>Average NOA = (Beginning NOA + Ending NOA) / 2.|Use the same Average NOA denominator as direct RNOA.</t>
  </si>
  <si>
    <t>average_noa</t>
  </si>
  <si>
    <t>average_noa__20231231</t>
  </si>
  <si>
    <t>profitability.average_noa.2023-12-31</t>
  </si>
  <si>
    <t>noa_agg__20231231,noa_agg__20221231</t>
  </si>
  <si>
    <t>average_noa__20241231</t>
  </si>
  <si>
    <t>profitability.average_noa.2024-12-31</t>
  </si>
  <si>
    <t>noa_agg__20241231,noa_agg__20231231</t>
  </si>
  <si>
    <t>average_noa__20251231</t>
  </si>
  <si>
    <t>profitability.average_noa.2025-12-31</t>
  </si>
  <si>
    <t>noa_agg__20251231,noa_agg__20241231</t>
  </si>
  <si>
    <t>noa_turnover__20221231</t>
  </si>
  <si>
    <t>Revenue divided by Average NOA.</t>
  </si>
  <si>
    <t>profitability.noa_turnover.2022-12-31</t>
  </si>
  <si>
    <t>revenue_link__20221231,average_noa__20221231</t>
  </si>
  <si>
    <t>NOA Turnover = Revenue / Average NOA.|Higher turnover means more Revenue is generated per unit of net operating assets, but the cause requires separate analysis.|A zero Average NOA denominator makes the ratio undefined (#N/A).</t>
  </si>
  <si>
    <t>noa_turnover__20231231</t>
  </si>
  <si>
    <t>profitability.noa_turnover.2023-12-31</t>
  </si>
  <si>
    <t>revenue_link__20231231,average_noa__20231231</t>
  </si>
  <si>
    <t>noa_turnover__20241231</t>
  </si>
  <si>
    <t>profitability.noa_turnover.2024-12-31</t>
  </si>
  <si>
    <t>revenue_link__20241231,average_noa__20241231</t>
  </si>
  <si>
    <t>noa_turnover__20251231</t>
  </si>
  <si>
    <t>profitability.noa_turnover.2025-12-31</t>
  </si>
  <si>
    <t>revenue_link__20251231,average_noa__20251231</t>
  </si>
  <si>
    <t>noa_intensity__20221231</t>
  </si>
  <si>
    <t>Average NOA divided by Revenue.</t>
  </si>
  <si>
    <t>profitability.noa_intensity.2022-12-31</t>
  </si>
  <si>
    <t>C17</t>
  </si>
  <si>
    <t>average_noa__20221231,revenue_link__20221231</t>
  </si>
  <si>
    <t>NOA Intensity = Average NOA / Revenue.|It expresses how much net operating asset investment supports each unit of Revenue.|A zero Revenue denominator makes the ratio undefined (#N/A).</t>
  </si>
  <si>
    <t>noa_intensity</t>
  </si>
  <si>
    <t>noa_intensity__20231231</t>
  </si>
  <si>
    <t>profitability.noa_intensity.2023-12-31</t>
  </si>
  <si>
    <t>D17</t>
  </si>
  <si>
    <t>average_noa__20231231,revenue_link__20231231</t>
  </si>
  <si>
    <t>noa_intensity__20241231</t>
  </si>
  <si>
    <t>profitability.noa_intensity.2024-12-31</t>
  </si>
  <si>
    <t>E17</t>
  </si>
  <si>
    <t>average_noa__20241231,revenue_link__20241231</t>
  </si>
  <si>
    <t>noa_intensity__20251231</t>
  </si>
  <si>
    <t>profitability.noa_intensity.2025-12-31</t>
  </si>
  <si>
    <t>F17</t>
  </si>
  <si>
    <t>average_noa__20251231,revenue_link__20251231</t>
  </si>
  <si>
    <t>rnoa_margin_turnover__20221231</t>
  </si>
  <si>
    <t>NOPAT Margin multiplied by NOA Turnover.</t>
  </si>
  <si>
    <t>profitability.rnoa_margin_turnover.2022-12-31</t>
  </si>
  <si>
    <t>C18</t>
  </si>
  <si>
    <t>nopat_margin__20221231,noa_turnover__20221231</t>
  </si>
  <si>
    <t>RNOA = NOPAT Margin × NOA Turnover when both terms are defined.|This separates operating profitability per sales dollar from operating-asset efficiency.|If either required driver is undefined, the decomposition is also undefined (#N/A).</t>
  </si>
  <si>
    <t>rnoa_margin_turnover</t>
  </si>
  <si>
    <t>rnoa_margin_turnover__20231231</t>
  </si>
  <si>
    <t>profitability.rnoa_margin_turnover.2023-12-31</t>
  </si>
  <si>
    <t>D18</t>
  </si>
  <si>
    <t>nopat_margin__20231231,noa_turnover__20231231</t>
  </si>
  <si>
    <t>rnoa_margin_turnover__20241231</t>
  </si>
  <si>
    <t>profitability.rnoa_margin_turnover.2024-12-31</t>
  </si>
  <si>
    <t>E18</t>
  </si>
  <si>
    <t>nopat_margin__20241231,noa_turnover__20241231</t>
  </si>
  <si>
    <t>rnoa_margin_turnover__20251231</t>
  </si>
  <si>
    <t>profitability.rnoa_margin_turnover.2025-12-31</t>
  </si>
  <si>
    <t>F18</t>
  </si>
  <si>
    <t>nopat_margin__20251231,noa_turnover__20251231</t>
  </si>
  <si>
    <t>nopat_margin_change__20231231</t>
  </si>
  <si>
    <t>Current NOPAT Margin minus prior comparable NOPAT Margin.</t>
  </si>
  <si>
    <t>profitability_change.nopat_margin_change.2023-12-31</t>
  </si>
  <si>
    <t>profitability_change</t>
  </si>
  <si>
    <t>nopat_margin__20231231,nopat_margin__20221231</t>
  </si>
  <si>
    <t>Change in NOPAT Margin = Current Margin - Prior Margin.|This is an arithmetic movement, not a causal explanation of pricing or costs.</t>
  </si>
  <si>
    <t>nopat_margin_change</t>
  </si>
  <si>
    <t>nopat_margin_change__20241231</t>
  </si>
  <si>
    <t>profitability_change.nopat_margin_change.2024-12-31</t>
  </si>
  <si>
    <t>nopat_margin__20241231,nopat_margin__20231231</t>
  </si>
  <si>
    <t>nopat_margin_change__20251231</t>
  </si>
  <si>
    <t>profitability_change.nopat_margin_change.2025-12-31</t>
  </si>
  <si>
    <t>nopat_margin__20251231,nopat_margin__20241231</t>
  </si>
  <si>
    <t>noa_turnover_change__20231231</t>
  </si>
  <si>
    <t>Current NOA Turnover minus prior comparable NOA Turnover.</t>
  </si>
  <si>
    <t>profitability_change.noa_turnover_change.2023-12-31</t>
  </si>
  <si>
    <t>noa_turnover__20231231,noa_turnover__20221231</t>
  </si>
  <si>
    <t>Change in NOA Turnover = Current Turnover - Prior Turnover.|A lower turnover is mechanically consistent with greater NOA intensity when the reciprocal is defined, but the business cause requires separate analysis.</t>
  </si>
  <si>
    <t>noa_turnover_change</t>
  </si>
  <si>
    <t>noa_turnover_change__20241231</t>
  </si>
  <si>
    <t>profitability_change.noa_turnover_change.2024-12-31</t>
  </si>
  <si>
    <t>noa_turnover__20241231,noa_turnover__20231231</t>
  </si>
  <si>
    <t>noa_turnover_change__20251231</t>
  </si>
  <si>
    <t>profitability_change.noa_turnover_change.2025-12-31</t>
  </si>
  <si>
    <t>noa_turnover__20251231,noa_turnover__20241231</t>
  </si>
  <si>
    <t>rnoa_change__20231231</t>
  </si>
  <si>
    <t>Current direct RNOA minus prior comparable direct RNOA.</t>
  </si>
  <si>
    <t>profitability_change.rnoa_change.2023-12-31</t>
  </si>
  <si>
    <t>D24</t>
  </si>
  <si>
    <t>rnoa__20231231,rnoa__20221231</t>
  </si>
  <si>
    <t>Direct Change in RNOA = Current RNOA - Prior RNOA.</t>
  </si>
  <si>
    <t>rnoa_change__20241231</t>
  </si>
  <si>
    <t>profitability_change.rnoa_change.2024-12-31</t>
  </si>
  <si>
    <t>E24</t>
  </si>
  <si>
    <t>rnoa__20241231,rnoa__20231231</t>
  </si>
  <si>
    <t>rnoa_change__20251231</t>
  </si>
  <si>
    <t>profitability_change.rnoa_change.2025-12-31</t>
  </si>
  <si>
    <t>F24</t>
  </si>
  <si>
    <t>rnoa__20251231,rnoa__20241231</t>
  </si>
  <si>
    <t>rnoa_margin_effect__20231231</t>
  </si>
  <si>
    <t>Change in Margin multiplied by midpoint NOA Turnover.</t>
  </si>
  <si>
    <t>profitability_change.rnoa_margin_effect.2023-12-31</t>
  </si>
  <si>
    <t>nopat_margin_change__20231231,noa_turnover__20231231,noa_turnover__20221231</t>
  </si>
  <si>
    <t>Margin Effect = Change in Margin × average of current and prior NOA Turnover.|Midpoint weighting gives an exact order-neutral product-change attribution.</t>
  </si>
  <si>
    <t>rnoa_margin_effect</t>
  </si>
  <si>
    <t>rnoa_margin_effect__20241231</t>
  </si>
  <si>
    <t>profitability_change.rnoa_margin_effect.2024-12-31</t>
  </si>
  <si>
    <t>nopat_margin_change__20241231,noa_turnover__20241231,noa_turnover__20231231</t>
  </si>
  <si>
    <t>rnoa_margin_effect__20251231</t>
  </si>
  <si>
    <t>profitability_change.rnoa_margin_effect.2025-12-31</t>
  </si>
  <si>
    <t>nopat_margin_change__20251231,noa_turnover__20251231,noa_turnover__20241231</t>
  </si>
  <si>
    <t>rnoa_turnover_effect__20231231</t>
  </si>
  <si>
    <t>Change in NOA Turnover multiplied by midpoint NOPAT Margin.</t>
  </si>
  <si>
    <t>profitability_change.rnoa_turnover_effect.2023-12-31</t>
  </si>
  <si>
    <t>noa_turnover_change__20231231,nopat_margin__20231231,nopat_margin__20221231</t>
  </si>
  <si>
    <t>Turnover Effect = Change in NOA Turnover × average of current and prior NOPAT Margin.|Do not reinterpret this aggregate effect as a specific asset-management cause without further evidence.</t>
  </si>
  <si>
    <t>rnoa_turnover_effect</t>
  </si>
  <si>
    <t>rnoa_turnover_effect__20241231</t>
  </si>
  <si>
    <t>profitability_change.rnoa_turnover_effect.2024-12-31</t>
  </si>
  <si>
    <t>noa_turnover_change__20241231,nopat_margin__20241231,nopat_margin__20231231</t>
  </si>
  <si>
    <t>rnoa_turnover_effect__20251231</t>
  </si>
  <si>
    <t>profitability_change.rnoa_turnover_effect.2025-12-31</t>
  </si>
  <si>
    <t>noa_turnover_change__20251231,nopat_margin__20251231,nopat_margin__20241231</t>
  </si>
  <si>
    <t>rnoa_change_from_drivers__20231231</t>
  </si>
  <si>
    <t>Margin Effect plus Turnover Effect.</t>
  </si>
  <si>
    <t>profitability_change.rnoa_change_from_drivers.2023-12-31</t>
  </si>
  <si>
    <t>rnoa_margin_effect__20231231,rnoa_turnover_effect__20231231</t>
  </si>
  <si>
    <t>Driver Change in RNOA = Margin Effect + Turnover Effect.|When both driver periods are defined, this must reconcile to Direct Change in RNOA.</t>
  </si>
  <si>
    <t>rnoa_change_from_drivers</t>
  </si>
  <si>
    <t>rnoa_change_from_drivers__20241231</t>
  </si>
  <si>
    <t>profitability_change.rnoa_change_from_drivers.2024-12-31</t>
  </si>
  <si>
    <t>rnoa_margin_effect__20241231,rnoa_turnover_effect__20241231</t>
  </si>
  <si>
    <t>rnoa_change_from_drivers__20251231</t>
  </si>
  <si>
    <t>profitability_change.rnoa_change_from_drivers.2025-12-31</t>
  </si>
  <si>
    <t>rnoa_margin_effect__20251231,rnoa_turnover_effect__20251231</t>
  </si>
  <si>
    <t>financing_contribution_to_roe__20221231</t>
  </si>
  <si>
    <t>FLEV multiplied by Spread.</t>
  </si>
  <si>
    <t>roe_attribution.financing_contribution.2022-12-31</t>
  </si>
  <si>
    <t>roe_attribution</t>
  </si>
  <si>
    <t>flev__20221231,spread__20221231</t>
  </si>
  <si>
    <t>Financing Contribution to ROE = FLEV × Spread.|A positive contribution raises decomposed ROE above RNOA; a negative contribution lowers it.|Do not call the contribution good or bad without understanding leverage and financing economics.</t>
  </si>
  <si>
    <t>financing_contribution_to_roe</t>
  </si>
  <si>
    <t>financing_contribution_to_roe__20231231</t>
  </si>
  <si>
    <t>roe_attribution.financing_contribution.2023-12-31</t>
  </si>
  <si>
    <t>flev__20231231,spread__20231231</t>
  </si>
  <si>
    <t>financing_contribution_to_roe__20241231</t>
  </si>
  <si>
    <t>roe_attribution.financing_contribution.2024-12-31</t>
  </si>
  <si>
    <t>flev__20241231,spread__20241231</t>
  </si>
  <si>
    <t>financing_contribution_to_roe__20251231</t>
  </si>
  <si>
    <t>roe_attribution.financing_contribution.2025-12-31</t>
  </si>
  <si>
    <t>flev__20251231,spread__20251231</t>
  </si>
  <si>
    <t>roe_change__20231231</t>
  </si>
  <si>
    <t>Current decomposed ROE minus prior decomposed ROE.</t>
  </si>
  <si>
    <t>roe_attribution.roe_change.2023-12-31</t>
  </si>
  <si>
    <t>roe_decomp__20231231,roe_decomp__20221231</t>
  </si>
  <si>
    <t>Direct Change in ROE = Current decomposed ROE - Prior decomposed ROE.</t>
  </si>
  <si>
    <t>roe_change</t>
  </si>
  <si>
    <t>roe_change__20241231</t>
  </si>
  <si>
    <t>roe_attribution.roe_change.2024-12-31</t>
  </si>
  <si>
    <t>roe_decomp__20241231,roe_decomp__20231231</t>
  </si>
  <si>
    <t>roe_change__20251231</t>
  </si>
  <si>
    <t>roe_attribution.roe_change.2025-12-31</t>
  </si>
  <si>
    <t>roe_decomp__20251231,roe_decomp__20241231</t>
  </si>
  <si>
    <t>operating_effect_on_roe_change__20231231</t>
  </si>
  <si>
    <t>The direct Change in RNOA from the prior diagnostic section.</t>
  </si>
  <si>
    <t>roe_attribution.operating_effect.2023-12-31</t>
  </si>
  <si>
    <t>Operating Effect on Change in ROE = Change in RNOA.|Use the existing direct RNOA-change result; do not reassign financing effects into the operating term.</t>
  </si>
  <si>
    <t>operating_effect_on_roe_change</t>
  </si>
  <si>
    <t>operating_effect_on_roe_change__20241231</t>
  </si>
  <si>
    <t>roe_attribution.operating_effect.2024-12-31</t>
  </si>
  <si>
    <t>operating_effect_on_roe_change__20251231</t>
  </si>
  <si>
    <t>roe_attribution.operating_effect.2025-12-31</t>
  </si>
  <si>
    <t>leverage_effect_on_roe_change__20231231</t>
  </si>
  <si>
    <t>Change in FLEV multiplied by midpoint Spread.</t>
  </si>
  <si>
    <t>roe_attribution.leverage_effect.2023-12-31</t>
  </si>
  <si>
    <t>flev__20231231,spread__20231231,flev__20221231,spread__20221231</t>
  </si>
  <si>
    <t>Leverage Effect = Change in FLEV × average of current and prior Spread.|Midpoint weighting gives an exact order-neutral attribution of the financing product change.</t>
  </si>
  <si>
    <t>leverage_effect_on_roe_change</t>
  </si>
  <si>
    <t>leverage_effect_on_roe_change__20241231</t>
  </si>
  <si>
    <t>roe_attribution.leverage_effect.2024-12-31</t>
  </si>
  <si>
    <t>flev__20241231,spread__20241231,flev__20231231,spread__20231231</t>
  </si>
  <si>
    <t>leverage_effect_on_roe_change__20251231</t>
  </si>
  <si>
    <t>roe_attribution.leverage_effect.2025-12-31</t>
  </si>
  <si>
    <t>flev__20251231,spread__20251231,flev__20241231,spread__20241231</t>
  </si>
  <si>
    <t>spread_effect_on_roe_change__20231231</t>
  </si>
  <si>
    <t>Change in Spread multiplied by midpoint FLEV.</t>
  </si>
  <si>
    <t>roe_attribution.spread_effect.2023-12-31</t>
  </si>
  <si>
    <t>spread__20231231,flev__20231231,spread__20221231,flev__20221231</t>
  </si>
  <si>
    <t>Spread Effect = Change in Spread × average of current and prior FLEV.|Do not interpret Spread movement as a specific financing-policy cause without additional evidence.</t>
  </si>
  <si>
    <t>spread_effect_on_roe_change</t>
  </si>
  <si>
    <t>spread_effect_on_roe_change__20241231</t>
  </si>
  <si>
    <t>roe_attribution.spread_effect.2024-12-31</t>
  </si>
  <si>
    <t>spread__20241231,flev__20241231,spread__20231231,flev__20231231</t>
  </si>
  <si>
    <t>spread_effect_on_roe_change__20251231</t>
  </si>
  <si>
    <t>roe_attribution.spread_effect.2025-12-31</t>
  </si>
  <si>
    <t>spread__20251231,flev__20251231,spread__20241231,flev__20241231</t>
  </si>
  <si>
    <t>financing_effect_on_roe_change__20231231</t>
  </si>
  <si>
    <t>Leverage Effect plus Spread Effect.</t>
  </si>
  <si>
    <t>roe_attribution.financing_effect.2023-12-31</t>
  </si>
  <si>
    <t>leverage_effect_on_roe_change__20231231,spread_effect_on_roe_change__20231231</t>
  </si>
  <si>
    <t>Financing Effect = Leverage Effect + Spread Effect.|This equals the change in FLEV × Spread when all required inputs are defined.</t>
  </si>
  <si>
    <t>financing_effect_on_roe_change</t>
  </si>
  <si>
    <t>financing_effect_on_roe_change__20241231</t>
  </si>
  <si>
    <t>roe_attribution.financing_effect.2024-12-31</t>
  </si>
  <si>
    <t>leverage_effect_on_roe_change__20241231,spread_effect_on_roe_change__20241231</t>
  </si>
  <si>
    <t>financing_effect_on_roe_change__20251231</t>
  </si>
  <si>
    <t>roe_attribution.financing_effect.2025-12-31</t>
  </si>
  <si>
    <t>leverage_effect_on_roe_change__20251231,spread_effect_on_roe_change__20251231</t>
  </si>
  <si>
    <t>roe_change_from_drivers__20231231</t>
  </si>
  <si>
    <t>Operating Effect plus Financing Effect.</t>
  </si>
  <si>
    <t>roe_attribution.roe_change_from_drivers.2023-12-31</t>
  </si>
  <si>
    <t>operating_effect_on_roe_change__20231231,financing_effect_on_roe_change__20231231</t>
  </si>
  <si>
    <t>Change in ROE from Drivers = Operating Effect + Financing Effect.|When all required terms are defined, this must reconcile to Direct Change in Decomposed ROE.</t>
  </si>
  <si>
    <t>roe_change_from_drivers</t>
  </si>
  <si>
    <t>roe_change_from_drivers__20241231</t>
  </si>
  <si>
    <t>roe_attribution.roe_change_from_drivers.2024-12-31</t>
  </si>
  <si>
    <t>operating_effect_on_roe_change__20241231,financing_effect_on_roe_change__20241231</t>
  </si>
  <si>
    <t>roe_change_from_drivers__20251231</t>
  </si>
  <si>
    <t>roe_attribution.roe_change_from_drivers.2025-12-31</t>
  </si>
  <si>
    <t>operating_effect_on_roe_change__20251231,financing_effect_on_roe_change__20251231</t>
  </si>
  <si>
    <t>operating_cash_flow_change__20221231</t>
  </si>
  <si>
    <t>Current CFO minus prior CFO.</t>
  </si>
  <si>
    <t>quality_change.operating_cash_flow_change.2022-12-31</t>
  </si>
  <si>
    <t>earnings_quality_change</t>
  </si>
  <si>
    <t>operating_cash_flow_link__20221231,operating_cash_flow_link__20211231</t>
  </si>
  <si>
    <t>Change in CFO = Current Operating Cash Flow - Prior Operating Cash Flow.|A positive or negative movement is mechanical evidence only; interpret it alongside profitability and business conditions.</t>
  </si>
  <si>
    <t>operating_cash_flow_change</t>
  </si>
  <si>
    <t>operating_cash_flow_change__20231231</t>
  </si>
  <si>
    <t>quality_change.operating_cash_flow_change.2023-12-31</t>
  </si>
  <si>
    <t>operating_cash_flow_link__20231231,operating_cash_flow_link__20221231</t>
  </si>
  <si>
    <t>operating_cash_flow_change__20241231</t>
  </si>
  <si>
    <t>quality_change.operating_cash_flow_change.2024-12-31</t>
  </si>
  <si>
    <t>operating_cash_flow_link__20241231,operating_cash_flow_link__20231231</t>
  </si>
  <si>
    <t>operating_cash_flow_change__20251231</t>
  </si>
  <si>
    <t>quality_change.operating_cash_flow_change.2025-12-31</t>
  </si>
  <si>
    <t>operating_cash_flow_link__20251231,operating_cash_flow_link__20241231</t>
  </si>
  <si>
    <t>cash_conversion_ratio_change__20221231</t>
  </si>
  <si>
    <t>Current cash conversion ratio minus prior ratio.</t>
  </si>
  <si>
    <t>quality_change.cash_conversion_ratio_change.2022-12-31</t>
  </si>
  <si>
    <t>cash_conversion_ratio__20221231,cash_conversion_ratio__20211231</t>
  </si>
  <si>
    <t>Change in Cash Conversion Ratio = Current CFO/Net Income ratio - Prior ratio.|If either period's ratio is undefined, the change is also undefined (#N/A).|Do not automatically label a higher ratio as better quality without investigating why it changed.</t>
  </si>
  <si>
    <t>cash_conversion_ratio_change</t>
  </si>
  <si>
    <t>cash_conversion_ratio_change__20231231</t>
  </si>
  <si>
    <t>quality_change.cash_conversion_ratio_change.2023-12-31</t>
  </si>
  <si>
    <t>cash_conversion_ratio__20231231,cash_conversion_ratio__20221231</t>
  </si>
  <si>
    <t>cash_conversion_ratio_change__20241231</t>
  </si>
  <si>
    <t>quality_change.cash_conversion_ratio_change.2024-12-31</t>
  </si>
  <si>
    <t>cash_conversion_ratio__20241231,cash_conversion_ratio__20231231</t>
  </si>
  <si>
    <t>cash_conversion_ratio_change__20251231</t>
  </si>
  <si>
    <t>quality_change.cash_conversion_ratio_change.2025-12-31</t>
  </si>
  <si>
    <t>cash_conversion_ratio__20251231,cash_conversion_ratio__20241231</t>
  </si>
  <si>
    <t>total_accruals_change__20221231</t>
  </si>
  <si>
    <t>Current Total Accruals minus prior Total Accruals.</t>
  </si>
  <si>
    <t>quality_change.total_accruals_change.2022-12-31</t>
  </si>
  <si>
    <t>total_accruals__20221231,total_accruals__20211231</t>
  </si>
  <si>
    <t>Change in Total Accruals = Current (Net Income - CFO) - Prior (Net Income - CFO).|Retain the sign; do not convert accrual movements to absolute values.|The direction alone is not an automatic earnings-quality verdict.</t>
  </si>
  <si>
    <t>total_accruals_change</t>
  </si>
  <si>
    <t>total_accruals_change__20231231</t>
  </si>
  <si>
    <t>quality_change.total_accruals_change.2023-12-31</t>
  </si>
  <si>
    <t>total_accruals__20231231,total_accruals__20221231</t>
  </si>
  <si>
    <t>total_accruals_change__20241231</t>
  </si>
  <si>
    <t>quality_change.total_accruals_change.2024-12-31</t>
  </si>
  <si>
    <t>total_accruals__20241231,total_accruals__20231231</t>
  </si>
  <si>
    <t>total_accruals_change__20251231</t>
  </si>
  <si>
    <t>quality_change.total_accruals_change.2025-12-31</t>
  </si>
  <si>
    <t>total_accruals__20251231,total_accruals__20241231</t>
  </si>
  <si>
    <t>accrual_ratio_change__20231231</t>
  </si>
  <si>
    <t>Current accrual ratio minus prior comparable accrual ratio.</t>
  </si>
  <si>
    <t>quality_change.accrual_ratio_change.2023-12-31</t>
  </si>
  <si>
    <t>accrual_ratio__20231231,accrual_ratio__20221231</t>
  </si>
  <si>
    <t>Change in Accrual Ratio = Current Accrual Ratio - Prior Accrual Ratio.|This family is available only when reported Total Assets support the existing accrual-ratio schedule.|Undefined current or prior ratios propagate to #N/A.</t>
  </si>
  <si>
    <t>accrual_ratio_change</t>
  </si>
  <si>
    <t>accrual_ratio_change__20241231</t>
  </si>
  <si>
    <t>quality_change.accrual_ratio_change.2024-12-31</t>
  </si>
  <si>
    <t>accrual_ratio__20241231,accrual_ratio__20231231</t>
  </si>
  <si>
    <t>accrual_ratio_change__20251231</t>
  </si>
  <si>
    <t>quality_change.accrual_ratio_change.2025-12-31</t>
  </si>
  <si>
    <t>accrual_ratio__20251231,accrual_ratio__20241231</t>
  </si>
  <si>
    <t>BAV_CHECK_CONTEXT_V1</t>
  </si>
  <si>
    <t>{"base_classification_overrides":{},"judgment_bindings":[{"allowed_treatments":["Operating Long-Term Liability","Financial Liability"],"case_id":"classification::concept=lease_liability|label=operating lease liabilities","line_identity":"concept=lease_liability|label=operating lease liabilities","order":1,"override_selector":"concept:lease_liability","reference_treatment":"Operating Long-Term Liability","worksheet_row":5}],"modeled_periods":["2021-12-31","2022-12-31","2023-12-31","2024-12-31","2025-12-31"],"normalization_bindings":[{"allowed_treatments":["Non-recurring","Recurring"],"case_id":"normalization::concept=restructuring_expense|label=restructuring expense","line_identity":"concept=restructuring_expense|label=restructuring expense","order":1,"reference_treatment":"Non-recurring","scope":"operating_pretax_effective_tax","source_selector":"concept:restructuring_expense","worksheet_row":5}],"schema_version":2,"source_payload":{"balance_sheet":[{"concept":"","label":"Cash and cash equivalents","values":{"2021-12-31":1200.0,"2022-12-31":1350.0,"2023-12-31":1500.0,"2024-12-31":1680.0,"2025-12-31":1850.0}},{"concept":"","label":"Trade receivables","values":{"2021-12-31":850.0,"2022-12-31":920.0,"2023-12-31":1010.0,"2024-12-31":1120.0,"2025-12-31":1250.0}},{"concept":"","label":"Inventories","values":{"2021-12-31":680.0,"2022-12-31":736.0,"2023-12-31":808.0,"2024-12-31":896.0,"2025-12-31":1000.0}},{"concept":"","label":"Property, plant and equipment","values":{"2021-12-31":3200.0,"2022-12-31":3400.0,"2023-12-31":3600.0,"2024-12-31":3800.0,"2025-12-31":4000.0}},{"concept":"","label":"Goodwill","values":{"2021-12-31":900.0,"2022-12-31":900.0,"2023-12-31":900.0,"2024-12-31":900.0,"2025-12-31":900.0}},{"concept":"","label":"Other non-current assets","values":{"2021-12-31":1670.0,"2022-12-31":1894.0,"2023-12-31":2282.0,"2024-12-31":2804.0,"2025-12-31":3500.0}},{"concept":"","label":"Total assets","values":{"2021-12-31":8500.0,"2022-12-31":9200.0,"2023-12-31":10100.0,"2024-12-31":11200.0,"2025-12-31":12500.0}},{"concept":"","label":"Trade payables","values":{"2021-12-31":595.0,"2022-12-31":644.0,"2023-12-31":707.0,"2024-12-31":784.0,"2025-12-31":875.0}},{"concept":"","label":"Bank borrowings","values":{"2021-12-31":1500.0,"2022-12-31":1400.0,"2023-12-31":1300.0,"2024-12-31":1200.0,"2025-12-31":1100.0}},{"concept":"lease_liability","label":"Operating lease liabilities","values":{"2021-12-31":300.0,"2022-12-31":320.0,"2023-12-31":340.0,"2024-12-31":360.0,"2025-12-31":380.0}},{"concept":"","label":"Other non-current liabilities","values":{"2021-12-31":1005.0,"2022-12-31":1136.0,"2023-12-31":1253.0,"2024-12-31":1356.0,"2025-12-31":1445.0}},{"concept":"","label":"Total liabilities","values":{"2021-12-31":3400.0,"2022-12-31":3500.0,"2023-12-31":3600.0,"2024-12-31":3700.0,"2025-12-31":3800.0}},{"concept":"","label":"Share capital and reserves","values":{"2021-12-31":5100.0,"2022-12-31":5700.0,"2023-12-31":6500.0,"2024-12-31":7500.0,"2025-12-31":8700.0}},{"concept":"","label":"Total equity","values":{"2021-12-31":5100.0,"2022-12-31":5700.0,"2023-12-31":6500.0,"2024-12-31":7500.0,"2025-12-31":8700.0}}],"cash_flow":[{"concept":"","label":"Profit for the year","values":{"2021-12-31":2760.0,"2022-12-31":2988.0,"2023-12-31":3283.0,"2024-12-31":3644.0,"2025-12-31":4072.0}},{"concept":"","label":"Depreciation and amortisation","values":{"2021-12-31":340.0,"2022-12-31":368.0,"2023-12-31":404.0,"2024-12-31":448.0,"2025-12-31":500.0}},{"concept":"","label":"Net cash from operating activities","values":{"2021-12-31":1450.0,"2022-12-31":1600.0,"2023-12-31":1750.0,"2024-12-31":1930.0,"2025-12-31":2070.0}},{"concept":"","label":"Net cash used in investing activities","values":{"2021-12-31":-800.0,"2022-12-31":-850.0,"2023-12-31":-900.0,"2024-12-31":-950.0,"2025-12-31":-1000.0}},{"concept":"","label":"Net cash from financing activities","values":{"2021-12-31":-500.0,"2022-12-31":-600.0,"2023-12-31":-700.0,"2024-12-31":-800.0,"2025-12-31":-900.0}},{"concept":"","label":"Net change in cash and cash equivalents","values":{"2021-12-31":150.0,"2022-12-31":150.0,"2023-12-31":150.0,"2024-12-31":180.0,"2025-12-31":170.0}}],"company_name":"Demo Holdings Limited","currency":"HKD","historical_shares":null,"income_statement":[{"concept":"","label":"Revenue","values":{"2021-12-31":8500.0,"2022-12-31":9200.0,"2023-12-31":10100.0,"2024-12-31":11200.0,"2025-12-31":12500.0}},{"concept":"","label":"Cost of sales","values":{"2021-12-31":-3400.0,"2022-12-31":-3680.0,"2023-12-31":-4040.0,"2024-12-31":-4480.0,"2025-12-31":-5000.0}},{"concept":"","label":"Gross profit","values":{"2021-12-31":5100.0,"2022-12-31":5520.0,"2023-12-31":6060.0,"2024-12-31":6720.0,"2025-12-31":7500.0}},{"concept":"","label":"Administrative expenses","values":{"2021-12-31":-1700.0,"2022-12-31":-1840.0,"2023-12-31":-1820.0,"2024-12-31":-2240.0,"2025-12-31":-2500.0}},{"concept":"restructuring_expense","label":"Restructuring expense","values":{"2021-12-31":0.0,"2022-12-31":0.0,"2023-12-31":-200.0,"2024-12-31":0.0,"2025-12-31":0.0}},{"concept":"","label":"Operating profit","values":{"2021-12-31":3400.0,"2022-12-31":3680.0,"2023-12-31":4040.0,"2024-12-31":4480.0,"2025-12-31":5000.0}},{"concept":"","label":"Finance costs","values":{"2021-12-31":-120.0,"2022-12-31":-130.0,"2023-12-31":-140.0,"2024-12-31":-150.0,"2025-12-31":-160.0}},{"concept":"","label":"Finance income","values":{"2021-12-31":45.0,"2022-12-31":50.0,"2023-12-31":55.0,"2024-12-31":60.0,"2025-12-31":65.0}},{"concept":"","label":"Profit before tax","values":{"2021-12-31":3325.0,"2022-12-31":3600.0,"2023-12-31":3955.0,"2024-12-31":4390.0,"2025-12-31":4905.0}},{"concept":"","label":"Income tax expense","values":{"2021-12-31":-565.0,"2022-12-31":-612.0,"2023-12-31":-672.0,"2024-12-31":-746.0,"2025-12-31":-833.0}},{"concept":"","label":"Profit for the year","values":{"2021-12-31":2760.0,"2022-12-31":2988.0,"2023-12-31":3283.0,"2024-12-31":3644.0,"2025-12-31":4072.0}}],"jurisdiction":"HK","periods":[{"end_date":"2021-12-31","is_interim":false,"label":"FY2021"},{"end_date":"2022-12-31","is_interim":false,"label":"FY2022"},{"end_date":"2023-12-31","is_interim":false,"label":"FY2023"},{"end_date":"2024-12-31","is_interim":false,"label":"FY2024"},{"end_date":"2025-12-31","is_interim":false,"label":"FY2025"}],"stock_code":"1234.HK","ticker":"DEMO","units":"HKD in Millions"}}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</si>
</sst>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d\,\ yyyy"/>
    <numFmt numFmtId="165" formatCode="#,##0;\(#,##0\)"/>
    <numFmt numFmtId="166" formatCode="0.0%"/>
    <numFmt numFmtId="167" formatCode="0.00\x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Aptos Narrow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3" borderId="1" xfId="0" applyFont="1" applyFill="1" applyBorder="1"/>
    <xf numFmtId="164" fontId="2" fillId="3" borderId="1" xfId="0" applyNumberFormat="1" applyFont="1" applyFill="1" applyBorder="1"/>
    <xf numFmtId="165" fontId="2" fillId="3" borderId="1" xfId="0" applyNumberFormat="1" applyFont="1" applyFill="1" applyBorder="1"/>
    <xf numFmtId="0" fontId="2" fillId="2" borderId="1" xfId="0" applyFont="1" applyFill="1" applyBorder="1"/>
    <xf numFmtId="166" fontId="2" fillId="2" borderId="1" xfId="0" applyNumberFormat="1" applyFont="1" applyFill="1" applyBorder="1"/>
    <xf numFmtId="165" fontId="2" fillId="2" borderId="1" xfId="0" applyNumberFormat="1" applyFont="1" applyFill="1" applyBorder="1"/>
    <xf numFmtId="167" fontId="2" fillId="2" borderId="1" xfId="0" applyNumberFormat="1" applyFont="1" applyFill="1" applyBorder="1"/>
    <xf numFmtId="0" fontId="2" fillId="2" borderId="1" xfId="0" applyFont="1" applyFill="1" applyBorder="1" applyAlignment="1">
      <alignment vertical="top" wrapText="1"/>
    </xf>
    <xf numFmtId="166" fontId="2" fillId="3" borderId="1" xfId="0" applyNumberFormat="1" applyFont="1" applyFill="1" applyBorder="1"/>
    <xf numFmtId="166" fontId="2" fillId="2" borderId="1" xfId="1" applyNumberFormat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0"/>
  <sheetViews>
    <sheetView showGridLines="0" workbookViewId="0"/>
  </sheetViews>
  <sheetFormatPr baseColWidth="10" defaultColWidth="8.83203125" defaultRowHeight="15" x14ac:dyDescent="0.2"/>
  <cols>
    <col min="1" max="1" width="6" customWidth="1"/>
    <col min="2" max="2" width="36" customWidth="1"/>
    <col min="3" max="4" width="22" customWidth="1"/>
    <col min="5" max="6" width="28" customWidth="1"/>
  </cols>
  <sheetData>
    <row r="1" spans="1:6" x14ac:dyDescent="0.2">
      <c r="A1" s="2" t="s">
        <v>0</v>
      </c>
    </row>
    <row r="2" spans="1:6" x14ac:dyDescent="0.2">
      <c r="A2" s="2" t="s">
        <v>1</v>
      </c>
    </row>
    <row r="4" spans="1:6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</row>
    <row r="5" spans="1:6" x14ac:dyDescent="0.2">
      <c r="A5" s="2">
        <v>1</v>
      </c>
      <c r="B5" s="2" t="s">
        <v>8</v>
      </c>
      <c r="C5" s="2" t="s">
        <v>9</v>
      </c>
      <c r="D5" s="2" t="s">
        <v>10</v>
      </c>
      <c r="E5" s="2" t="s">
        <v>11</v>
      </c>
      <c r="F5" s="2" t="s">
        <v>12</v>
      </c>
    </row>
    <row r="6" spans="1:6" x14ac:dyDescent="0.2">
      <c r="A6" s="2">
        <v>2</v>
      </c>
      <c r="B6" s="2" t="s">
        <v>13</v>
      </c>
      <c r="C6" s="2" t="s">
        <v>9</v>
      </c>
      <c r="D6" s="2" t="s">
        <v>10</v>
      </c>
      <c r="E6" s="2" t="s">
        <v>14</v>
      </c>
      <c r="F6" s="2" t="s">
        <v>12</v>
      </c>
    </row>
    <row r="7" spans="1:6" x14ac:dyDescent="0.2">
      <c r="A7" s="2">
        <v>3</v>
      </c>
      <c r="B7" s="2" t="s">
        <v>15</v>
      </c>
      <c r="C7" s="2" t="s">
        <v>9</v>
      </c>
      <c r="D7" s="2" t="s">
        <v>10</v>
      </c>
      <c r="E7" s="2" t="s">
        <v>16</v>
      </c>
      <c r="F7" s="2" t="s">
        <v>12</v>
      </c>
    </row>
    <row r="8" spans="1:6" x14ac:dyDescent="0.2">
      <c r="A8" s="2">
        <v>4</v>
      </c>
      <c r="B8" s="2" t="s">
        <v>17</v>
      </c>
      <c r="C8" s="2" t="s">
        <v>9</v>
      </c>
      <c r="D8" s="2" t="s">
        <v>10</v>
      </c>
      <c r="E8" s="2" t="s">
        <v>18</v>
      </c>
      <c r="F8" s="2" t="s">
        <v>12</v>
      </c>
    </row>
    <row r="9" spans="1:6" x14ac:dyDescent="0.2">
      <c r="A9" s="2">
        <v>5</v>
      </c>
      <c r="B9" s="2" t="s">
        <v>19</v>
      </c>
      <c r="C9" s="2" t="s">
        <v>9</v>
      </c>
      <c r="D9" s="2" t="s">
        <v>10</v>
      </c>
      <c r="E9" s="2" t="s">
        <v>20</v>
      </c>
      <c r="F9" s="2" t="s">
        <v>21</v>
      </c>
    </row>
    <row r="10" spans="1:6" x14ac:dyDescent="0.2">
      <c r="A10" s="2">
        <v>6</v>
      </c>
      <c r="B10" s="2" t="s">
        <v>22</v>
      </c>
      <c r="C10" s="2" t="s">
        <v>9</v>
      </c>
      <c r="D10" s="2" t="s">
        <v>10</v>
      </c>
      <c r="E10" s="2" t="s">
        <v>23</v>
      </c>
      <c r="F10" s="2" t="s">
        <v>24</v>
      </c>
    </row>
    <row r="11" spans="1:6" x14ac:dyDescent="0.2">
      <c r="A11" s="2">
        <v>7</v>
      </c>
      <c r="B11" s="2" t="s">
        <v>25</v>
      </c>
      <c r="C11" s="2" t="s">
        <v>9</v>
      </c>
      <c r="D11" s="2" t="s">
        <v>10</v>
      </c>
      <c r="E11" s="2" t="s">
        <v>26</v>
      </c>
      <c r="F11" s="2" t="s">
        <v>12</v>
      </c>
    </row>
    <row r="12" spans="1:6" x14ac:dyDescent="0.2">
      <c r="A12" s="2">
        <v>8</v>
      </c>
      <c r="B12" s="2" t="s">
        <v>27</v>
      </c>
      <c r="C12" s="2" t="s">
        <v>9</v>
      </c>
      <c r="D12" s="2" t="s">
        <v>10</v>
      </c>
      <c r="E12" s="2" t="s">
        <v>28</v>
      </c>
      <c r="F12" s="2" t="s">
        <v>12</v>
      </c>
    </row>
    <row r="13" spans="1:6" x14ac:dyDescent="0.2">
      <c r="A13" s="2">
        <v>9</v>
      </c>
      <c r="B13" s="2" t="s">
        <v>29</v>
      </c>
      <c r="C13" s="2" t="s">
        <v>9</v>
      </c>
      <c r="D13" s="2" t="s">
        <v>10</v>
      </c>
      <c r="E13" s="2" t="s">
        <v>30</v>
      </c>
      <c r="F13" s="2" t="s">
        <v>31</v>
      </c>
    </row>
    <row r="14" spans="1:6" x14ac:dyDescent="0.2">
      <c r="A14" s="2">
        <v>10</v>
      </c>
      <c r="B14" s="2" t="s">
        <v>32</v>
      </c>
      <c r="C14" s="2" t="s">
        <v>9</v>
      </c>
      <c r="D14" s="2" t="s">
        <v>10</v>
      </c>
      <c r="E14" s="2" t="s">
        <v>33</v>
      </c>
      <c r="F14" s="2" t="s">
        <v>12</v>
      </c>
    </row>
    <row r="15" spans="1:6" x14ac:dyDescent="0.2">
      <c r="A15" s="2">
        <v>11</v>
      </c>
      <c r="B15" s="2" t="s">
        <v>34</v>
      </c>
      <c r="C15" s="2" t="s">
        <v>9</v>
      </c>
      <c r="D15" s="2" t="s">
        <v>10</v>
      </c>
      <c r="E15" s="2" t="s">
        <v>35</v>
      </c>
      <c r="F15" s="2" t="s">
        <v>12</v>
      </c>
    </row>
    <row r="16" spans="1:6" x14ac:dyDescent="0.2">
      <c r="A16" s="2">
        <v>12</v>
      </c>
      <c r="B16" s="2" t="s">
        <v>36</v>
      </c>
      <c r="C16" s="2" t="s">
        <v>9</v>
      </c>
      <c r="D16" s="2" t="s">
        <v>10</v>
      </c>
      <c r="E16" s="2" t="s">
        <v>37</v>
      </c>
      <c r="F16" s="2" t="s">
        <v>38</v>
      </c>
    </row>
    <row r="17" spans="1:6" x14ac:dyDescent="0.2">
      <c r="A17" s="2">
        <v>13</v>
      </c>
      <c r="B17" s="2" t="s">
        <v>39</v>
      </c>
      <c r="C17" s="2" t="s">
        <v>9</v>
      </c>
      <c r="D17" s="2" t="s">
        <v>10</v>
      </c>
      <c r="E17" s="2" t="s">
        <v>40</v>
      </c>
      <c r="F17" s="2" t="s">
        <v>41</v>
      </c>
    </row>
    <row r="18" spans="1:6" x14ac:dyDescent="0.2">
      <c r="A18" s="2">
        <v>14</v>
      </c>
      <c r="B18" s="2" t="s">
        <v>42</v>
      </c>
      <c r="C18" s="2" t="s">
        <v>9</v>
      </c>
      <c r="D18" s="2" t="s">
        <v>10</v>
      </c>
      <c r="E18" s="2" t="s">
        <v>43</v>
      </c>
      <c r="F18" s="2" t="s">
        <v>12</v>
      </c>
    </row>
    <row r="19" spans="1:6" x14ac:dyDescent="0.2">
      <c r="A19" s="2">
        <v>15</v>
      </c>
      <c r="B19" s="2" t="s">
        <v>44</v>
      </c>
      <c r="C19" s="2" t="s">
        <v>9</v>
      </c>
      <c r="D19" s="2" t="s">
        <v>10</v>
      </c>
      <c r="E19" s="2" t="s">
        <v>45</v>
      </c>
      <c r="F19" s="2" t="s">
        <v>12</v>
      </c>
    </row>
    <row r="20" spans="1:6" x14ac:dyDescent="0.2">
      <c r="A20" s="2">
        <v>16</v>
      </c>
      <c r="B20" s="2" t="s">
        <v>46</v>
      </c>
      <c r="C20" s="2" t="s">
        <v>9</v>
      </c>
      <c r="D20" s="2" t="s">
        <v>10</v>
      </c>
      <c r="E20" s="2" t="s">
        <v>47</v>
      </c>
      <c r="F20" s="2" t="s">
        <v>48</v>
      </c>
    </row>
    <row r="21" spans="1:6" x14ac:dyDescent="0.2">
      <c r="A21" s="2">
        <v>17</v>
      </c>
      <c r="B21" s="2" t="s">
        <v>49</v>
      </c>
      <c r="C21" s="2" t="s">
        <v>9</v>
      </c>
      <c r="D21" s="2" t="s">
        <v>10</v>
      </c>
      <c r="E21" s="2" t="s">
        <v>50</v>
      </c>
      <c r="F21" s="2" t="s">
        <v>51</v>
      </c>
    </row>
    <row r="22" spans="1:6" x14ac:dyDescent="0.2">
      <c r="A22" s="2">
        <v>18</v>
      </c>
      <c r="B22" s="2" t="s">
        <v>52</v>
      </c>
      <c r="C22" s="2" t="s">
        <v>53</v>
      </c>
      <c r="D22" s="2" t="s">
        <v>54</v>
      </c>
      <c r="E22" s="2" t="s">
        <v>55</v>
      </c>
      <c r="F22" s="2" t="s">
        <v>56</v>
      </c>
    </row>
    <row r="23" spans="1:6" x14ac:dyDescent="0.2">
      <c r="A23" s="2">
        <v>19</v>
      </c>
      <c r="B23" s="2" t="s">
        <v>57</v>
      </c>
      <c r="C23" s="2" t="s">
        <v>9</v>
      </c>
      <c r="D23" s="2" t="s">
        <v>54</v>
      </c>
      <c r="E23" s="2" t="s">
        <v>58</v>
      </c>
      <c r="F23" s="2" t="s">
        <v>59</v>
      </c>
    </row>
    <row r="24" spans="1:6" x14ac:dyDescent="0.2">
      <c r="A24" s="2">
        <v>20</v>
      </c>
      <c r="B24" s="2" t="s">
        <v>60</v>
      </c>
      <c r="C24" s="2" t="s">
        <v>53</v>
      </c>
      <c r="D24" s="2" t="s">
        <v>54</v>
      </c>
      <c r="E24" s="2" t="s">
        <v>61</v>
      </c>
      <c r="F24" s="2" t="s">
        <v>62</v>
      </c>
    </row>
    <row r="25" spans="1:6" x14ac:dyDescent="0.2">
      <c r="A25" s="2">
        <v>21</v>
      </c>
      <c r="B25" s="2" t="s">
        <v>63</v>
      </c>
      <c r="C25" s="2" t="s">
        <v>53</v>
      </c>
      <c r="D25" s="2" t="s">
        <v>54</v>
      </c>
      <c r="E25" s="2" t="s">
        <v>64</v>
      </c>
      <c r="F25" s="2" t="s">
        <v>65</v>
      </c>
    </row>
    <row r="26" spans="1:6" x14ac:dyDescent="0.2">
      <c r="A26" s="2">
        <v>22</v>
      </c>
      <c r="B26" s="2" t="s">
        <v>66</v>
      </c>
      <c r="C26" s="2" t="s">
        <v>53</v>
      </c>
      <c r="D26" s="2" t="s">
        <v>54</v>
      </c>
      <c r="E26" s="2" t="s">
        <v>67</v>
      </c>
      <c r="F26" s="2" t="s">
        <v>68</v>
      </c>
    </row>
    <row r="27" spans="1:6" x14ac:dyDescent="0.2">
      <c r="A27" s="2">
        <v>23</v>
      </c>
      <c r="B27" s="2" t="s">
        <v>69</v>
      </c>
      <c r="C27" s="2" t="s">
        <v>53</v>
      </c>
      <c r="D27" s="2" t="s">
        <v>54</v>
      </c>
      <c r="E27" s="2" t="s">
        <v>70</v>
      </c>
      <c r="F27" s="2" t="s">
        <v>71</v>
      </c>
    </row>
    <row r="28" spans="1:6" x14ac:dyDescent="0.2">
      <c r="A28" s="2">
        <v>24</v>
      </c>
      <c r="B28" s="2" t="s">
        <v>72</v>
      </c>
      <c r="C28" s="2" t="s">
        <v>53</v>
      </c>
      <c r="D28" s="2" t="s">
        <v>54</v>
      </c>
      <c r="E28" s="2" t="s">
        <v>73</v>
      </c>
      <c r="F28" s="2" t="s">
        <v>74</v>
      </c>
    </row>
    <row r="29" spans="1:6" x14ac:dyDescent="0.2">
      <c r="A29" s="2">
        <v>25</v>
      </c>
      <c r="B29" s="2" t="s">
        <v>75</v>
      </c>
      <c r="C29" s="2" t="s">
        <v>53</v>
      </c>
      <c r="D29" s="2" t="s">
        <v>54</v>
      </c>
      <c r="E29" s="2" t="s">
        <v>76</v>
      </c>
      <c r="F29" s="2" t="s">
        <v>77</v>
      </c>
    </row>
    <row r="30" spans="1:6" x14ac:dyDescent="0.2">
      <c r="A30" s="2">
        <v>26</v>
      </c>
      <c r="B30" s="2" t="s">
        <v>78</v>
      </c>
      <c r="C30" s="2" t="s">
        <v>9</v>
      </c>
      <c r="D30" s="2" t="s">
        <v>79</v>
      </c>
      <c r="E30" s="2" t="s">
        <v>80</v>
      </c>
      <c r="F30" s="2" t="s">
        <v>12</v>
      </c>
    </row>
    <row r="31" spans="1:6" x14ac:dyDescent="0.2">
      <c r="A31" s="2">
        <v>27</v>
      </c>
      <c r="B31" s="2" t="s">
        <v>81</v>
      </c>
      <c r="C31" s="2" t="s">
        <v>9</v>
      </c>
      <c r="D31" s="2" t="s">
        <v>79</v>
      </c>
      <c r="E31" s="2" t="s">
        <v>82</v>
      </c>
      <c r="F31" s="2" t="s">
        <v>83</v>
      </c>
    </row>
    <row r="32" spans="1:6" x14ac:dyDescent="0.2">
      <c r="A32" s="2">
        <v>28</v>
      </c>
      <c r="B32" s="2" t="s">
        <v>84</v>
      </c>
      <c r="C32" s="2" t="s">
        <v>9</v>
      </c>
      <c r="D32" s="2" t="s">
        <v>79</v>
      </c>
      <c r="E32" s="2" t="s">
        <v>85</v>
      </c>
      <c r="F32" s="2" t="s">
        <v>86</v>
      </c>
    </row>
    <row r="33" spans="1:6" x14ac:dyDescent="0.2">
      <c r="A33" s="2">
        <v>29</v>
      </c>
      <c r="B33" s="2" t="s">
        <v>87</v>
      </c>
      <c r="C33" s="2" t="s">
        <v>9</v>
      </c>
      <c r="D33" s="2" t="s">
        <v>79</v>
      </c>
      <c r="E33" s="2" t="s">
        <v>88</v>
      </c>
      <c r="F33" s="2" t="s">
        <v>86</v>
      </c>
    </row>
    <row r="34" spans="1:6" x14ac:dyDescent="0.2">
      <c r="A34" s="2">
        <v>30</v>
      </c>
      <c r="B34" s="2" t="s">
        <v>89</v>
      </c>
      <c r="C34" s="2" t="s">
        <v>9</v>
      </c>
      <c r="D34" s="2" t="s">
        <v>90</v>
      </c>
      <c r="E34" s="2" t="s">
        <v>91</v>
      </c>
      <c r="F34" s="2" t="s">
        <v>12</v>
      </c>
    </row>
    <row r="35" spans="1:6" x14ac:dyDescent="0.2">
      <c r="A35" s="2">
        <v>31</v>
      </c>
      <c r="B35" s="2" t="s">
        <v>92</v>
      </c>
      <c r="C35" s="2" t="s">
        <v>9</v>
      </c>
      <c r="D35" s="2" t="s">
        <v>90</v>
      </c>
      <c r="E35" s="2" t="s">
        <v>93</v>
      </c>
      <c r="F35" s="2" t="s">
        <v>94</v>
      </c>
    </row>
    <row r="36" spans="1:6" x14ac:dyDescent="0.2">
      <c r="A36" s="2">
        <v>32</v>
      </c>
      <c r="B36" s="2" t="s">
        <v>95</v>
      </c>
      <c r="C36" s="2" t="s">
        <v>9</v>
      </c>
      <c r="D36" s="2" t="s">
        <v>90</v>
      </c>
      <c r="E36" s="2" t="s">
        <v>96</v>
      </c>
      <c r="F36" s="2" t="s">
        <v>94</v>
      </c>
    </row>
    <row r="37" spans="1:6" x14ac:dyDescent="0.2">
      <c r="A37" s="2">
        <v>33</v>
      </c>
      <c r="B37" s="2" t="s">
        <v>97</v>
      </c>
      <c r="C37" s="2" t="s">
        <v>53</v>
      </c>
      <c r="D37" s="2" t="s">
        <v>90</v>
      </c>
      <c r="E37" s="2" t="s">
        <v>73</v>
      </c>
      <c r="F37" s="2" t="s">
        <v>12</v>
      </c>
    </row>
    <row r="38" spans="1:6" x14ac:dyDescent="0.2">
      <c r="A38" s="2">
        <v>34</v>
      </c>
      <c r="B38" s="2" t="s">
        <v>98</v>
      </c>
      <c r="C38" s="2" t="s">
        <v>53</v>
      </c>
      <c r="D38" s="2" t="s">
        <v>90</v>
      </c>
      <c r="E38" s="2" t="s">
        <v>76</v>
      </c>
      <c r="F38" s="2" t="s">
        <v>99</v>
      </c>
    </row>
    <row r="39" spans="1:6" x14ac:dyDescent="0.2">
      <c r="A39" s="2">
        <v>35</v>
      </c>
      <c r="B39" s="2" t="s">
        <v>100</v>
      </c>
      <c r="C39" s="2" t="s">
        <v>9</v>
      </c>
      <c r="D39" s="2" t="s">
        <v>101</v>
      </c>
      <c r="E39" s="2" t="s">
        <v>102</v>
      </c>
      <c r="F39" s="2" t="s">
        <v>12</v>
      </c>
    </row>
    <row r="40" spans="1:6" x14ac:dyDescent="0.2">
      <c r="A40" s="2">
        <v>36</v>
      </c>
      <c r="B40" s="2" t="s">
        <v>103</v>
      </c>
      <c r="C40" s="2" t="s">
        <v>9</v>
      </c>
      <c r="D40" s="2" t="s">
        <v>101</v>
      </c>
      <c r="E40" s="2" t="s">
        <v>104</v>
      </c>
      <c r="F40" s="2" t="s">
        <v>12</v>
      </c>
    </row>
    <row r="41" spans="1:6" x14ac:dyDescent="0.2">
      <c r="A41" s="2">
        <v>37</v>
      </c>
      <c r="B41" s="2" t="s">
        <v>105</v>
      </c>
      <c r="C41" s="2" t="s">
        <v>9</v>
      </c>
      <c r="D41" s="2" t="s">
        <v>101</v>
      </c>
      <c r="E41" s="2" t="s">
        <v>106</v>
      </c>
      <c r="F41" s="2" t="s">
        <v>12</v>
      </c>
    </row>
    <row r="42" spans="1:6" x14ac:dyDescent="0.2">
      <c r="A42" s="2">
        <v>38</v>
      </c>
      <c r="B42" s="2" t="s">
        <v>107</v>
      </c>
      <c r="C42" s="2" t="s">
        <v>53</v>
      </c>
      <c r="D42" s="2" t="s">
        <v>101</v>
      </c>
      <c r="E42" s="2" t="s">
        <v>108</v>
      </c>
      <c r="F42" s="2" t="s">
        <v>12</v>
      </c>
    </row>
    <row r="43" spans="1:6" x14ac:dyDescent="0.2">
      <c r="A43" s="2">
        <v>39</v>
      </c>
      <c r="B43" s="2" t="s">
        <v>109</v>
      </c>
      <c r="C43" s="2" t="s">
        <v>53</v>
      </c>
      <c r="D43" s="2" t="s">
        <v>101</v>
      </c>
      <c r="E43" s="2" t="s">
        <v>110</v>
      </c>
      <c r="F43" s="2" t="s">
        <v>12</v>
      </c>
    </row>
    <row r="44" spans="1:6" x14ac:dyDescent="0.2">
      <c r="A44" s="2">
        <v>40</v>
      </c>
      <c r="B44" s="2" t="s">
        <v>111</v>
      </c>
      <c r="C44" s="2" t="s">
        <v>53</v>
      </c>
      <c r="D44" s="2" t="s">
        <v>101</v>
      </c>
      <c r="E44" s="2" t="s">
        <v>112</v>
      </c>
      <c r="F44" s="2" t="s">
        <v>113</v>
      </c>
    </row>
    <row r="45" spans="1:6" x14ac:dyDescent="0.2">
      <c r="A45" s="2">
        <v>41</v>
      </c>
      <c r="B45" s="2" t="s">
        <v>114</v>
      </c>
      <c r="C45" s="2" t="s">
        <v>53</v>
      </c>
      <c r="D45" s="2" t="s">
        <v>101</v>
      </c>
      <c r="E45" s="2" t="s">
        <v>115</v>
      </c>
      <c r="F45" s="2" t="s">
        <v>116</v>
      </c>
    </row>
    <row r="46" spans="1:6" x14ac:dyDescent="0.2">
      <c r="A46" s="2">
        <v>42</v>
      </c>
      <c r="B46" s="2" t="s">
        <v>117</v>
      </c>
      <c r="C46" s="2" t="s">
        <v>53</v>
      </c>
      <c r="D46" s="2" t="s">
        <v>101</v>
      </c>
      <c r="E46" s="2" t="s">
        <v>118</v>
      </c>
      <c r="F46" s="2" t="s">
        <v>119</v>
      </c>
    </row>
    <row r="47" spans="1:6" x14ac:dyDescent="0.2">
      <c r="A47" s="2">
        <v>43</v>
      </c>
      <c r="B47" s="2" t="s">
        <v>120</v>
      </c>
      <c r="C47" s="2" t="s">
        <v>53</v>
      </c>
      <c r="D47" s="2" t="s">
        <v>101</v>
      </c>
      <c r="E47" s="2" t="s">
        <v>121</v>
      </c>
      <c r="F47" s="2" t="s">
        <v>122</v>
      </c>
    </row>
    <row r="48" spans="1:6" x14ac:dyDescent="0.2">
      <c r="A48" s="2">
        <v>44</v>
      </c>
      <c r="B48" s="2" t="s">
        <v>123</v>
      </c>
      <c r="C48" s="2" t="s">
        <v>53</v>
      </c>
      <c r="D48" s="2" t="s">
        <v>101</v>
      </c>
      <c r="E48" s="2" t="s">
        <v>124</v>
      </c>
      <c r="F48" s="2" t="s">
        <v>125</v>
      </c>
    </row>
    <row r="49" spans="1:6" x14ac:dyDescent="0.2">
      <c r="A49" s="2">
        <v>45</v>
      </c>
      <c r="B49" s="2" t="s">
        <v>126</v>
      </c>
      <c r="C49" s="2" t="s">
        <v>53</v>
      </c>
      <c r="D49" s="2" t="s">
        <v>101</v>
      </c>
      <c r="E49" s="2" t="s">
        <v>127</v>
      </c>
      <c r="F49" s="2" t="s">
        <v>128</v>
      </c>
    </row>
    <row r="50" spans="1:6" x14ac:dyDescent="0.2">
      <c r="A50" s="2">
        <v>46</v>
      </c>
      <c r="B50" s="2" t="s">
        <v>129</v>
      </c>
      <c r="C50" s="2" t="s">
        <v>53</v>
      </c>
      <c r="D50" s="2" t="s">
        <v>54</v>
      </c>
      <c r="E50" s="2" t="s">
        <v>110</v>
      </c>
      <c r="F50" s="2" t="s">
        <v>130</v>
      </c>
    </row>
    <row r="51" spans="1:6" x14ac:dyDescent="0.2">
      <c r="A51" s="2">
        <v>47</v>
      </c>
      <c r="B51" s="2" t="s">
        <v>131</v>
      </c>
      <c r="C51" s="2" t="s">
        <v>53</v>
      </c>
      <c r="D51" s="2" t="s">
        <v>54</v>
      </c>
      <c r="E51" s="2" t="s">
        <v>112</v>
      </c>
      <c r="F51" s="2" t="s">
        <v>132</v>
      </c>
    </row>
    <row r="52" spans="1:6" x14ac:dyDescent="0.2">
      <c r="A52" s="2">
        <v>48</v>
      </c>
      <c r="B52" s="2" t="s">
        <v>133</v>
      </c>
      <c r="C52" s="2" t="s">
        <v>53</v>
      </c>
      <c r="D52" s="2" t="s">
        <v>54</v>
      </c>
      <c r="E52" s="2" t="s">
        <v>134</v>
      </c>
      <c r="F52" s="2" t="s">
        <v>135</v>
      </c>
    </row>
    <row r="53" spans="1:6" x14ac:dyDescent="0.2">
      <c r="A53" s="2">
        <v>49</v>
      </c>
      <c r="B53" s="2" t="s">
        <v>136</v>
      </c>
      <c r="C53" s="2" t="s">
        <v>53</v>
      </c>
      <c r="D53" s="2" t="s">
        <v>54</v>
      </c>
      <c r="E53" s="2" t="s">
        <v>137</v>
      </c>
      <c r="F53" s="2" t="s">
        <v>138</v>
      </c>
    </row>
    <row r="54" spans="1:6" x14ac:dyDescent="0.2">
      <c r="A54" s="2">
        <v>50</v>
      </c>
      <c r="B54" s="2" t="s">
        <v>139</v>
      </c>
      <c r="C54" s="2" t="s">
        <v>140</v>
      </c>
      <c r="D54" s="2" t="s">
        <v>54</v>
      </c>
      <c r="E54" s="2" t="s">
        <v>141</v>
      </c>
      <c r="F54" s="2" t="s">
        <v>142</v>
      </c>
    </row>
    <row r="55" spans="1:6" x14ac:dyDescent="0.2">
      <c r="A55" s="2">
        <v>51</v>
      </c>
      <c r="B55" s="2" t="s">
        <v>143</v>
      </c>
      <c r="C55" s="2" t="s">
        <v>140</v>
      </c>
      <c r="D55" s="2" t="s">
        <v>54</v>
      </c>
      <c r="E55" s="2" t="s">
        <v>144</v>
      </c>
      <c r="F55" s="2" t="s">
        <v>145</v>
      </c>
    </row>
    <row r="56" spans="1:6" x14ac:dyDescent="0.2">
      <c r="A56" s="2">
        <v>52</v>
      </c>
      <c r="B56" s="2" t="s">
        <v>146</v>
      </c>
      <c r="C56" s="2" t="s">
        <v>140</v>
      </c>
      <c r="D56" s="2" t="s">
        <v>54</v>
      </c>
      <c r="E56" s="2" t="s">
        <v>147</v>
      </c>
      <c r="F56" s="2" t="s">
        <v>148</v>
      </c>
    </row>
    <row r="57" spans="1:6" x14ac:dyDescent="0.2">
      <c r="A57" s="2">
        <v>53</v>
      </c>
      <c r="B57" s="2" t="s">
        <v>149</v>
      </c>
      <c r="C57" s="2" t="s">
        <v>140</v>
      </c>
      <c r="D57" s="2" t="s">
        <v>54</v>
      </c>
      <c r="E57" s="2" t="s">
        <v>150</v>
      </c>
      <c r="F57" s="2" t="s">
        <v>151</v>
      </c>
    </row>
    <row r="58" spans="1:6" x14ac:dyDescent="0.2">
      <c r="A58" s="2">
        <v>54</v>
      </c>
      <c r="B58" s="2" t="s">
        <v>152</v>
      </c>
      <c r="C58" s="2" t="s">
        <v>140</v>
      </c>
      <c r="D58" s="2" t="s">
        <v>54</v>
      </c>
      <c r="E58" s="2" t="s">
        <v>153</v>
      </c>
      <c r="F58" s="2" t="s">
        <v>154</v>
      </c>
    </row>
    <row r="59" spans="1:6" x14ac:dyDescent="0.2">
      <c r="A59" s="2">
        <v>55</v>
      </c>
      <c r="B59" s="2" t="s">
        <v>155</v>
      </c>
      <c r="C59" s="2" t="s">
        <v>140</v>
      </c>
      <c r="D59" s="2" t="s">
        <v>54</v>
      </c>
      <c r="E59" s="2" t="s">
        <v>156</v>
      </c>
      <c r="F59" s="2" t="s">
        <v>157</v>
      </c>
    </row>
    <row r="60" spans="1:6" x14ac:dyDescent="0.2">
      <c r="A60" s="2">
        <v>56</v>
      </c>
      <c r="B60" s="2" t="s">
        <v>158</v>
      </c>
      <c r="C60" s="2" t="s">
        <v>53</v>
      </c>
      <c r="D60" s="2" t="s">
        <v>54</v>
      </c>
      <c r="E60" s="2" t="s">
        <v>159</v>
      </c>
      <c r="F60" s="2" t="s">
        <v>160</v>
      </c>
    </row>
    <row r="61" spans="1:6" x14ac:dyDescent="0.2">
      <c r="A61" s="2">
        <v>57</v>
      </c>
      <c r="B61" s="2" t="s">
        <v>161</v>
      </c>
      <c r="C61" s="2" t="s">
        <v>140</v>
      </c>
      <c r="D61" s="2" t="s">
        <v>54</v>
      </c>
      <c r="E61" s="2" t="s">
        <v>162</v>
      </c>
      <c r="F61" s="2" t="s">
        <v>163</v>
      </c>
    </row>
    <row r="62" spans="1:6" x14ac:dyDescent="0.2">
      <c r="A62" s="2">
        <v>58</v>
      </c>
      <c r="B62" s="2" t="s">
        <v>164</v>
      </c>
      <c r="C62" s="2" t="s">
        <v>140</v>
      </c>
      <c r="D62" s="2" t="s">
        <v>54</v>
      </c>
      <c r="E62" s="2" t="s">
        <v>165</v>
      </c>
      <c r="F62" s="2" t="s">
        <v>166</v>
      </c>
    </row>
    <row r="63" spans="1:6" x14ac:dyDescent="0.2">
      <c r="A63" s="2">
        <v>59</v>
      </c>
      <c r="B63" s="2" t="s">
        <v>167</v>
      </c>
      <c r="C63" s="2" t="s">
        <v>140</v>
      </c>
      <c r="D63" s="2" t="s">
        <v>54</v>
      </c>
      <c r="E63" s="2" t="s">
        <v>168</v>
      </c>
      <c r="F63" s="2" t="s">
        <v>160</v>
      </c>
    </row>
    <row r="64" spans="1:6" x14ac:dyDescent="0.2">
      <c r="A64" s="2">
        <v>60</v>
      </c>
      <c r="B64" s="2" t="s">
        <v>169</v>
      </c>
      <c r="C64" s="2" t="s">
        <v>140</v>
      </c>
      <c r="D64" s="2" t="s">
        <v>54</v>
      </c>
      <c r="E64" s="2" t="s">
        <v>170</v>
      </c>
      <c r="F64" s="2" t="s">
        <v>171</v>
      </c>
    </row>
    <row r="65" spans="1:6" x14ac:dyDescent="0.2">
      <c r="A65" s="2">
        <v>61</v>
      </c>
      <c r="B65" s="2" t="s">
        <v>172</v>
      </c>
      <c r="C65" s="2" t="s">
        <v>140</v>
      </c>
      <c r="D65" s="2" t="s">
        <v>54</v>
      </c>
      <c r="E65" s="2" t="s">
        <v>173</v>
      </c>
      <c r="F65" s="2" t="s">
        <v>174</v>
      </c>
    </row>
    <row r="66" spans="1:6" x14ac:dyDescent="0.2">
      <c r="A66" s="2">
        <v>62</v>
      </c>
      <c r="B66" s="2" t="s">
        <v>175</v>
      </c>
      <c r="C66" s="2" t="s">
        <v>140</v>
      </c>
      <c r="D66" s="2" t="s">
        <v>54</v>
      </c>
      <c r="E66" s="2" t="s">
        <v>176</v>
      </c>
      <c r="F66" s="2" t="s">
        <v>177</v>
      </c>
    </row>
    <row r="67" spans="1:6" x14ac:dyDescent="0.2">
      <c r="A67" s="2">
        <v>63</v>
      </c>
      <c r="B67" s="2" t="s">
        <v>178</v>
      </c>
      <c r="C67" s="2" t="s">
        <v>53</v>
      </c>
      <c r="D67" s="2" t="s">
        <v>90</v>
      </c>
      <c r="E67" s="2" t="s">
        <v>110</v>
      </c>
      <c r="F67" s="2" t="s">
        <v>179</v>
      </c>
    </row>
    <row r="68" spans="1:6" x14ac:dyDescent="0.2">
      <c r="A68" s="2">
        <v>64</v>
      </c>
      <c r="B68" s="2" t="s">
        <v>180</v>
      </c>
      <c r="C68" s="2" t="s">
        <v>53</v>
      </c>
      <c r="D68" s="2" t="s">
        <v>90</v>
      </c>
      <c r="E68" s="2" t="s">
        <v>112</v>
      </c>
      <c r="F68" s="2" t="s">
        <v>181</v>
      </c>
    </row>
    <row r="69" spans="1:6" x14ac:dyDescent="0.2">
      <c r="A69" s="2">
        <v>65</v>
      </c>
      <c r="B69" s="2" t="s">
        <v>182</v>
      </c>
      <c r="C69" s="2" t="s">
        <v>53</v>
      </c>
      <c r="D69" s="2" t="s">
        <v>90</v>
      </c>
      <c r="E69" s="2" t="s">
        <v>134</v>
      </c>
      <c r="F69" s="2" t="s">
        <v>183</v>
      </c>
    </row>
    <row r="70" spans="1:6" x14ac:dyDescent="0.2">
      <c r="A70" s="2">
        <v>66</v>
      </c>
      <c r="B70" s="2" t="s">
        <v>184</v>
      </c>
      <c r="C70" s="2" t="s">
        <v>140</v>
      </c>
      <c r="D70" s="2" t="s">
        <v>90</v>
      </c>
      <c r="E70" s="2" t="s">
        <v>185</v>
      </c>
      <c r="F70" s="2" t="s">
        <v>186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showGridLines="0" workbookViewId="0"/>
  </sheetViews>
  <sheetFormatPr baseColWidth="10" defaultColWidth="8.83203125" defaultRowHeight="15" x14ac:dyDescent="0.2"/>
  <cols>
    <col min="1" max="1" width="48" customWidth="1"/>
    <col min="2" max="6" width="16" customWidth="1"/>
  </cols>
  <sheetData>
    <row r="1" spans="1:6" x14ac:dyDescent="0.2">
      <c r="A1" s="2" t="s">
        <v>187</v>
      </c>
    </row>
    <row r="2" spans="1:6" x14ac:dyDescent="0.2">
      <c r="A2" s="2" t="s">
        <v>188</v>
      </c>
    </row>
    <row r="3" spans="1:6" x14ac:dyDescent="0.2">
      <c r="A3" s="2" t="s">
        <v>189</v>
      </c>
    </row>
    <row r="4" spans="1:6" x14ac:dyDescent="0.2">
      <c r="A4" s="2" t="s">
        <v>190</v>
      </c>
    </row>
    <row r="6" spans="1:6" x14ac:dyDescent="0.2">
      <c r="A6" s="2" t="s">
        <v>191</v>
      </c>
      <c r="B6" s="3">
        <v>44561</v>
      </c>
      <c r="C6" s="3">
        <v>44926</v>
      </c>
      <c r="D6" s="3">
        <v>45291</v>
      </c>
      <c r="E6" s="3">
        <v>45657</v>
      </c>
      <c r="F6" s="3">
        <v>46022</v>
      </c>
    </row>
    <row r="7" spans="1:6" x14ac:dyDescent="0.2">
      <c r="A7" s="2" t="s">
        <v>192</v>
      </c>
      <c r="B7" s="4">
        <v>8500</v>
      </c>
      <c r="C7" s="4">
        <v>9200</v>
      </c>
      <c r="D7" s="4">
        <v>10100</v>
      </c>
      <c r="E7" s="4">
        <v>11200</v>
      </c>
      <c r="F7" s="4">
        <v>12500</v>
      </c>
    </row>
    <row r="8" spans="1:6" x14ac:dyDescent="0.2">
      <c r="A8" s="2" t="s">
        <v>193</v>
      </c>
      <c r="B8" s="4">
        <v>-3400</v>
      </c>
      <c r="C8" s="4">
        <v>-3680</v>
      </c>
      <c r="D8" s="4">
        <v>-4040</v>
      </c>
      <c r="E8" s="4">
        <v>-4480</v>
      </c>
      <c r="F8" s="4">
        <v>-5000</v>
      </c>
    </row>
    <row r="9" spans="1:6" x14ac:dyDescent="0.2">
      <c r="A9" s="2" t="s">
        <v>194</v>
      </c>
      <c r="B9" s="4">
        <v>5100</v>
      </c>
      <c r="C9" s="4">
        <v>5520</v>
      </c>
      <c r="D9" s="4">
        <v>6060</v>
      </c>
      <c r="E9" s="4">
        <v>6720</v>
      </c>
      <c r="F9" s="4">
        <v>7500</v>
      </c>
    </row>
    <row r="10" spans="1:6" x14ac:dyDescent="0.2">
      <c r="A10" s="2" t="s">
        <v>195</v>
      </c>
      <c r="B10" s="4">
        <v>-1700</v>
      </c>
      <c r="C10" s="4">
        <v>-1840</v>
      </c>
      <c r="D10" s="4">
        <v>-1820</v>
      </c>
      <c r="E10" s="4">
        <v>-2240</v>
      </c>
      <c r="F10" s="4">
        <v>-2500</v>
      </c>
    </row>
    <row r="11" spans="1:6" x14ac:dyDescent="0.2">
      <c r="A11" s="2" t="s">
        <v>196</v>
      </c>
      <c r="B11" s="4">
        <v>0</v>
      </c>
      <c r="C11" s="4">
        <v>0</v>
      </c>
      <c r="D11" s="4">
        <v>-200</v>
      </c>
      <c r="E11" s="4">
        <v>0</v>
      </c>
      <c r="F11" s="4">
        <v>0</v>
      </c>
    </row>
    <row r="12" spans="1:6" x14ac:dyDescent="0.2">
      <c r="A12" s="2" t="s">
        <v>197</v>
      </c>
      <c r="B12" s="4">
        <v>3400</v>
      </c>
      <c r="C12" s="4">
        <v>3680</v>
      </c>
      <c r="D12" s="4">
        <v>4040</v>
      </c>
      <c r="E12" s="4">
        <v>4480</v>
      </c>
      <c r="F12" s="4">
        <v>5000</v>
      </c>
    </row>
    <row r="13" spans="1:6" x14ac:dyDescent="0.2">
      <c r="A13" s="2" t="s">
        <v>198</v>
      </c>
      <c r="B13" s="4">
        <v>-120</v>
      </c>
      <c r="C13" s="4">
        <v>-130</v>
      </c>
      <c r="D13" s="4">
        <v>-140</v>
      </c>
      <c r="E13" s="4">
        <v>-150</v>
      </c>
      <c r="F13" s="4">
        <v>-160</v>
      </c>
    </row>
    <row r="14" spans="1:6" x14ac:dyDescent="0.2">
      <c r="A14" s="2" t="s">
        <v>199</v>
      </c>
      <c r="B14" s="4">
        <v>45</v>
      </c>
      <c r="C14" s="4">
        <v>50</v>
      </c>
      <c r="D14" s="4">
        <v>55</v>
      </c>
      <c r="E14" s="4">
        <v>60</v>
      </c>
      <c r="F14" s="4">
        <v>65</v>
      </c>
    </row>
    <row r="15" spans="1:6" x14ac:dyDescent="0.2">
      <c r="A15" s="2" t="s">
        <v>200</v>
      </c>
      <c r="B15" s="4">
        <v>3325</v>
      </c>
      <c r="C15" s="4">
        <v>3600</v>
      </c>
      <c r="D15" s="4">
        <v>3955</v>
      </c>
      <c r="E15" s="4">
        <v>4390</v>
      </c>
      <c r="F15" s="4">
        <v>4905</v>
      </c>
    </row>
    <row r="16" spans="1:6" x14ac:dyDescent="0.2">
      <c r="A16" s="2" t="s">
        <v>201</v>
      </c>
      <c r="B16" s="4">
        <v>-565</v>
      </c>
      <c r="C16" s="4">
        <v>-612</v>
      </c>
      <c r="D16" s="4">
        <v>-672</v>
      </c>
      <c r="E16" s="4">
        <v>-746</v>
      </c>
      <c r="F16" s="4">
        <v>-833</v>
      </c>
    </row>
    <row r="17" spans="1:6" x14ac:dyDescent="0.2">
      <c r="A17" s="2" t="s">
        <v>202</v>
      </c>
      <c r="B17" s="4">
        <v>2760</v>
      </c>
      <c r="C17" s="4">
        <v>2988</v>
      </c>
      <c r="D17" s="4">
        <v>3283</v>
      </c>
      <c r="E17" s="4">
        <v>3644</v>
      </c>
      <c r="F17" s="4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"/>
  <sheetViews>
    <sheetView showGridLines="0" workbookViewId="0"/>
  </sheetViews>
  <sheetFormatPr baseColWidth="10" defaultColWidth="8.83203125" defaultRowHeight="15" x14ac:dyDescent="0.2"/>
  <cols>
    <col min="1" max="1" width="48" customWidth="1"/>
    <col min="2" max="6" width="16" customWidth="1"/>
  </cols>
  <sheetData>
    <row r="1" spans="1:6" x14ac:dyDescent="0.2">
      <c r="A1" s="2" t="s">
        <v>187</v>
      </c>
    </row>
    <row r="2" spans="1:6" x14ac:dyDescent="0.2">
      <c r="A2" s="2" t="s">
        <v>203</v>
      </c>
    </row>
    <row r="3" spans="1:6" x14ac:dyDescent="0.2">
      <c r="A3" s="2" t="s">
        <v>189</v>
      </c>
    </row>
    <row r="4" spans="1:6" x14ac:dyDescent="0.2">
      <c r="A4" s="2" t="s">
        <v>190</v>
      </c>
    </row>
    <row r="6" spans="1:6" x14ac:dyDescent="0.2">
      <c r="A6" s="2" t="s">
        <v>191</v>
      </c>
      <c r="B6" s="3">
        <v>44561</v>
      </c>
      <c r="C6" s="3">
        <v>44926</v>
      </c>
      <c r="D6" s="3">
        <v>45291</v>
      </c>
      <c r="E6" s="3">
        <v>45657</v>
      </c>
      <c r="F6" s="3">
        <v>46022</v>
      </c>
    </row>
    <row r="7" spans="1:6" x14ac:dyDescent="0.2">
      <c r="A7" s="2" t="s">
        <v>204</v>
      </c>
      <c r="B7" s="4">
        <v>1200</v>
      </c>
      <c r="C7" s="4">
        <v>1350</v>
      </c>
      <c r="D7" s="4">
        <v>1500</v>
      </c>
      <c r="E7" s="4">
        <v>1680</v>
      </c>
      <c r="F7" s="4">
        <v>1850</v>
      </c>
    </row>
    <row r="8" spans="1:6" x14ac:dyDescent="0.2">
      <c r="A8" s="2" t="s">
        <v>205</v>
      </c>
      <c r="B8" s="4">
        <v>850</v>
      </c>
      <c r="C8" s="4">
        <v>920</v>
      </c>
      <c r="D8" s="4">
        <v>1010</v>
      </c>
      <c r="E8" s="4">
        <v>1120</v>
      </c>
      <c r="F8" s="4">
        <v>1250</v>
      </c>
    </row>
    <row r="9" spans="1:6" x14ac:dyDescent="0.2">
      <c r="A9" s="2" t="s">
        <v>206</v>
      </c>
      <c r="B9" s="4">
        <v>680</v>
      </c>
      <c r="C9" s="4">
        <v>736</v>
      </c>
      <c r="D9" s="4">
        <v>808</v>
      </c>
      <c r="E9" s="4">
        <v>896</v>
      </c>
      <c r="F9" s="4">
        <v>1000</v>
      </c>
    </row>
    <row r="10" spans="1:6" x14ac:dyDescent="0.2">
      <c r="A10" s="2" t="s">
        <v>207</v>
      </c>
      <c r="B10" s="4">
        <v>3200</v>
      </c>
      <c r="C10" s="4">
        <v>3400</v>
      </c>
      <c r="D10" s="4">
        <v>3600</v>
      </c>
      <c r="E10" s="4">
        <v>3800</v>
      </c>
      <c r="F10" s="4">
        <v>4000</v>
      </c>
    </row>
    <row r="11" spans="1:6" x14ac:dyDescent="0.2">
      <c r="A11" s="2" t="s">
        <v>208</v>
      </c>
      <c r="B11" s="4">
        <v>900</v>
      </c>
      <c r="C11" s="4">
        <v>900</v>
      </c>
      <c r="D11" s="4">
        <v>900</v>
      </c>
      <c r="E11" s="4">
        <v>900</v>
      </c>
      <c r="F11" s="4">
        <v>900</v>
      </c>
    </row>
    <row r="12" spans="1:6" x14ac:dyDescent="0.2">
      <c r="A12" s="2" t="s">
        <v>209</v>
      </c>
      <c r="B12" s="4">
        <v>1670</v>
      </c>
      <c r="C12" s="4">
        <v>1894</v>
      </c>
      <c r="D12" s="4">
        <v>2282</v>
      </c>
      <c r="E12" s="4">
        <v>2804</v>
      </c>
      <c r="F12" s="4">
        <v>3500</v>
      </c>
    </row>
    <row r="13" spans="1:6" x14ac:dyDescent="0.2">
      <c r="A13" s="2" t="s">
        <v>210</v>
      </c>
      <c r="B13" s="4">
        <v>8500</v>
      </c>
      <c r="C13" s="4">
        <v>9200</v>
      </c>
      <c r="D13" s="4">
        <v>10100</v>
      </c>
      <c r="E13" s="4">
        <v>11200</v>
      </c>
      <c r="F13" s="4">
        <v>12500</v>
      </c>
    </row>
    <row r="14" spans="1:6" x14ac:dyDescent="0.2">
      <c r="A14" s="2" t="s">
        <v>211</v>
      </c>
      <c r="B14" s="4">
        <v>595</v>
      </c>
      <c r="C14" s="4">
        <v>644</v>
      </c>
      <c r="D14" s="4">
        <v>707</v>
      </c>
      <c r="E14" s="4">
        <v>784</v>
      </c>
      <c r="F14" s="4">
        <v>875</v>
      </c>
    </row>
    <row r="15" spans="1:6" x14ac:dyDescent="0.2">
      <c r="A15" s="2" t="s">
        <v>212</v>
      </c>
      <c r="B15" s="4">
        <v>1500</v>
      </c>
      <c r="C15" s="4">
        <v>1400</v>
      </c>
      <c r="D15" s="4">
        <v>1300</v>
      </c>
      <c r="E15" s="4">
        <v>1200</v>
      </c>
      <c r="F15" s="4">
        <v>1100</v>
      </c>
    </row>
    <row r="16" spans="1:6" x14ac:dyDescent="0.2">
      <c r="A16" s="2" t="s">
        <v>213</v>
      </c>
      <c r="B16" s="4">
        <v>300</v>
      </c>
      <c r="C16" s="4">
        <v>320</v>
      </c>
      <c r="D16" s="4">
        <v>340</v>
      </c>
      <c r="E16" s="4">
        <v>360</v>
      </c>
      <c r="F16" s="4">
        <v>380</v>
      </c>
    </row>
    <row r="17" spans="1:6" x14ac:dyDescent="0.2">
      <c r="A17" s="2" t="s">
        <v>214</v>
      </c>
      <c r="B17" s="4">
        <v>1005</v>
      </c>
      <c r="C17" s="4">
        <v>1136</v>
      </c>
      <c r="D17" s="4">
        <v>1253</v>
      </c>
      <c r="E17" s="4">
        <v>1356</v>
      </c>
      <c r="F17" s="4">
        <v>1445</v>
      </c>
    </row>
    <row r="18" spans="1:6" x14ac:dyDescent="0.2">
      <c r="A18" s="2" t="s">
        <v>215</v>
      </c>
      <c r="B18" s="4">
        <v>3400</v>
      </c>
      <c r="C18" s="4">
        <v>3500</v>
      </c>
      <c r="D18" s="4">
        <v>3600</v>
      </c>
      <c r="E18" s="4">
        <v>3700</v>
      </c>
      <c r="F18" s="4">
        <v>3800</v>
      </c>
    </row>
    <row r="19" spans="1:6" x14ac:dyDescent="0.2">
      <c r="A19" s="2" t="s">
        <v>216</v>
      </c>
      <c r="B19" s="4">
        <v>5100</v>
      </c>
      <c r="C19" s="4">
        <v>5700</v>
      </c>
      <c r="D19" s="4">
        <v>6500</v>
      </c>
      <c r="E19" s="4">
        <v>7500</v>
      </c>
      <c r="F19" s="4">
        <v>8700</v>
      </c>
    </row>
    <row r="20" spans="1:6" x14ac:dyDescent="0.2">
      <c r="A20" s="2" t="s">
        <v>217</v>
      </c>
      <c r="B20" s="4">
        <v>5100</v>
      </c>
      <c r="C20" s="4">
        <v>5700</v>
      </c>
      <c r="D20" s="4">
        <v>6500</v>
      </c>
      <c r="E20" s="4">
        <v>7500</v>
      </c>
      <c r="F20" s="4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2"/>
  <sheetViews>
    <sheetView showGridLines="0" workbookViewId="0"/>
  </sheetViews>
  <sheetFormatPr baseColWidth="10" defaultColWidth="8.83203125" defaultRowHeight="15" x14ac:dyDescent="0.2"/>
  <cols>
    <col min="1" max="1" width="48" customWidth="1"/>
    <col min="2" max="6" width="16" customWidth="1"/>
  </cols>
  <sheetData>
    <row r="1" spans="1:6" x14ac:dyDescent="0.2">
      <c r="A1" s="2" t="s">
        <v>187</v>
      </c>
    </row>
    <row r="2" spans="1:6" x14ac:dyDescent="0.2">
      <c r="A2" s="2" t="s">
        <v>218</v>
      </c>
    </row>
    <row r="3" spans="1:6" x14ac:dyDescent="0.2">
      <c r="A3" s="2" t="s">
        <v>189</v>
      </c>
    </row>
    <row r="4" spans="1:6" x14ac:dyDescent="0.2">
      <c r="A4" s="2" t="s">
        <v>190</v>
      </c>
    </row>
    <row r="6" spans="1:6" x14ac:dyDescent="0.2">
      <c r="A6" s="2" t="s">
        <v>191</v>
      </c>
      <c r="B6" s="3">
        <v>44561</v>
      </c>
      <c r="C6" s="3">
        <v>44926</v>
      </c>
      <c r="D6" s="3">
        <v>45291</v>
      </c>
      <c r="E6" s="3">
        <v>45657</v>
      </c>
      <c r="F6" s="3">
        <v>46022</v>
      </c>
    </row>
    <row r="7" spans="1:6" x14ac:dyDescent="0.2">
      <c r="A7" s="2" t="s">
        <v>202</v>
      </c>
      <c r="B7" s="4">
        <v>2760</v>
      </c>
      <c r="C7" s="4">
        <v>2988</v>
      </c>
      <c r="D7" s="4">
        <v>3283</v>
      </c>
      <c r="E7" s="4">
        <v>3644</v>
      </c>
      <c r="F7" s="4">
        <v>4072</v>
      </c>
    </row>
    <row r="8" spans="1:6" x14ac:dyDescent="0.2">
      <c r="A8" s="2" t="s">
        <v>219</v>
      </c>
      <c r="B8" s="4">
        <v>340</v>
      </c>
      <c r="C8" s="4">
        <v>368</v>
      </c>
      <c r="D8" s="4">
        <v>404</v>
      </c>
      <c r="E8" s="4">
        <v>448</v>
      </c>
      <c r="F8" s="4">
        <v>500</v>
      </c>
    </row>
    <row r="9" spans="1:6" x14ac:dyDescent="0.2">
      <c r="A9" s="2" t="s">
        <v>220</v>
      </c>
      <c r="B9" s="4">
        <v>1450</v>
      </c>
      <c r="C9" s="4">
        <v>1600</v>
      </c>
      <c r="D9" s="4">
        <v>1750</v>
      </c>
      <c r="E9" s="4">
        <v>1930</v>
      </c>
      <c r="F9" s="4">
        <v>2070</v>
      </c>
    </row>
    <row r="10" spans="1:6" x14ac:dyDescent="0.2">
      <c r="A10" s="2" t="s">
        <v>221</v>
      </c>
      <c r="B10" s="4">
        <v>-800</v>
      </c>
      <c r="C10" s="4">
        <v>-850</v>
      </c>
      <c r="D10" s="4">
        <v>-900</v>
      </c>
      <c r="E10" s="4">
        <v>-950</v>
      </c>
      <c r="F10" s="4">
        <v>-1000</v>
      </c>
    </row>
    <row r="11" spans="1:6" x14ac:dyDescent="0.2">
      <c r="A11" s="2" t="s">
        <v>222</v>
      </c>
      <c r="B11" s="4">
        <v>-500</v>
      </c>
      <c r="C11" s="4">
        <v>-600</v>
      </c>
      <c r="D11" s="4">
        <v>-700</v>
      </c>
      <c r="E11" s="4">
        <v>-800</v>
      </c>
      <c r="F11" s="4">
        <v>-900</v>
      </c>
    </row>
    <row r="12" spans="1:6" x14ac:dyDescent="0.2">
      <c r="A12" s="2" t="s">
        <v>223</v>
      </c>
      <c r="B12" s="4">
        <v>150</v>
      </c>
      <c r="C12" s="4">
        <v>150</v>
      </c>
      <c r="D12" s="4">
        <v>150</v>
      </c>
      <c r="E12" s="4">
        <v>180</v>
      </c>
      <c r="F12" s="4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4"/>
  <sheetViews>
    <sheetView showGridLines="0" tabSelected="1" workbookViewId="0">
      <selection activeCell="C30" sqref="C30"/>
    </sheetView>
  </sheetViews>
  <sheetFormatPr baseColWidth="10" defaultColWidth="8.83203125" defaultRowHeight="15" x14ac:dyDescent="0.2"/>
  <cols>
    <col min="1" max="1" width="42" customWidth="1"/>
    <col min="2" max="2" width="32" customWidth="1"/>
    <col min="3" max="7" width="14" customWidth="1"/>
    <col min="8" max="8" width="42" customWidth="1"/>
  </cols>
  <sheetData>
    <row r="1" spans="1:8" x14ac:dyDescent="0.2">
      <c r="A1" s="2" t="s">
        <v>224</v>
      </c>
    </row>
    <row r="4" spans="1:8" x14ac:dyDescent="0.2">
      <c r="A4" s="2" t="s">
        <v>225</v>
      </c>
    </row>
    <row r="5" spans="1:8" x14ac:dyDescent="0.2">
      <c r="A5" s="2" t="s">
        <v>191</v>
      </c>
      <c r="B5" s="2" t="s">
        <v>226</v>
      </c>
      <c r="C5" s="3">
        <v>44561</v>
      </c>
      <c r="D5" s="3">
        <v>44926</v>
      </c>
      <c r="E5" s="3">
        <v>45291</v>
      </c>
      <c r="F5" s="3">
        <v>45657</v>
      </c>
      <c r="G5" s="3">
        <v>46022</v>
      </c>
      <c r="H5" s="2" t="s">
        <v>227</v>
      </c>
    </row>
    <row r="6" spans="1:8" x14ac:dyDescent="0.2">
      <c r="A6" s="2" t="s">
        <v>204</v>
      </c>
      <c r="B6" s="2" t="s">
        <v>228</v>
      </c>
      <c r="C6" s="4">
        <v>1200</v>
      </c>
      <c r="D6" s="4">
        <v>1350</v>
      </c>
      <c r="E6" s="4">
        <v>1500</v>
      </c>
      <c r="F6" s="4">
        <v>1680</v>
      </c>
      <c r="G6" s="4">
        <v>1850</v>
      </c>
    </row>
    <row r="7" spans="1:8" x14ac:dyDescent="0.2">
      <c r="A7" s="2" t="s">
        <v>205</v>
      </c>
      <c r="B7" s="2" t="s">
        <v>229</v>
      </c>
      <c r="C7" s="4">
        <v>850</v>
      </c>
      <c r="D7" s="4">
        <v>920</v>
      </c>
      <c r="E7" s="4">
        <v>1010</v>
      </c>
      <c r="F7" s="4">
        <v>1120</v>
      </c>
      <c r="G7" s="4">
        <v>1250</v>
      </c>
    </row>
    <row r="8" spans="1:8" x14ac:dyDescent="0.2">
      <c r="A8" s="2" t="s">
        <v>206</v>
      </c>
      <c r="B8" s="2" t="s">
        <v>229</v>
      </c>
      <c r="C8" s="4">
        <v>680</v>
      </c>
      <c r="D8" s="4">
        <v>736</v>
      </c>
      <c r="E8" s="4">
        <v>808</v>
      </c>
      <c r="F8" s="4">
        <v>896</v>
      </c>
      <c r="G8" s="4">
        <v>1000</v>
      </c>
    </row>
    <row r="9" spans="1:8" x14ac:dyDescent="0.2">
      <c r="A9" s="2" t="s">
        <v>207</v>
      </c>
      <c r="B9" s="2" t="s">
        <v>230</v>
      </c>
      <c r="C9" s="4">
        <v>3200</v>
      </c>
      <c r="D9" s="4">
        <v>3400</v>
      </c>
      <c r="E9" s="4">
        <v>3600</v>
      </c>
      <c r="F9" s="4">
        <v>3800</v>
      </c>
      <c r="G9" s="4">
        <v>4000</v>
      </c>
    </row>
    <row r="10" spans="1:8" x14ac:dyDescent="0.2">
      <c r="A10" s="2" t="s">
        <v>208</v>
      </c>
      <c r="B10" s="2" t="s">
        <v>230</v>
      </c>
      <c r="C10" s="4">
        <v>900</v>
      </c>
      <c r="D10" s="4">
        <v>900</v>
      </c>
      <c r="E10" s="4">
        <v>900</v>
      </c>
      <c r="F10" s="4">
        <v>900</v>
      </c>
      <c r="G10" s="4">
        <v>900</v>
      </c>
    </row>
    <row r="11" spans="1:8" x14ac:dyDescent="0.2">
      <c r="A11" s="2" t="s">
        <v>209</v>
      </c>
      <c r="B11" s="2" t="s">
        <v>230</v>
      </c>
      <c r="C11" s="4">
        <v>1670</v>
      </c>
      <c r="D11" s="4">
        <v>1894</v>
      </c>
      <c r="E11" s="4">
        <v>2282</v>
      </c>
      <c r="F11" s="4">
        <v>2804</v>
      </c>
      <c r="G11" s="4">
        <v>3500</v>
      </c>
    </row>
    <row r="12" spans="1:8" x14ac:dyDescent="0.2">
      <c r="A12" s="2" t="s">
        <v>211</v>
      </c>
      <c r="B12" s="2" t="s">
        <v>231</v>
      </c>
      <c r="C12" s="4">
        <v>595</v>
      </c>
      <c r="D12" s="4">
        <v>644</v>
      </c>
      <c r="E12" s="4">
        <v>707</v>
      </c>
      <c r="F12" s="4">
        <v>784</v>
      </c>
      <c r="G12" s="4">
        <v>875</v>
      </c>
    </row>
    <row r="13" spans="1:8" x14ac:dyDescent="0.2">
      <c r="A13" s="2" t="s">
        <v>212</v>
      </c>
      <c r="B13" s="2" t="s">
        <v>232</v>
      </c>
      <c r="C13" s="4">
        <v>1500</v>
      </c>
      <c r="D13" s="4">
        <v>1400</v>
      </c>
      <c r="E13" s="4">
        <v>1300</v>
      </c>
      <c r="F13" s="4">
        <v>1200</v>
      </c>
      <c r="G13" s="4">
        <v>1100</v>
      </c>
    </row>
    <row r="14" spans="1:8" x14ac:dyDescent="0.2">
      <c r="A14" s="2" t="s">
        <v>213</v>
      </c>
      <c r="B14" s="2" t="str">
        <f>IF('Accounting Judgment'!$F$5="","Operating Long-Term Liability",'Accounting Judgment'!$F$5)</f>
        <v>Operating Long-Term Liability</v>
      </c>
      <c r="C14" s="4">
        <v>300</v>
      </c>
      <c r="D14" s="4">
        <v>320</v>
      </c>
      <c r="E14" s="4">
        <v>340</v>
      </c>
      <c r="F14" s="4">
        <v>360</v>
      </c>
      <c r="G14" s="4">
        <v>380</v>
      </c>
      <c r="H14" s="2" t="s">
        <v>233</v>
      </c>
    </row>
    <row r="15" spans="1:8" x14ac:dyDescent="0.2">
      <c r="A15" s="2" t="s">
        <v>214</v>
      </c>
      <c r="B15" s="2" t="s">
        <v>234</v>
      </c>
      <c r="C15" s="4">
        <v>1005</v>
      </c>
      <c r="D15" s="4">
        <v>1136</v>
      </c>
      <c r="E15" s="4">
        <v>1253</v>
      </c>
      <c r="F15" s="4">
        <v>1356</v>
      </c>
      <c r="G15" s="4">
        <v>1445</v>
      </c>
    </row>
    <row r="16" spans="1:8" x14ac:dyDescent="0.2">
      <c r="A16" s="2" t="s">
        <v>216</v>
      </c>
      <c r="B16" s="2" t="s">
        <v>235</v>
      </c>
      <c r="C16" s="4">
        <v>5100</v>
      </c>
      <c r="D16" s="4">
        <v>5700</v>
      </c>
      <c r="E16" s="4">
        <v>6500</v>
      </c>
      <c r="F16" s="4">
        <v>7500</v>
      </c>
      <c r="G16" s="4">
        <v>8700</v>
      </c>
    </row>
    <row r="18" spans="1:6" x14ac:dyDescent="0.2">
      <c r="A18" s="2" t="s">
        <v>236</v>
      </c>
      <c r="B18" s="3">
        <v>44561</v>
      </c>
      <c r="C18" s="3">
        <v>44926</v>
      </c>
      <c r="D18" s="3">
        <v>45291</v>
      </c>
      <c r="E18" s="3">
        <v>45657</v>
      </c>
      <c r="F18" s="3">
        <v>46022</v>
      </c>
    </row>
    <row r="19" spans="1:6" x14ac:dyDescent="0.2">
      <c r="A19" s="2" t="s">
        <v>192</v>
      </c>
      <c r="B19" s="5">
        <f>'Income Statement'!B7</f>
        <v>8500</v>
      </c>
      <c r="C19" s="5">
        <f>'Income Statement'!C7</f>
        <v>9200</v>
      </c>
      <c r="D19" s="5">
        <f>'Income Statement'!D7</f>
        <v>10100</v>
      </c>
      <c r="E19" s="5">
        <f>'Income Statement'!E7</f>
        <v>11200</v>
      </c>
      <c r="F19" s="5">
        <f>'Income Statement'!F7</f>
        <v>12500</v>
      </c>
    </row>
    <row r="20" spans="1:6" x14ac:dyDescent="0.2">
      <c r="A20" s="2" t="s">
        <v>237</v>
      </c>
      <c r="B20" s="5">
        <f>'Income Statement'!B17</f>
        <v>2760</v>
      </c>
      <c r="C20" s="5">
        <f>'Income Statement'!C17</f>
        <v>2988</v>
      </c>
      <c r="D20" s="5">
        <f>'Income Statement'!D17</f>
        <v>3283</v>
      </c>
      <c r="E20" s="5">
        <f>'Income Statement'!E17</f>
        <v>3644</v>
      </c>
      <c r="F20" s="5">
        <f>'Income Statement'!F17</f>
        <v>4072</v>
      </c>
    </row>
    <row r="21" spans="1:6" x14ac:dyDescent="0.2">
      <c r="A21" s="2" t="s">
        <v>238</v>
      </c>
      <c r="B21" s="2">
        <f>'Income Statement'!B15</f>
        <v>3325</v>
      </c>
      <c r="C21" s="2">
        <f>'Income Statement'!C15</f>
        <v>3600</v>
      </c>
      <c r="D21" s="2">
        <f>'Income Statement'!D15</f>
        <v>3955</v>
      </c>
      <c r="E21" s="2">
        <f>'Income Statement'!E15</f>
        <v>4390</v>
      </c>
      <c r="F21" s="2">
        <f>'Income Statement'!F15</f>
        <v>4905</v>
      </c>
    </row>
    <row r="22" spans="1:6" x14ac:dyDescent="0.2">
      <c r="A22" s="2" t="s">
        <v>239</v>
      </c>
      <c r="B22" s="2">
        <f>'Income Statement'!B16</f>
        <v>-565</v>
      </c>
      <c r="C22" s="2">
        <f>'Income Statement'!C16</f>
        <v>-612</v>
      </c>
      <c r="D22" s="2">
        <f>'Income Statement'!D16</f>
        <v>-672</v>
      </c>
      <c r="E22" s="2">
        <f>'Income Statement'!E16</f>
        <v>-746</v>
      </c>
      <c r="F22" s="2">
        <f>'Income Statement'!F16</f>
        <v>-833</v>
      </c>
    </row>
    <row r="23" spans="1:6" x14ac:dyDescent="0.2">
      <c r="A23" s="2" t="s">
        <v>240</v>
      </c>
      <c r="B23" s="2">
        <f>'Income Statement'!B13</f>
        <v>-120</v>
      </c>
      <c r="C23" s="2">
        <f>'Income Statement'!C13</f>
        <v>-130</v>
      </c>
      <c r="D23" s="2">
        <f>'Income Statement'!D13</f>
        <v>-140</v>
      </c>
      <c r="E23" s="2">
        <f>'Income Statement'!E13</f>
        <v>-150</v>
      </c>
      <c r="F23" s="2">
        <f>'Income Statement'!F13</f>
        <v>-160</v>
      </c>
    </row>
    <row r="24" spans="1:6" x14ac:dyDescent="0.2">
      <c r="A24" s="2" t="s">
        <v>241</v>
      </c>
      <c r="B24" s="2">
        <f>'Income Statement'!B14</f>
        <v>45</v>
      </c>
      <c r="C24" s="2">
        <f>'Income Statement'!C14</f>
        <v>50</v>
      </c>
      <c r="D24" s="2">
        <f>'Income Statement'!D14</f>
        <v>55</v>
      </c>
      <c r="E24" s="2">
        <f>'Income Statement'!E14</f>
        <v>60</v>
      </c>
      <c r="F24" s="2">
        <f>'Income Statement'!F14</f>
        <v>65</v>
      </c>
    </row>
    <row r="25" spans="1:6" x14ac:dyDescent="0.2">
      <c r="A25" s="2" t="s">
        <v>242</v>
      </c>
      <c r="B25" s="6">
        <f>IF(B21=0,NA(),-B22/B21)</f>
        <v>0.1699248120300752</v>
      </c>
      <c r="C25" s="6">
        <f>IF(C21=0,NA(),-C22/C21)</f>
        <v>0.17</v>
      </c>
      <c r="D25" s="6">
        <f>IF(D21=0,NA(),-D22/D21)</f>
        <v>0.16991150442477876</v>
      </c>
      <c r="E25" s="6">
        <f>IF(E21=0,NA(),-E22/E21)</f>
        <v>0.16993166287015946</v>
      </c>
      <c r="F25" s="6">
        <f>IF(F21=0,NA(),-F22/F21)</f>
        <v>0.16982670744138634</v>
      </c>
    </row>
    <row r="26" spans="1:6" x14ac:dyDescent="0.2">
      <c r="A26" s="2" t="s">
        <v>243</v>
      </c>
      <c r="B26" s="7">
        <f>-(B23+B24)</f>
        <v>75</v>
      </c>
      <c r="C26" s="7">
        <f>-(C23+C24)</f>
        <v>80</v>
      </c>
      <c r="D26" s="7">
        <f>-(D23+D24)</f>
        <v>85</v>
      </c>
      <c r="E26" s="7">
        <f>-(E23+E24)</f>
        <v>90</v>
      </c>
      <c r="F26" s="7">
        <f>-(F23+F24)</f>
        <v>95</v>
      </c>
    </row>
    <row r="27" spans="1:6" x14ac:dyDescent="0.2">
      <c r="A27" s="2" t="s">
        <v>244</v>
      </c>
      <c r="B27" s="7">
        <f>IF(B26=0,0,IF(ISNA(B25),NA(),B26*(1-B25)))</f>
        <v>62.255639097744364</v>
      </c>
      <c r="C27" s="7">
        <f>IF(C26=0,0,IF(ISNA(C25),NA(),C26*(1-C25)))</f>
        <v>66.399999999999991</v>
      </c>
      <c r="D27" s="7">
        <f>IF(D26=0,0,IF(ISNA(D25),NA(),D26*(1-D25)))</f>
        <v>70.557522123893804</v>
      </c>
      <c r="E27" s="7">
        <f>IF(E26=0,0,IF(ISNA(E25),NA(),E26*(1-E25)))</f>
        <v>74.706150341685643</v>
      </c>
      <c r="F27" s="7">
        <f>IF(F26=0,0,IF(ISNA(F25),NA(),F26*(1-F25)))</f>
        <v>78.866462793068294</v>
      </c>
    </row>
    <row r="28" spans="1:6" x14ac:dyDescent="0.2">
      <c r="A28" s="2" t="s">
        <v>22</v>
      </c>
      <c r="B28" s="7">
        <f>B20+B27</f>
        <v>2822.2556390977443</v>
      </c>
      <c r="C28" s="7">
        <f>C20+C27</f>
        <v>3054.4</v>
      </c>
      <c r="D28" s="7">
        <f>D20+D27</f>
        <v>3353.5575221238937</v>
      </c>
      <c r="E28" s="7">
        <f>E20+E27</f>
        <v>3718.7061503416858</v>
      </c>
      <c r="F28" s="7">
        <f>F20+F27</f>
        <v>4150.8664627930684</v>
      </c>
    </row>
    <row r="30" spans="1:6" x14ac:dyDescent="0.2">
      <c r="A30" s="2" t="s">
        <v>245</v>
      </c>
    </row>
    <row r="31" spans="1:6" x14ac:dyDescent="0.2">
      <c r="A31" s="2" t="s">
        <v>246</v>
      </c>
      <c r="B31" s="7">
        <f>SUMIF($B$6:$B$16,"Operating Working Capital Asset",C$6:C$16)</f>
        <v>1530</v>
      </c>
      <c r="C31" s="7">
        <f>SUMIF($B$6:$B$16,"Operating Working Capital Asset",D$6:D$16)</f>
        <v>1656</v>
      </c>
      <c r="D31" s="7">
        <f>SUMIF($B$6:$B$16,"Operating Working Capital Asset",E$6:E$16)</f>
        <v>1818</v>
      </c>
      <c r="E31" s="7">
        <f>SUMIF($B$6:$B$16,"Operating Working Capital Asset",F$6:F$16)</f>
        <v>2016</v>
      </c>
      <c r="F31" s="7">
        <f>SUMIF($B$6:$B$16,"Operating Working Capital Asset",G$6:G$16)</f>
        <v>2250</v>
      </c>
    </row>
    <row r="32" spans="1:6" x14ac:dyDescent="0.2">
      <c r="A32" s="2" t="s">
        <v>247</v>
      </c>
      <c r="B32" s="7">
        <f>SUMIF($B$6:$B$16,"Operating Working Capital Liability",C$6:C$16)</f>
        <v>595</v>
      </c>
      <c r="C32" s="7">
        <f>SUMIF($B$6:$B$16,"Operating Working Capital Liability",D$6:D$16)</f>
        <v>644</v>
      </c>
      <c r="D32" s="7">
        <f>SUMIF($B$6:$B$16,"Operating Working Capital Liability",E$6:E$16)</f>
        <v>707</v>
      </c>
      <c r="E32" s="7">
        <f>SUMIF($B$6:$B$16,"Operating Working Capital Liability",F$6:F$16)</f>
        <v>784</v>
      </c>
      <c r="F32" s="7">
        <f>SUMIF($B$6:$B$16,"Operating Working Capital Liability",G$6:G$16)</f>
        <v>875</v>
      </c>
    </row>
    <row r="33" spans="1:6" x14ac:dyDescent="0.2">
      <c r="A33" s="2" t="s">
        <v>248</v>
      </c>
      <c r="B33" s="7">
        <f>B31-B32</f>
        <v>935</v>
      </c>
      <c r="C33" s="7">
        <f>C31-C32</f>
        <v>1012</v>
      </c>
      <c r="D33" s="7">
        <f>D31-D32</f>
        <v>1111</v>
      </c>
      <c r="E33" s="7">
        <f>E31-E32</f>
        <v>1232</v>
      </c>
      <c r="F33" s="7">
        <f>F31-F32</f>
        <v>1375</v>
      </c>
    </row>
    <row r="34" spans="1:6" x14ac:dyDescent="0.2">
      <c r="A34" s="2" t="s">
        <v>249</v>
      </c>
      <c r="B34" s="7">
        <f>SUMIF($B$6:$B$16,"Operating Long-Term Asset",C$6:C$16)</f>
        <v>5770</v>
      </c>
      <c r="C34" s="7">
        <f>SUMIF($B$6:$B$16,"Operating Long-Term Asset",D$6:D$16)</f>
        <v>6194</v>
      </c>
      <c r="D34" s="7">
        <f>SUMIF($B$6:$B$16,"Operating Long-Term Asset",E$6:E$16)</f>
        <v>6782</v>
      </c>
      <c r="E34" s="7">
        <f>SUMIF($B$6:$B$16,"Operating Long-Term Asset",F$6:F$16)</f>
        <v>7504</v>
      </c>
      <c r="F34" s="7">
        <f>SUMIF($B$6:$B$16,"Operating Long-Term Asset",G$6:G$16)</f>
        <v>8400</v>
      </c>
    </row>
    <row r="35" spans="1:6" x14ac:dyDescent="0.2">
      <c r="A35" s="2" t="s">
        <v>250</v>
      </c>
      <c r="B35" s="7">
        <f>SUMIF($B$6:$B$16,"Operating Long-Term Liability",C$6:C$16)</f>
        <v>1305</v>
      </c>
      <c r="C35" s="7">
        <f>SUMIF($B$6:$B$16,"Operating Long-Term Liability",D$6:D$16)</f>
        <v>1456</v>
      </c>
      <c r="D35" s="7">
        <f>SUMIF($B$6:$B$16,"Operating Long-Term Liability",E$6:E$16)</f>
        <v>1593</v>
      </c>
      <c r="E35" s="7">
        <f>SUMIF($B$6:$B$16,"Operating Long-Term Liability",F$6:F$16)</f>
        <v>1716</v>
      </c>
      <c r="F35" s="7">
        <f>SUMIF($B$6:$B$16,"Operating Long-Term Liability",G$6:G$16)</f>
        <v>1825</v>
      </c>
    </row>
    <row r="36" spans="1:6" x14ac:dyDescent="0.2">
      <c r="A36" s="2" t="s">
        <v>251</v>
      </c>
      <c r="B36" s="7">
        <f>B34-B35</f>
        <v>4465</v>
      </c>
      <c r="C36" s="7">
        <f>C34-C35</f>
        <v>4738</v>
      </c>
      <c r="D36" s="7">
        <f>D34-D35</f>
        <v>5189</v>
      </c>
      <c r="E36" s="7">
        <f>E34-E35</f>
        <v>5788</v>
      </c>
      <c r="F36" s="7">
        <f>F34-F35</f>
        <v>6575</v>
      </c>
    </row>
    <row r="37" spans="1:6" x14ac:dyDescent="0.2">
      <c r="A37" s="2" t="s">
        <v>252</v>
      </c>
      <c r="B37" s="7">
        <f>B33+B36</f>
        <v>5400</v>
      </c>
      <c r="C37" s="7">
        <f>C33+C36</f>
        <v>5750</v>
      </c>
      <c r="D37" s="7">
        <f>D33+D36</f>
        <v>6300</v>
      </c>
      <c r="E37" s="7">
        <f>E33+E36</f>
        <v>7020</v>
      </c>
      <c r="F37" s="7">
        <f>F33+F36</f>
        <v>7950</v>
      </c>
    </row>
    <row r="38" spans="1:6" x14ac:dyDescent="0.2">
      <c r="A38" s="2" t="s">
        <v>253</v>
      </c>
      <c r="B38" s="7">
        <f>SUMIF($B$6:$B$16,"Financial Asset",C$6:C$16)</f>
        <v>1200</v>
      </c>
      <c r="C38" s="7">
        <f>SUMIF($B$6:$B$16,"Financial Asset",D$6:D$16)</f>
        <v>1350</v>
      </c>
      <c r="D38" s="7">
        <f>SUMIF($B$6:$B$16,"Financial Asset",E$6:E$16)</f>
        <v>1500</v>
      </c>
      <c r="E38" s="7">
        <f>SUMIF($B$6:$B$16,"Financial Asset",F$6:F$16)</f>
        <v>1680</v>
      </c>
      <c r="F38" s="7">
        <f>SUMIF($B$6:$B$16,"Financial Asset",G$6:G$16)</f>
        <v>1850</v>
      </c>
    </row>
    <row r="39" spans="1:6" x14ac:dyDescent="0.2">
      <c r="A39" s="2" t="s">
        <v>254</v>
      </c>
      <c r="B39" s="7">
        <f>SUMIF($B$6:$B$16,"Financial Liability",C$6:C$16)</f>
        <v>1500</v>
      </c>
      <c r="C39" s="7">
        <f>SUMIF($B$6:$B$16,"Financial Liability",D$6:D$16)</f>
        <v>1400</v>
      </c>
      <c r="D39" s="7">
        <f>SUMIF($B$6:$B$16,"Financial Liability",E$6:E$16)</f>
        <v>1300</v>
      </c>
      <c r="E39" s="7">
        <f>SUMIF($B$6:$B$16,"Financial Liability",F$6:F$16)</f>
        <v>1200</v>
      </c>
      <c r="F39" s="7">
        <f>SUMIF($B$6:$B$16,"Financial Liability",G$6:G$16)</f>
        <v>1100</v>
      </c>
    </row>
    <row r="40" spans="1:6" x14ac:dyDescent="0.2">
      <c r="A40" s="2" t="s">
        <v>46</v>
      </c>
      <c r="B40" s="7">
        <f>B39-B38</f>
        <v>300</v>
      </c>
      <c r="C40" s="7">
        <f>C39-C38</f>
        <v>50</v>
      </c>
      <c r="D40" s="7">
        <f>D39-D38</f>
        <v>-200</v>
      </c>
      <c r="E40" s="7">
        <f>E39-E38</f>
        <v>-480</v>
      </c>
      <c r="F40" s="7">
        <f>F39-F38</f>
        <v>-750</v>
      </c>
    </row>
    <row r="41" spans="1:6" x14ac:dyDescent="0.2">
      <c r="A41" s="2" t="s">
        <v>255</v>
      </c>
      <c r="B41" s="7">
        <f>B37-B40</f>
        <v>5100</v>
      </c>
      <c r="C41" s="7">
        <f>C37-C40</f>
        <v>5700</v>
      </c>
      <c r="D41" s="7">
        <f>D37-D40</f>
        <v>6500</v>
      </c>
      <c r="E41" s="7">
        <f>E37-E40</f>
        <v>7500</v>
      </c>
      <c r="F41" s="7">
        <f>F37-F40</f>
        <v>8700</v>
      </c>
    </row>
    <row r="42" spans="1:6" x14ac:dyDescent="0.2">
      <c r="A42" s="2" t="s">
        <v>256</v>
      </c>
      <c r="B42" s="4">
        <f>'Balance Sheet'!B20</f>
        <v>5100</v>
      </c>
      <c r="C42" s="4">
        <f>'Balance Sheet'!C20</f>
        <v>5700</v>
      </c>
      <c r="D42" s="4">
        <f>'Balance Sheet'!D20</f>
        <v>6500</v>
      </c>
      <c r="E42" s="4">
        <f>'Balance Sheet'!E20</f>
        <v>7500</v>
      </c>
      <c r="F42" s="4">
        <f>'Balance Sheet'!F20</f>
        <v>8700</v>
      </c>
    </row>
    <row r="43" spans="1:6" x14ac:dyDescent="0.2">
      <c r="A43" s="2" t="s">
        <v>257</v>
      </c>
      <c r="B43" s="4">
        <f>B40+B41</f>
        <v>5400</v>
      </c>
      <c r="C43" s="4">
        <f>C40+C41</f>
        <v>5750</v>
      </c>
      <c r="D43" s="4">
        <f>D40+D41</f>
        <v>6300</v>
      </c>
      <c r="E43" s="4">
        <f>E40+E41</f>
        <v>7020</v>
      </c>
      <c r="F43" s="4">
        <f>F40+F41</f>
        <v>7950</v>
      </c>
    </row>
    <row r="44" spans="1:6" x14ac:dyDescent="0.2">
      <c r="A44" s="2" t="s">
        <v>258</v>
      </c>
      <c r="B44" s="2" t="str">
        <f>IF(ABS(B41-B42)&lt;1,"OK","CHECK")</f>
        <v>OK</v>
      </c>
      <c r="C44" s="2" t="str">
        <f>IF(ABS(C41-C42)&lt;1,"OK","CHECK")</f>
        <v>OK</v>
      </c>
      <c r="D44" s="2" t="str">
        <f>IF(ABS(D41-D42)&lt;1,"OK","CHECK")</f>
        <v>OK</v>
      </c>
      <c r="E44" s="2" t="str">
        <f>IF(ABS(E41-E42)&lt;1,"OK","CHECK")</f>
        <v>OK</v>
      </c>
      <c r="F44" s="2" t="str">
        <f>IF(ABS(F41-F42)&lt;1,"OK","CHECK")</f>
        <v>OK</v>
      </c>
    </row>
  </sheetData>
  <dataValidations count="1">
    <dataValidation type="list" sqref="B6 B7 B8 B9 B10 B11 B12 B13 B15 B16" xr:uid="{00000000-0002-0000-0400-000000000000}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1"/>
  <sheetViews>
    <sheetView showGridLines="0" workbookViewId="0">
      <selection activeCell="C10" sqref="C10:F10"/>
    </sheetView>
  </sheetViews>
  <sheetFormatPr baseColWidth="10" defaultColWidth="8.83203125" defaultRowHeight="15" x14ac:dyDescent="0.2"/>
  <cols>
    <col min="1" max="1" width="42" customWidth="1"/>
    <col min="2" max="6" width="14" customWidth="1"/>
  </cols>
  <sheetData>
    <row r="1" spans="1:6" x14ac:dyDescent="0.2">
      <c r="A1" s="2" t="s">
        <v>259</v>
      </c>
    </row>
    <row r="2" spans="1:6" x14ac:dyDescent="0.2">
      <c r="A2" s="2" t="s">
        <v>260</v>
      </c>
    </row>
    <row r="4" spans="1:6" x14ac:dyDescent="0.2">
      <c r="A4" s="2" t="s">
        <v>261</v>
      </c>
      <c r="B4" s="3">
        <v>44561</v>
      </c>
      <c r="C4" s="3">
        <v>44926</v>
      </c>
      <c r="D4" s="3">
        <v>45291</v>
      </c>
      <c r="E4" s="3">
        <v>45657</v>
      </c>
      <c r="F4" s="3">
        <v>46022</v>
      </c>
    </row>
    <row r="5" spans="1:6" x14ac:dyDescent="0.2">
      <c r="A5" s="2" t="s">
        <v>52</v>
      </c>
      <c r="B5" s="2" t="s">
        <v>262</v>
      </c>
      <c r="C5" s="6">
        <f>IF('Condensed Financials'!B19=0,NA(),'Condensed Financials'!C19/'Condensed Financials'!B19-1)</f>
        <v>8.2352941176470518E-2</v>
      </c>
      <c r="D5" s="6">
        <f>IF('Condensed Financials'!C19=0,NA(),'Condensed Financials'!D19/'Condensed Financials'!C19-1)</f>
        <v>9.7826086956521729E-2</v>
      </c>
      <c r="E5" s="6">
        <f>IF('Condensed Financials'!D19=0,NA(),'Condensed Financials'!E19/'Condensed Financials'!D19-1)</f>
        <v>0.10891089108910901</v>
      </c>
      <c r="F5" s="6">
        <f>IF('Condensed Financials'!E19=0,NA(),'Condensed Financials'!F19/'Condensed Financials'!E19-1)</f>
        <v>0.1160714285714286</v>
      </c>
    </row>
    <row r="6" spans="1:6" x14ac:dyDescent="0.2">
      <c r="A6" s="2" t="s">
        <v>57</v>
      </c>
      <c r="B6" s="6">
        <f>IF('Condensed Financials'!B19=0,NA(),'Condensed Financials'!B28/'Condensed Financials'!B19)</f>
        <v>0.3320300751879699</v>
      </c>
      <c r="C6" s="6">
        <f>IF('Condensed Financials'!C19=0,NA(),'Condensed Financials'!C28/'Condensed Financials'!C19)</f>
        <v>0.33200000000000002</v>
      </c>
      <c r="D6" s="6">
        <f>IF('Condensed Financials'!D19=0,NA(),'Condensed Financials'!D28/'Condensed Financials'!D19)</f>
        <v>0.33203539823008849</v>
      </c>
      <c r="E6" s="6">
        <f>IF('Condensed Financials'!E19=0,NA(),'Condensed Financials'!E28/'Condensed Financials'!E19)</f>
        <v>0.33202733485193625</v>
      </c>
      <c r="F6" s="6">
        <f>IF('Condensed Financials'!F19=0,NA(),'Condensed Financials'!F28/'Condensed Financials'!F19)</f>
        <v>0.3320693170234455</v>
      </c>
    </row>
    <row r="7" spans="1:6" x14ac:dyDescent="0.2">
      <c r="A7" s="2" t="s">
        <v>263</v>
      </c>
      <c r="B7" s="2" t="s">
        <v>262</v>
      </c>
      <c r="C7" s="6">
        <f>IF((('Condensed Financials'!C37+'Condensed Financials'!B37)/2)=0,NA(),'Condensed Financials'!C28/(('Condensed Financials'!C37+'Condensed Financials'!B37)/2))</f>
        <v>0.54787443946188341</v>
      </c>
      <c r="D7" s="6">
        <f>IF((('Condensed Financials'!D37+'Condensed Financials'!C37)/2)=0,NA(),'Condensed Financials'!D28/(('Condensed Financials'!D37+'Condensed Financials'!C37)/2))</f>
        <v>0.55660705761392426</v>
      </c>
      <c r="E7" s="6">
        <f>IF((('Condensed Financials'!E37+'Condensed Financials'!D37)/2)=0,NA(),'Condensed Financials'!E28/(('Condensed Financials'!E37+'Condensed Financials'!D37)/2))</f>
        <v>0.55836428683809092</v>
      </c>
      <c r="F7" s="6">
        <f>IF((('Condensed Financials'!F37+'Condensed Financials'!E37)/2)=0,NA(),'Condensed Financials'!F28/(('Condensed Financials'!F37+'Condensed Financials'!E37)/2))</f>
        <v>0.55455797766106463</v>
      </c>
    </row>
    <row r="8" spans="1:6" x14ac:dyDescent="0.2">
      <c r="A8" s="2" t="s">
        <v>264</v>
      </c>
      <c r="B8" s="2" t="s">
        <v>262</v>
      </c>
      <c r="C8" s="6">
        <f>IF((('Condensed Financials'!C40+'Condensed Financials'!B40)/2)=0,NA(),'Condensed Financials'!C27/(('Condensed Financials'!C40+'Condensed Financials'!B40)/2))</f>
        <v>0.37942857142857139</v>
      </c>
      <c r="D8" s="6">
        <f>IF((('Condensed Financials'!D40+'Condensed Financials'!C40)/2)=0,NA(),'Condensed Financials'!D27/(('Condensed Financials'!D40+'Condensed Financials'!C40)/2))</f>
        <v>-0.94076696165191742</v>
      </c>
      <c r="E8" s="6">
        <f>IF((('Condensed Financials'!E40+'Condensed Financials'!D40)/2)=0,NA(),'Condensed Financials'!E27/(('Condensed Financials'!E40+'Condensed Financials'!D40)/2))</f>
        <v>-0.21972397159319307</v>
      </c>
      <c r="F8" s="6">
        <f>IF((('Condensed Financials'!F40+'Condensed Financials'!E40)/2)=0,NA(),'Condensed Financials'!F27/(('Condensed Financials'!F40+'Condensed Financials'!E40)/2))</f>
        <v>-0.12823815088303789</v>
      </c>
    </row>
    <row r="9" spans="1:6" x14ac:dyDescent="0.2">
      <c r="A9" s="2" t="s">
        <v>265</v>
      </c>
      <c r="B9" s="2" t="s">
        <v>262</v>
      </c>
      <c r="C9" s="6">
        <f>C7-C8</f>
        <v>0.16844586803331202</v>
      </c>
      <c r="D9" s="6">
        <f>D7-D8</f>
        <v>1.4973740192658416</v>
      </c>
      <c r="E9" s="6">
        <f>E7-E8</f>
        <v>0.77808825843128404</v>
      </c>
      <c r="F9" s="6">
        <f>F7-F8</f>
        <v>0.68279612854410254</v>
      </c>
    </row>
    <row r="10" spans="1:6" x14ac:dyDescent="0.2">
      <c r="A10" s="2" t="s">
        <v>266</v>
      </c>
      <c r="B10" s="2" t="s">
        <v>262</v>
      </c>
      <c r="C10" s="11">
        <f>IF((('Condensed Financials'!C41+'Condensed Financials'!B41)/2)=0,NA(),(('Condensed Financials'!C40+'Condensed Financials'!B40)/2)/(('Condensed Financials'!C41+'Condensed Financials'!B41)/2))</f>
        <v>3.2407407407407406E-2</v>
      </c>
      <c r="D10" s="11">
        <f>IF((('Condensed Financials'!D41+'Condensed Financials'!C41)/2)=0,NA(),(('Condensed Financials'!D40+'Condensed Financials'!C40)/2)/(('Condensed Financials'!D41+'Condensed Financials'!C41)/2))</f>
        <v>-1.2295081967213115E-2</v>
      </c>
      <c r="E10" s="11">
        <f>IF((('Condensed Financials'!E41+'Condensed Financials'!D41)/2)=0,NA(),(('Condensed Financials'!E40+'Condensed Financials'!D40)/2)/(('Condensed Financials'!E41+'Condensed Financials'!D41)/2))</f>
        <v>-4.8571428571428571E-2</v>
      </c>
      <c r="F10" s="11">
        <f>IF((('Condensed Financials'!F41+'Condensed Financials'!E41)/2)=0,NA(),(('Condensed Financials'!F40+'Condensed Financials'!E40)/2)/(('Condensed Financials'!F41+'Condensed Financials'!E41)/2))</f>
        <v>-7.5925925925925924E-2</v>
      </c>
    </row>
    <row r="11" spans="1:6" x14ac:dyDescent="0.2">
      <c r="A11" s="2" t="s">
        <v>267</v>
      </c>
      <c r="B11" s="2" t="s">
        <v>262</v>
      </c>
      <c r="C11" s="6">
        <f>C7+C10*(C9)</f>
        <v>0.55333333333333334</v>
      </c>
      <c r="D11" s="6">
        <f>D7+D10*(D9)</f>
        <v>0.53819672131147533</v>
      </c>
      <c r="E11" s="6">
        <f>E7+E10*(E9)</f>
        <v>0.52057142857142857</v>
      </c>
      <c r="F11" s="6">
        <f>F7+F10*(F9)</f>
        <v>0.50271604938271608</v>
      </c>
    </row>
    <row r="12" spans="1:6" x14ac:dyDescent="0.2">
      <c r="A12" s="2" t="s">
        <v>75</v>
      </c>
      <c r="B12" s="2" t="s">
        <v>262</v>
      </c>
      <c r="C12" s="6">
        <f>IF((('Condensed Financials'!C41+'Condensed Financials'!B41)/2)=0,NA(),'Condensed Financials'!C20/(('Condensed Financials'!C41+'Condensed Financials'!B41)/2))</f>
        <v>0.55333333333333334</v>
      </c>
      <c r="D12" s="6">
        <f>IF((('Condensed Financials'!D41+'Condensed Financials'!C41)/2)=0,NA(),'Condensed Financials'!D20/(('Condensed Financials'!D41+'Condensed Financials'!C41)/2))</f>
        <v>0.53819672131147545</v>
      </c>
      <c r="E12" s="6">
        <f>IF((('Condensed Financials'!E41+'Condensed Financials'!D41)/2)=0,NA(),'Condensed Financials'!E20/(('Condensed Financials'!E41+'Condensed Financials'!D41)/2))</f>
        <v>0.52057142857142857</v>
      </c>
      <c r="F12" s="6">
        <f>IF((('Condensed Financials'!F41+'Condensed Financials'!E41)/2)=0,NA(),'Condensed Financials'!F20/(('Condensed Financials'!F41+'Condensed Financials'!E41)/2))</f>
        <v>0.50271604938271608</v>
      </c>
    </row>
    <row r="14" spans="1:6" x14ac:dyDescent="0.2">
      <c r="A14" s="2" t="s">
        <v>268</v>
      </c>
    </row>
    <row r="15" spans="1:6" x14ac:dyDescent="0.2">
      <c r="A15" s="2" t="s">
        <v>269</v>
      </c>
      <c r="B15" s="2" t="s">
        <v>262</v>
      </c>
      <c r="C15" s="7">
        <f>('Condensed Financials'!B37+'Condensed Financials'!C37)/2</f>
        <v>5575</v>
      </c>
      <c r="D15" s="7">
        <f>('Condensed Financials'!C37+'Condensed Financials'!D37)/2</f>
        <v>6025</v>
      </c>
      <c r="E15" s="7">
        <f>('Condensed Financials'!D37+'Condensed Financials'!E37)/2</f>
        <v>6660</v>
      </c>
      <c r="F15" s="7">
        <f>('Condensed Financials'!E37+'Condensed Financials'!F37)/2</f>
        <v>7485</v>
      </c>
    </row>
    <row r="16" spans="1:6" x14ac:dyDescent="0.2">
      <c r="A16" s="2" t="s">
        <v>270</v>
      </c>
      <c r="B16" s="2" t="s">
        <v>262</v>
      </c>
      <c r="C16" s="8">
        <f>IF(C15=0,NA(),'Condensed Financials'!C19/C15)</f>
        <v>1.6502242152466369</v>
      </c>
      <c r="D16" s="8">
        <f>IF(D15=0,NA(),'Condensed Financials'!D19/D15)</f>
        <v>1.6763485477178424</v>
      </c>
      <c r="E16" s="8">
        <f>IF(E15=0,NA(),'Condensed Financials'!E19/E15)</f>
        <v>1.6816816816816818</v>
      </c>
      <c r="F16" s="8">
        <f>IF(F15=0,NA(),'Condensed Financials'!F19/F15)</f>
        <v>1.6700066800267201</v>
      </c>
    </row>
    <row r="17" spans="1:6" x14ac:dyDescent="0.2">
      <c r="A17" s="2" t="s">
        <v>271</v>
      </c>
      <c r="B17" s="2" t="s">
        <v>262</v>
      </c>
      <c r="C17" s="8">
        <f>IF('Condensed Financials'!C19=0,NA(),C15/'Condensed Financials'!C19)</f>
        <v>0.60597826086956519</v>
      </c>
      <c r="D17" s="8">
        <f>IF('Condensed Financials'!D19=0,NA(),D15/'Condensed Financials'!D19)</f>
        <v>0.59653465346534651</v>
      </c>
      <c r="E17" s="8">
        <f>IF('Condensed Financials'!E19=0,NA(),E15/'Condensed Financials'!E19)</f>
        <v>0.59464285714285714</v>
      </c>
      <c r="F17" s="8">
        <f>IF('Condensed Financials'!F19=0,NA(),F15/'Condensed Financials'!F19)</f>
        <v>0.5988</v>
      </c>
    </row>
    <row r="18" spans="1:6" x14ac:dyDescent="0.2">
      <c r="A18" s="2" t="s">
        <v>136</v>
      </c>
      <c r="B18" s="2" t="s">
        <v>262</v>
      </c>
      <c r="C18" s="6">
        <f>C6*C16</f>
        <v>0.54787443946188352</v>
      </c>
      <c r="D18" s="6">
        <f>D6*D16</f>
        <v>0.55660705761392426</v>
      </c>
      <c r="E18" s="6">
        <f>E6*E16</f>
        <v>0.55836428683809103</v>
      </c>
      <c r="F18" s="6">
        <f>F6*F16</f>
        <v>0.55455797766106463</v>
      </c>
    </row>
    <row r="19" spans="1:6" x14ac:dyDescent="0.2">
      <c r="A19" s="2" t="s">
        <v>272</v>
      </c>
      <c r="B19" s="2" t="s">
        <v>262</v>
      </c>
      <c r="C19" s="2" t="str">
        <f>IF(ISNA(C18),"N/A",IF(ISNA(C7),"CHECK",IF(ABS(C18-C7)&lt;0.0000001,"OK","CHECK")))</f>
        <v>OK</v>
      </c>
      <c r="D19" s="2" t="str">
        <f>IF(ISNA(D18),"N/A",IF(ISNA(D7),"CHECK",IF(ABS(D18-D7)&lt;0.0000001,"OK","CHECK")))</f>
        <v>OK</v>
      </c>
      <c r="E19" s="2" t="str">
        <f>IF(ISNA(E18),"N/A",IF(ISNA(E7),"CHECK",IF(ABS(E18-E7)&lt;0.0000001,"OK","CHECK")))</f>
        <v>OK</v>
      </c>
      <c r="F19" s="2" t="str">
        <f>IF(ISNA(F18),"N/A",IF(ISNA(F7),"CHECK",IF(ABS(F18-F7)&lt;0.0000001,"OK","CHECK")))</f>
        <v>OK</v>
      </c>
    </row>
    <row r="21" spans="1:6" x14ac:dyDescent="0.2">
      <c r="A21" s="2" t="s">
        <v>273</v>
      </c>
    </row>
    <row r="22" spans="1:6" x14ac:dyDescent="0.2">
      <c r="A22" s="2" t="s">
        <v>139</v>
      </c>
      <c r="B22" s="2" t="s">
        <v>262</v>
      </c>
      <c r="C22" s="2" t="s">
        <v>262</v>
      </c>
      <c r="D22" s="6">
        <f>D6-C6</f>
        <v>3.5398230088468097E-5</v>
      </c>
      <c r="E22" s="6">
        <f>E6-D6</f>
        <v>-8.0633781522343462E-6</v>
      </c>
      <c r="F22" s="6">
        <f>F6-E6</f>
        <v>4.1982171509247213E-5</v>
      </c>
    </row>
    <row r="23" spans="1:6" x14ac:dyDescent="0.2">
      <c r="A23" s="2" t="s">
        <v>143</v>
      </c>
      <c r="B23" s="2" t="s">
        <v>262</v>
      </c>
      <c r="C23" s="2" t="s">
        <v>262</v>
      </c>
      <c r="D23" s="8">
        <f>D16-C16</f>
        <v>2.6124332471205491E-2</v>
      </c>
      <c r="E23" s="8">
        <f>E16-D16</f>
        <v>5.3331339638393871E-3</v>
      </c>
      <c r="F23" s="8">
        <f>F16-E16</f>
        <v>-1.1675001654961603E-2</v>
      </c>
    </row>
    <row r="24" spans="1:6" x14ac:dyDescent="0.2">
      <c r="A24" s="2" t="s">
        <v>146</v>
      </c>
      <c r="B24" s="2" t="s">
        <v>262</v>
      </c>
      <c r="C24" s="2" t="s">
        <v>262</v>
      </c>
      <c r="D24" s="6">
        <f>D7-C7</f>
        <v>8.7326181520408497E-3</v>
      </c>
      <c r="E24" s="6">
        <f>E7-D7</f>
        <v>1.7572292241666565E-3</v>
      </c>
      <c r="F24" s="6">
        <f>F7-E7</f>
        <v>-3.8063091770262902E-3</v>
      </c>
    </row>
    <row r="25" spans="1:6" x14ac:dyDescent="0.2">
      <c r="A25" s="2" t="s">
        <v>274</v>
      </c>
      <c r="B25" s="2" t="s">
        <v>262</v>
      </c>
      <c r="C25" s="2" t="s">
        <v>262</v>
      </c>
      <c r="D25" s="6">
        <f>D22*((D16+C16)/2)</f>
        <v>5.8877394034723841E-5</v>
      </c>
      <c r="E25" s="6">
        <f>E22*((E16+D16)/2)</f>
        <v>-1.3538533793141306E-5</v>
      </c>
      <c r="F25" s="6">
        <f>F22*((F16+E16)/2)</f>
        <v>7.0355577823394966E-5</v>
      </c>
    </row>
    <row r="26" spans="1:6" x14ac:dyDescent="0.2">
      <c r="A26" s="2" t="s">
        <v>275</v>
      </c>
      <c r="B26" s="2" t="s">
        <v>262</v>
      </c>
      <c r="C26" s="2" t="s">
        <v>262</v>
      </c>
      <c r="D26" s="6">
        <f>D23*((D6+C6)/2)</f>
        <v>8.6737407580060859E-3</v>
      </c>
      <c r="E26" s="6">
        <f>E23*((E6+D6)/2)</f>
        <v>1.7707677579598779E-3</v>
      </c>
      <c r="F26" s="6">
        <f>F23*((F6+E6)/2)</f>
        <v>-3.8766647548497705E-3</v>
      </c>
    </row>
    <row r="27" spans="1:6" x14ac:dyDescent="0.2">
      <c r="A27" s="2" t="s">
        <v>276</v>
      </c>
      <c r="B27" s="2" t="s">
        <v>262</v>
      </c>
      <c r="C27" s="2" t="s">
        <v>262</v>
      </c>
      <c r="D27" s="6">
        <f>D25+D26</f>
        <v>8.7326181520408098E-3</v>
      </c>
      <c r="E27" s="6">
        <f>E25+E26</f>
        <v>1.7572292241667367E-3</v>
      </c>
      <c r="F27" s="6">
        <f>F25+F26</f>
        <v>-3.8063091770263757E-3</v>
      </c>
    </row>
    <row r="28" spans="1:6" x14ac:dyDescent="0.2">
      <c r="A28" s="2" t="s">
        <v>277</v>
      </c>
      <c r="B28" s="2" t="s">
        <v>262</v>
      </c>
      <c r="C28" s="2" t="s">
        <v>262</v>
      </c>
      <c r="D28" s="2" t="str">
        <f>IF(OR(ISNA(D27),ISNA(D24)),"N/A",IF(ABS(D27-D24)&lt;0.0000001,"OK","CHECK"))</f>
        <v>OK</v>
      </c>
      <c r="E28" s="2" t="str">
        <f>IF(OR(ISNA(E27),ISNA(E24)),"N/A",IF(ABS(E27-E24)&lt;0.0000001,"OK","CHECK"))</f>
        <v>OK</v>
      </c>
      <c r="F28" s="2" t="str">
        <f>IF(OR(ISNA(F27),ISNA(F24)),"N/A",IF(ABS(F27-F24)&lt;0.0000001,"OK","CHECK"))</f>
        <v>OK</v>
      </c>
    </row>
    <row r="30" spans="1:6" x14ac:dyDescent="0.2">
      <c r="A30" s="2" t="s">
        <v>278</v>
      </c>
    </row>
    <row r="31" spans="1:6" x14ac:dyDescent="0.2">
      <c r="A31" s="2" t="s">
        <v>158</v>
      </c>
      <c r="B31" s="2" t="s">
        <v>262</v>
      </c>
      <c r="C31" s="6">
        <f>C10*C9</f>
        <v>5.4588938714499264E-3</v>
      </c>
      <c r="D31" s="6">
        <f>D10*D9</f>
        <v>-1.8410336302448871E-2</v>
      </c>
      <c r="E31" s="6">
        <f>E10*E9</f>
        <v>-3.7792858266662364E-2</v>
      </c>
      <c r="F31" s="6">
        <f>F10*F9</f>
        <v>-5.1841928278348527E-2</v>
      </c>
    </row>
    <row r="32" spans="1:6" x14ac:dyDescent="0.2">
      <c r="A32" s="2" t="s">
        <v>279</v>
      </c>
      <c r="B32" s="2" t="s">
        <v>262</v>
      </c>
      <c r="C32" s="2" t="str">
        <f>IF(OR(ISNA(C7),ISNA(C31),ISNA(C11)),"N/A",IF(ABS(C7+C31-C11)&lt;0.0000001,"OK","CHECK"))</f>
        <v>OK</v>
      </c>
      <c r="D32" s="2" t="str">
        <f>IF(OR(ISNA(D7),ISNA(D31),ISNA(D11)),"N/A",IF(ABS(D7+D31-D11)&lt;0.0000001,"OK","CHECK"))</f>
        <v>OK</v>
      </c>
      <c r="E32" s="2" t="str">
        <f>IF(OR(ISNA(E7),ISNA(E31),ISNA(E11)),"N/A",IF(ABS(E7+E31-E11)&lt;0.0000001,"OK","CHECK"))</f>
        <v>OK</v>
      </c>
      <c r="F32" s="2" t="str">
        <f>IF(OR(ISNA(F7),ISNA(F31),ISNA(F11)),"N/A",IF(ABS(F7+F31-F11)&lt;0.0000001,"OK","CHECK"))</f>
        <v>OK</v>
      </c>
    </row>
    <row r="34" spans="1:6" x14ac:dyDescent="0.2">
      <c r="A34" s="2" t="s">
        <v>280</v>
      </c>
    </row>
    <row r="35" spans="1:6" x14ac:dyDescent="0.2">
      <c r="A35" s="2" t="s">
        <v>161</v>
      </c>
      <c r="B35" s="2" t="s">
        <v>262</v>
      </c>
      <c r="C35" s="2" t="s">
        <v>262</v>
      </c>
      <c r="D35" s="6">
        <f>D11-C11</f>
        <v>-1.5136612021858009E-2</v>
      </c>
      <c r="E35" s="6">
        <f>E11-D11</f>
        <v>-1.7625292740046761E-2</v>
      </c>
      <c r="F35" s="6">
        <f>F11-E11</f>
        <v>-1.7855379188712495E-2</v>
      </c>
    </row>
    <row r="36" spans="1:6" x14ac:dyDescent="0.2">
      <c r="A36" s="2" t="s">
        <v>164</v>
      </c>
      <c r="B36" s="2" t="s">
        <v>262</v>
      </c>
      <c r="C36" s="2" t="s">
        <v>262</v>
      </c>
      <c r="D36" s="6">
        <f>D24</f>
        <v>8.7326181520408497E-3</v>
      </c>
      <c r="E36" s="6">
        <f>E24</f>
        <v>1.7572292241666565E-3</v>
      </c>
      <c r="F36" s="6">
        <f>F24</f>
        <v>-3.8063091770262902E-3</v>
      </c>
    </row>
    <row r="37" spans="1:6" x14ac:dyDescent="0.2">
      <c r="A37" s="2" t="s">
        <v>167</v>
      </c>
      <c r="B37" s="2" t="s">
        <v>262</v>
      </c>
      <c r="C37" s="2" t="s">
        <v>262</v>
      </c>
      <c r="D37" s="6">
        <f>(D10-C10)*((D9+C9)/2)</f>
        <v>-3.7233147906010983E-2</v>
      </c>
      <c r="E37" s="6">
        <f>(E10-D10)*((E9+D9)/2)</f>
        <v>-4.1272729135279247E-2</v>
      </c>
      <c r="F37" s="6">
        <f>(F10-E10)*((F9+E9)/2)</f>
        <v>-1.998087904937235E-2</v>
      </c>
    </row>
    <row r="38" spans="1:6" x14ac:dyDescent="0.2">
      <c r="A38" s="2" t="s">
        <v>169</v>
      </c>
      <c r="B38" s="2" t="s">
        <v>262</v>
      </c>
      <c r="C38" s="2" t="s">
        <v>262</v>
      </c>
      <c r="D38" s="6">
        <f>(D9-C9)*((D10+C10)/2)</f>
        <v>1.3363917732112185E-2</v>
      </c>
      <c r="E38" s="6">
        <f>(E9-D9)*((E10+D10)/2)</f>
        <v>2.189020717106575E-2</v>
      </c>
      <c r="F38" s="6">
        <f>(F9-E9)*((F10+E10)/2)</f>
        <v>5.9318090376861924E-3</v>
      </c>
    </row>
    <row r="39" spans="1:6" x14ac:dyDescent="0.2">
      <c r="A39" s="2" t="s">
        <v>172</v>
      </c>
      <c r="B39" s="2" t="s">
        <v>262</v>
      </c>
      <c r="C39" s="2" t="s">
        <v>262</v>
      </c>
      <c r="D39" s="6">
        <f>D37+D38</f>
        <v>-2.3869230173898796E-2</v>
      </c>
      <c r="E39" s="6">
        <f>E37+E38</f>
        <v>-1.9382521964213497E-2</v>
      </c>
      <c r="F39" s="6">
        <f>F37+F38</f>
        <v>-1.4049070011686158E-2</v>
      </c>
    </row>
    <row r="40" spans="1:6" x14ac:dyDescent="0.2">
      <c r="A40" s="2" t="s">
        <v>281</v>
      </c>
      <c r="B40" s="2" t="s">
        <v>262</v>
      </c>
      <c r="C40" s="2" t="s">
        <v>262</v>
      </c>
      <c r="D40" s="6">
        <f>D36+D39</f>
        <v>-1.5136612021857947E-2</v>
      </c>
      <c r="E40" s="6">
        <f>E36+E39</f>
        <v>-1.7625292740046841E-2</v>
      </c>
      <c r="F40" s="6">
        <f>F36+F39</f>
        <v>-1.7855379188712446E-2</v>
      </c>
    </row>
    <row r="41" spans="1:6" x14ac:dyDescent="0.2">
      <c r="A41" s="2" t="s">
        <v>282</v>
      </c>
      <c r="B41" s="2" t="s">
        <v>262</v>
      </c>
      <c r="C41" s="2" t="s">
        <v>262</v>
      </c>
      <c r="D41" s="2" t="str">
        <f>IF(OR(ISNA(D40),ISNA(D35)),"N/A",IF(ABS(D40-D35)&lt;0.0000001,"OK","CHECK"))</f>
        <v>OK</v>
      </c>
      <c r="E41" s="2" t="str">
        <f>IF(OR(ISNA(E40),ISNA(E35)),"N/A",IF(ABS(E40-E35)&lt;0.0000001,"OK","CHECK"))</f>
        <v>OK</v>
      </c>
      <c r="F41" s="2" t="str">
        <f>IF(OR(ISNA(F40),ISNA(F35)),"N/A",IF(ABS(F40-F35)&lt;0.0000001,"OK","CHECK"))</f>
        <v>OK</v>
      </c>
    </row>
  </sheetData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"/>
  <sheetViews>
    <sheetView showGridLines="0" workbookViewId="0"/>
  </sheetViews>
  <sheetFormatPr baseColWidth="10" defaultColWidth="8.83203125" defaultRowHeight="15" x14ac:dyDescent="0.2"/>
  <cols>
    <col min="1" max="1" width="8" customWidth="1"/>
    <col min="2" max="2" width="32" customWidth="1"/>
    <col min="3" max="3" width="36" customWidth="1"/>
    <col min="4" max="4" width="28" customWidth="1"/>
    <col min="5" max="5" width="32" customWidth="1"/>
    <col min="6" max="6" width="28" customWidth="1"/>
    <col min="7" max="7" width="40" customWidth="1"/>
    <col min="8" max="8" width="44" customWidth="1"/>
  </cols>
  <sheetData>
    <row r="1" spans="1:8" x14ac:dyDescent="0.2">
      <c r="A1" s="2" t="s">
        <v>283</v>
      </c>
    </row>
    <row r="2" spans="1:8" x14ac:dyDescent="0.2">
      <c r="A2" s="2" t="s">
        <v>284</v>
      </c>
    </row>
    <row r="3" spans="1:8" x14ac:dyDescent="0.2">
      <c r="A3" s="2" t="s">
        <v>285</v>
      </c>
    </row>
    <row r="4" spans="1:8" x14ac:dyDescent="0.2">
      <c r="A4" s="2" t="s">
        <v>2</v>
      </c>
      <c r="B4" s="2" t="s">
        <v>286</v>
      </c>
      <c r="C4" s="2" t="s">
        <v>287</v>
      </c>
      <c r="D4" s="2" t="s">
        <v>288</v>
      </c>
      <c r="E4" s="2" t="s">
        <v>289</v>
      </c>
      <c r="F4" s="2" t="s">
        <v>290</v>
      </c>
      <c r="G4" s="2" t="s">
        <v>291</v>
      </c>
      <c r="H4" s="2" t="s">
        <v>292</v>
      </c>
    </row>
    <row r="5" spans="1:8" ht="80" x14ac:dyDescent="0.2">
      <c r="A5" s="2">
        <v>1</v>
      </c>
      <c r="B5" s="2" t="s">
        <v>213</v>
      </c>
      <c r="C5" s="2" t="s">
        <v>293</v>
      </c>
      <c r="D5" s="2" t="s">
        <v>234</v>
      </c>
      <c r="E5" s="2" t="s">
        <v>232</v>
      </c>
      <c r="F5" s="9" t="s">
        <v>234</v>
      </c>
      <c r="G5" s="9" t="s">
        <v>294</v>
      </c>
      <c r="H5" s="9" t="s">
        <v>295</v>
      </c>
    </row>
  </sheetData>
  <dataValidations count="1">
    <dataValidation type="list" allowBlank="1" sqref="F5" xr:uid="{00000000-0002-0000-0600-000000000000}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"/>
  <sheetViews>
    <sheetView showGridLines="0" topLeftCell="F1" zoomScale="163" workbookViewId="0">
      <selection activeCell="H5" sqref="H5"/>
    </sheetView>
  </sheetViews>
  <sheetFormatPr baseColWidth="10" defaultColWidth="8.83203125" defaultRowHeight="15" x14ac:dyDescent="0.2"/>
  <cols>
    <col min="1" max="1" width="8" customWidth="1"/>
    <col min="2" max="2" width="32" customWidth="1"/>
    <col min="3" max="3" width="36" customWidth="1"/>
    <col min="4" max="4" width="28" customWidth="1"/>
    <col min="5" max="5" width="32" customWidth="1"/>
    <col min="6" max="6" width="28" customWidth="1"/>
    <col min="7" max="7" width="40" customWidth="1"/>
    <col min="8" max="8" width="44" customWidth="1"/>
  </cols>
  <sheetData>
    <row r="1" spans="1:8" x14ac:dyDescent="0.2">
      <c r="A1" s="2" t="s">
        <v>296</v>
      </c>
    </row>
    <row r="2" spans="1:8" x14ac:dyDescent="0.2">
      <c r="A2" s="2" t="s">
        <v>297</v>
      </c>
    </row>
    <row r="3" spans="1:8" x14ac:dyDescent="0.2">
      <c r="A3" s="2" t="s">
        <v>298</v>
      </c>
    </row>
    <row r="4" spans="1:8" x14ac:dyDescent="0.2">
      <c r="A4" s="2" t="s">
        <v>2</v>
      </c>
      <c r="B4" s="2" t="s">
        <v>286</v>
      </c>
      <c r="C4" s="2" t="s">
        <v>299</v>
      </c>
      <c r="D4" s="2" t="s">
        <v>288</v>
      </c>
      <c r="E4" s="2" t="s">
        <v>300</v>
      </c>
      <c r="F4" s="2" t="s">
        <v>290</v>
      </c>
      <c r="G4" s="2" t="s">
        <v>291</v>
      </c>
      <c r="H4" s="2" t="s">
        <v>292</v>
      </c>
    </row>
    <row r="5" spans="1:8" ht="64" x14ac:dyDescent="0.2">
      <c r="A5" s="2">
        <v>1</v>
      </c>
      <c r="B5" s="2" t="s">
        <v>196</v>
      </c>
      <c r="C5" s="2" t="s">
        <v>301</v>
      </c>
      <c r="D5" s="2" t="s">
        <v>302</v>
      </c>
      <c r="E5" s="2" t="s">
        <v>303</v>
      </c>
      <c r="F5" s="9" t="s">
        <v>302</v>
      </c>
      <c r="G5" s="9" t="s">
        <v>304</v>
      </c>
      <c r="H5" s="9" t="s">
        <v>305</v>
      </c>
    </row>
  </sheetData>
  <dataValidations count="1">
    <dataValidation type="list" allowBlank="1" sqref="F5" xr:uid="{00000000-0002-0000-0700-000000000000}">
      <formula1>"Non-recurring,Recurring"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showGridLines="0" zoomScale="140" workbookViewId="0"/>
  </sheetViews>
  <sheetFormatPr baseColWidth="10" defaultColWidth="8.83203125" defaultRowHeight="15" x14ac:dyDescent="0.2"/>
  <cols>
    <col min="1" max="1" width="40" customWidth="1"/>
    <col min="2" max="2" width="18" customWidth="1"/>
    <col min="3" max="7" width="14" customWidth="1"/>
  </cols>
  <sheetData>
    <row r="1" spans="1:7" x14ac:dyDescent="0.2">
      <c r="A1" s="2" t="s">
        <v>79</v>
      </c>
    </row>
    <row r="2" spans="1:7" x14ac:dyDescent="0.2">
      <c r="A2" s="2" t="s">
        <v>306</v>
      </c>
    </row>
    <row r="4" spans="1:7" x14ac:dyDescent="0.2">
      <c r="A4" s="2" t="s">
        <v>286</v>
      </c>
      <c r="B4" s="2" t="s">
        <v>307</v>
      </c>
      <c r="C4" s="3">
        <v>44561</v>
      </c>
      <c r="D4" s="3">
        <v>44926</v>
      </c>
      <c r="E4" s="3">
        <v>45291</v>
      </c>
      <c r="F4" s="3">
        <v>45657</v>
      </c>
      <c r="G4" s="3">
        <v>46022</v>
      </c>
    </row>
    <row r="5" spans="1:7" x14ac:dyDescent="0.2">
      <c r="A5" s="2" t="s">
        <v>196</v>
      </c>
      <c r="B5" s="2" t="str">
        <f>IF('Normalization Judgment'!$F$5="","Non-recurring",'Normalization Judgment'!$F$5)</f>
        <v>Non-recurring</v>
      </c>
      <c r="C5" s="4">
        <f>'Income Statement'!B11</f>
        <v>0</v>
      </c>
      <c r="D5" s="4">
        <f>'Income Statement'!C11</f>
        <v>0</v>
      </c>
      <c r="E5" s="4">
        <f>'Income Statement'!D11</f>
        <v>-200</v>
      </c>
      <c r="F5" s="4">
        <f>'Income Statement'!E11</f>
        <v>0</v>
      </c>
      <c r="G5" s="4">
        <f>'Income Statement'!F11</f>
        <v>0</v>
      </c>
    </row>
    <row r="7" spans="1:7" x14ac:dyDescent="0.2">
      <c r="A7" s="2" t="s">
        <v>308</v>
      </c>
      <c r="C7" s="4">
        <f>'Condensed Financials'!B28</f>
        <v>2822.2556390977443</v>
      </c>
      <c r="D7" s="4">
        <f>'Condensed Financials'!C28</f>
        <v>3054.4</v>
      </c>
      <c r="E7" s="4">
        <f>'Condensed Financials'!D28</f>
        <v>3353.5575221238937</v>
      </c>
      <c r="F7" s="4">
        <f>'Condensed Financials'!E28</f>
        <v>3718.7061503416858</v>
      </c>
      <c r="G7" s="4">
        <f>'Condensed Financials'!F28</f>
        <v>4150.8664627930684</v>
      </c>
    </row>
    <row r="8" spans="1:7" x14ac:dyDescent="0.2">
      <c r="A8" s="2" t="s">
        <v>309</v>
      </c>
      <c r="C8" s="4">
        <f>'Condensed Financials'!B20</f>
        <v>2760</v>
      </c>
      <c r="D8" s="4">
        <f>'Condensed Financials'!C20</f>
        <v>2988</v>
      </c>
      <c r="E8" s="4">
        <f>'Condensed Financials'!D20</f>
        <v>3283</v>
      </c>
      <c r="F8" s="4">
        <f>'Condensed Financials'!E20</f>
        <v>3644</v>
      </c>
      <c r="G8" s="4">
        <f>'Condensed Financials'!F20</f>
        <v>4072</v>
      </c>
    </row>
    <row r="9" spans="1:7" x14ac:dyDescent="0.2">
      <c r="A9" s="2" t="s">
        <v>310</v>
      </c>
      <c r="C9" s="7">
        <f>-SUMIF($B$5:$B$5,"Non-recurring",C$5:C$5)</f>
        <v>0</v>
      </c>
      <c r="D9" s="7">
        <f>-SUMIF($B$5:$B$5,"Non-recurring",D$5:D$5)</f>
        <v>0</v>
      </c>
      <c r="E9" s="7">
        <f>-SUMIF($B$5:$B$5,"Non-recurring",E$5:E$5)</f>
        <v>200</v>
      </c>
      <c r="F9" s="7">
        <f>-SUMIF($B$5:$B$5,"Non-recurring",F$5:F$5)</f>
        <v>0</v>
      </c>
      <c r="G9" s="7">
        <f>-SUMIF($B$5:$B$5,"Non-recurring",G$5:G$5)</f>
        <v>0</v>
      </c>
    </row>
    <row r="10" spans="1:7" x14ac:dyDescent="0.2">
      <c r="A10" s="2" t="s">
        <v>242</v>
      </c>
      <c r="C10" s="10">
        <f>'Condensed Financials'!B25</f>
        <v>0.1699248120300752</v>
      </c>
      <c r="D10" s="10">
        <f>'Condensed Financials'!C25</f>
        <v>0.17</v>
      </c>
      <c r="E10" s="10">
        <f>'Condensed Financials'!D25</f>
        <v>0.16991150442477876</v>
      </c>
      <c r="F10" s="10">
        <f>'Condensed Financials'!E25</f>
        <v>0.16993166287015946</v>
      </c>
      <c r="G10" s="10">
        <f>'Condensed Financials'!F25</f>
        <v>0.16982670744138634</v>
      </c>
    </row>
    <row r="11" spans="1:7" x14ac:dyDescent="0.2">
      <c r="A11" s="2" t="s">
        <v>311</v>
      </c>
      <c r="C11" s="7">
        <f>IF(C9=0,0,IF(ISNA(C10),NA(),C9*(1-C10)))</f>
        <v>0</v>
      </c>
      <c r="D11" s="7">
        <f>IF(D9=0,0,IF(ISNA(D10),NA(),D9*(1-D10)))</f>
        <v>0</v>
      </c>
      <c r="E11" s="7">
        <f>IF(E9=0,0,IF(ISNA(E10),NA(),E9*(1-E10)))</f>
        <v>166.01769911504425</v>
      </c>
      <c r="F11" s="7">
        <f>IF(F9=0,0,IF(ISNA(F10),NA(),F9*(1-F10)))</f>
        <v>0</v>
      </c>
      <c r="G11" s="7">
        <f>IF(G9=0,0,IF(ISNA(G10),NA(),G9*(1-G10)))</f>
        <v>0</v>
      </c>
    </row>
    <row r="12" spans="1:7" x14ac:dyDescent="0.2">
      <c r="A12" s="2" t="s">
        <v>84</v>
      </c>
      <c r="C12" s="7">
        <f>C7+C11</f>
        <v>2822.2556390977443</v>
      </c>
      <c r="D12" s="7">
        <f>D7+D11</f>
        <v>3054.4</v>
      </c>
      <c r="E12" s="7">
        <f>E7+E11</f>
        <v>3519.575221238938</v>
      </c>
      <c r="F12" s="7">
        <f>F7+F11</f>
        <v>3718.7061503416858</v>
      </c>
      <c r="G12" s="7">
        <f>G7+G11</f>
        <v>4150.8664627930684</v>
      </c>
    </row>
    <row r="13" spans="1:7" x14ac:dyDescent="0.2">
      <c r="A13" s="2" t="s">
        <v>87</v>
      </c>
      <c r="C13" s="7">
        <f>C8+C11</f>
        <v>2760</v>
      </c>
      <c r="D13" s="7">
        <f>D8+D11</f>
        <v>2988</v>
      </c>
      <c r="E13" s="7">
        <f>E8+E11</f>
        <v>3449.0176991150443</v>
      </c>
      <c r="F13" s="7">
        <f>F8+F11</f>
        <v>3644</v>
      </c>
      <c r="G13" s="7">
        <f>G8+G11</f>
        <v>4072</v>
      </c>
    </row>
    <row r="14" spans="1:7" x14ac:dyDescent="0.2">
      <c r="A14" s="2" t="s">
        <v>312</v>
      </c>
      <c r="C14" s="2" t="str">
        <f>IF(AND(ABS((C12-C7)-C11)&lt;0.01,ABS((C13-C8)-C11)&lt;0.01),"OK","CHECK")</f>
        <v>OK</v>
      </c>
      <c r="D14" s="2" t="str">
        <f>IF(AND(ABS((D12-D7)-D11)&lt;0.01,ABS((D13-D8)-D11)&lt;0.01),"OK","CHECK")</f>
        <v>OK</v>
      </c>
      <c r="E14" s="2" t="str">
        <f>IF(AND(ABS((E12-E7)-E11)&lt;0.01,ABS((E13-E8)-E11)&lt;0.01),"OK","CHECK")</f>
        <v>OK</v>
      </c>
      <c r="F14" s="2" t="str">
        <f>IF(AND(ABS((F12-F7)-F11)&lt;0.01,ABS((F13-F8)-F11)&lt;0.01),"OK","CHECK")</f>
        <v>OK</v>
      </c>
      <c r="G14" s="2" t="str">
        <f>IF(AND(ABS((G12-G7)-G11)&lt;0.01,ABS((G13-G8)-G11)&lt;0.01),"OK","CHECK")</f>
        <v>OK</v>
      </c>
    </row>
  </sheetData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9"/>
  <sheetViews>
    <sheetView showGridLines="0" zoomScale="176" workbookViewId="0"/>
  </sheetViews>
  <sheetFormatPr baseColWidth="10" defaultColWidth="8.83203125" defaultRowHeight="15" x14ac:dyDescent="0.2"/>
  <cols>
    <col min="1" max="1" width="42" customWidth="1"/>
    <col min="2" max="6" width="14" customWidth="1"/>
  </cols>
  <sheetData>
    <row r="1" spans="1:6" x14ac:dyDescent="0.2">
      <c r="A1" s="2" t="s">
        <v>313</v>
      </c>
    </row>
    <row r="2" spans="1:6" x14ac:dyDescent="0.2">
      <c r="A2" s="2" t="s">
        <v>314</v>
      </c>
    </row>
    <row r="4" spans="1:6" x14ac:dyDescent="0.2">
      <c r="A4" s="2" t="s">
        <v>261</v>
      </c>
      <c r="B4" s="3">
        <v>44561</v>
      </c>
      <c r="C4" s="3">
        <v>44926</v>
      </c>
      <c r="D4" s="3">
        <v>45291</v>
      </c>
      <c r="E4" s="3">
        <v>45657</v>
      </c>
      <c r="F4" s="3">
        <v>46022</v>
      </c>
    </row>
    <row r="5" spans="1:6" x14ac:dyDescent="0.2">
      <c r="A5" s="2" t="s">
        <v>315</v>
      </c>
      <c r="B5" s="7">
        <f>'Cash Flow Statement'!B9</f>
        <v>1450</v>
      </c>
      <c r="C5" s="7">
        <f>'Cash Flow Statement'!C9</f>
        <v>1600</v>
      </c>
      <c r="D5" s="7">
        <f>'Cash Flow Statement'!D9</f>
        <v>1750</v>
      </c>
      <c r="E5" s="7">
        <f>'Cash Flow Statement'!E9</f>
        <v>1930</v>
      </c>
      <c r="F5" s="7">
        <f>'Cash Flow Statement'!F9</f>
        <v>2070</v>
      </c>
    </row>
    <row r="6" spans="1:6" x14ac:dyDescent="0.2">
      <c r="A6" s="2" t="s">
        <v>309</v>
      </c>
      <c r="B6" s="4">
        <f>'Condensed Financials'!B20</f>
        <v>2760</v>
      </c>
      <c r="C6" s="4">
        <f>'Condensed Financials'!C20</f>
        <v>2988</v>
      </c>
      <c r="D6" s="4">
        <f>'Condensed Financials'!D20</f>
        <v>3283</v>
      </c>
      <c r="E6" s="4">
        <f>'Condensed Financials'!E20</f>
        <v>3644</v>
      </c>
      <c r="F6" s="4">
        <f>'Condensed Financials'!F20</f>
        <v>4072</v>
      </c>
    </row>
    <row r="7" spans="1:6" x14ac:dyDescent="0.2">
      <c r="A7" s="2" t="s">
        <v>316</v>
      </c>
      <c r="B7" s="8">
        <f>IF(B6=0,NA(),B5/B6)</f>
        <v>0.52536231884057971</v>
      </c>
      <c r="C7" s="8">
        <f>IF(C6=0,NA(),C5/C6)</f>
        <v>0.53547523427041499</v>
      </c>
      <c r="D7" s="8">
        <f>IF(D6=0,NA(),D5/D6)</f>
        <v>0.53304904051172708</v>
      </c>
      <c r="E7" s="8">
        <f>IF(E6=0,NA(),E5/E6)</f>
        <v>0.52963776070252466</v>
      </c>
      <c r="F7" s="8">
        <f>IF(F6=0,NA(),F5/F6)</f>
        <v>0.50834970530451862</v>
      </c>
    </row>
    <row r="8" spans="1:6" x14ac:dyDescent="0.2">
      <c r="A8" s="2" t="s">
        <v>317</v>
      </c>
      <c r="B8" s="7">
        <f>B6-B5</f>
        <v>1310</v>
      </c>
      <c r="C8" s="7">
        <f>C6-C5</f>
        <v>1388</v>
      </c>
      <c r="D8" s="7">
        <f>D6-D5</f>
        <v>1533</v>
      </c>
      <c r="E8" s="7">
        <f>E6-E5</f>
        <v>1714</v>
      </c>
      <c r="F8" s="7">
        <f>F6-F5</f>
        <v>2002</v>
      </c>
    </row>
    <row r="10" spans="1:6" x14ac:dyDescent="0.2">
      <c r="A10" s="2" t="s">
        <v>318</v>
      </c>
      <c r="B10" s="4">
        <f>'Balance Sheet'!B13</f>
        <v>8500</v>
      </c>
      <c r="C10" s="4">
        <f>'Balance Sheet'!C13</f>
        <v>9200</v>
      </c>
      <c r="D10" s="4">
        <f>'Balance Sheet'!D13</f>
        <v>10100</v>
      </c>
      <c r="E10" s="4">
        <f>'Balance Sheet'!E13</f>
        <v>11200</v>
      </c>
      <c r="F10" s="4">
        <f>'Balance Sheet'!F13</f>
        <v>12500</v>
      </c>
    </row>
    <row r="11" spans="1:6" x14ac:dyDescent="0.2">
      <c r="A11" s="2" t="s">
        <v>319</v>
      </c>
      <c r="C11" s="7">
        <f>(B10+C10)/2</f>
        <v>8850</v>
      </c>
      <c r="D11" s="7">
        <f>(C10+D10)/2</f>
        <v>9650</v>
      </c>
      <c r="E11" s="7">
        <f>(D10+E10)/2</f>
        <v>10650</v>
      </c>
      <c r="F11" s="7">
        <f>(E10+F10)/2</f>
        <v>11850</v>
      </c>
    </row>
    <row r="12" spans="1:6" x14ac:dyDescent="0.2">
      <c r="A12" s="2" t="s">
        <v>320</v>
      </c>
      <c r="C12" s="6">
        <f>IF(C11=0,NA(),C8/C11)</f>
        <v>0.1568361581920904</v>
      </c>
      <c r="D12" s="6">
        <f>IF(D11=0,NA(),D8/D11)</f>
        <v>0.158860103626943</v>
      </c>
      <c r="E12" s="6">
        <f>IF(E11=0,NA(),E8/E11)</f>
        <v>0.16093896713615025</v>
      </c>
      <c r="F12" s="6">
        <f>IF(F11=0,NA(),F8/F11)</f>
        <v>0.16894514767932489</v>
      </c>
    </row>
    <row r="14" spans="1:6" x14ac:dyDescent="0.2">
      <c r="A14" s="2" t="s">
        <v>321</v>
      </c>
    </row>
    <row r="15" spans="1:6" x14ac:dyDescent="0.2">
      <c r="A15" s="2" t="s">
        <v>178</v>
      </c>
      <c r="B15" s="2" t="s">
        <v>262</v>
      </c>
      <c r="C15" s="7">
        <f>C5-B5</f>
        <v>150</v>
      </c>
      <c r="D15" s="7">
        <f>D5-C5</f>
        <v>150</v>
      </c>
      <c r="E15" s="7">
        <f>E5-D5</f>
        <v>180</v>
      </c>
      <c r="F15" s="7">
        <f>F5-E5</f>
        <v>140</v>
      </c>
    </row>
    <row r="16" spans="1:6" x14ac:dyDescent="0.2">
      <c r="A16" s="2" t="s">
        <v>180</v>
      </c>
      <c r="B16" s="2" t="s">
        <v>262</v>
      </c>
      <c r="C16" s="8">
        <f t="shared" ref="C16:F17" si="0">C7-B7</f>
        <v>1.0112915429835279E-2</v>
      </c>
      <c r="D16" s="8">
        <f t="shared" si="0"/>
        <v>-2.4261937586879112E-3</v>
      </c>
      <c r="E16" s="8">
        <f t="shared" si="0"/>
        <v>-3.4112798092024166E-3</v>
      </c>
      <c r="F16" s="8">
        <f t="shared" si="0"/>
        <v>-2.1288055398006045E-2</v>
      </c>
    </row>
    <row r="17" spans="1:6" x14ac:dyDescent="0.2">
      <c r="A17" s="2" t="s">
        <v>182</v>
      </c>
      <c r="B17" s="2" t="s">
        <v>262</v>
      </c>
      <c r="C17" s="7">
        <f t="shared" si="0"/>
        <v>78</v>
      </c>
      <c r="D17" s="7">
        <f t="shared" si="0"/>
        <v>145</v>
      </c>
      <c r="E17" s="7">
        <f t="shared" si="0"/>
        <v>181</v>
      </c>
      <c r="F17" s="7">
        <f t="shared" si="0"/>
        <v>288</v>
      </c>
    </row>
    <row r="18" spans="1:6" x14ac:dyDescent="0.2">
      <c r="A18" s="2" t="s">
        <v>184</v>
      </c>
      <c r="B18" s="2" t="s">
        <v>262</v>
      </c>
      <c r="C18" s="2" t="s">
        <v>262</v>
      </c>
      <c r="D18" s="6">
        <f>D12-C12</f>
        <v>2.0239454348525976E-3</v>
      </c>
      <c r="E18" s="6">
        <f>E12-D12</f>
        <v>2.0788635092072461E-3</v>
      </c>
      <c r="F18" s="6">
        <f>F12-E12</f>
        <v>8.0061805431746458E-3</v>
      </c>
    </row>
    <row r="19" spans="1:6" x14ac:dyDescent="0.2">
      <c r="A19" s="2" t="s">
        <v>322</v>
      </c>
      <c r="B19" s="2" t="s">
        <v>262</v>
      </c>
      <c r="C19" s="2" t="str">
        <f>IF(ABS(C17-((C6-B6)-C15))&lt;0.01,"OK","CHECK")</f>
        <v>OK</v>
      </c>
      <c r="D19" s="2" t="str">
        <f>IF(ABS(D17-((D6-C6)-D15))&lt;0.01,"OK","CHECK")</f>
        <v>OK</v>
      </c>
      <c r="E19" s="2" t="str">
        <f>IF(ABS(E17-((E6-D6)-E15))&lt;0.01,"OK","CHECK")</f>
        <v>OK</v>
      </c>
      <c r="F19" s="2" t="str">
        <f>IF(ABS(F17-((F6-E6)-F15))&lt;0.01,"OK","CHECK")</f>
        <v>OK</v>
      </c>
    </row>
  </sheetData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4"/>
  <sheetViews>
    <sheetView showGridLines="0" zoomScale="187" workbookViewId="0"/>
  </sheetViews>
  <sheetFormatPr baseColWidth="10" defaultColWidth="8.83203125" defaultRowHeight="15" x14ac:dyDescent="0.2"/>
  <cols>
    <col min="1" max="1" width="48" customWidth="1"/>
    <col min="2" max="6" width="14" customWidth="1"/>
  </cols>
  <sheetData>
    <row r="1" spans="1:6" x14ac:dyDescent="0.2">
      <c r="A1" s="2" t="s">
        <v>101</v>
      </c>
    </row>
    <row r="2" spans="1:6" x14ac:dyDescent="0.2">
      <c r="A2" s="2" t="s">
        <v>323</v>
      </c>
    </row>
    <row r="3" spans="1:6" x14ac:dyDescent="0.2">
      <c r="A3" s="2" t="s">
        <v>324</v>
      </c>
    </row>
    <row r="5" spans="1:6" x14ac:dyDescent="0.2">
      <c r="A5" s="2" t="s">
        <v>261</v>
      </c>
      <c r="B5" s="3">
        <v>44561</v>
      </c>
      <c r="C5" s="3">
        <v>44926</v>
      </c>
      <c r="D5" s="3">
        <v>45291</v>
      </c>
      <c r="E5" s="3">
        <v>45657</v>
      </c>
      <c r="F5" s="3">
        <v>46022</v>
      </c>
    </row>
    <row r="6" spans="1:6" x14ac:dyDescent="0.2">
      <c r="A6" s="2" t="s">
        <v>192</v>
      </c>
      <c r="B6" s="4">
        <f>'Condensed Financials'!B19</f>
        <v>8500</v>
      </c>
      <c r="C6" s="4">
        <f>'Condensed Financials'!C19</f>
        <v>9200</v>
      </c>
      <c r="D6" s="4">
        <f>'Condensed Financials'!D19</f>
        <v>10100</v>
      </c>
      <c r="E6" s="4">
        <f>'Condensed Financials'!E19</f>
        <v>11200</v>
      </c>
      <c r="F6" s="4">
        <f>'Condensed Financials'!F19</f>
        <v>12500</v>
      </c>
    </row>
    <row r="7" spans="1:6" x14ac:dyDescent="0.2">
      <c r="A7" s="2" t="s">
        <v>246</v>
      </c>
      <c r="B7" s="4">
        <f>'Condensed Financials'!B31</f>
        <v>1530</v>
      </c>
      <c r="C7" s="4">
        <f>'Condensed Financials'!C31</f>
        <v>1656</v>
      </c>
      <c r="D7" s="4">
        <f>'Condensed Financials'!D31</f>
        <v>1818</v>
      </c>
      <c r="E7" s="4">
        <f>'Condensed Financials'!E31</f>
        <v>2016</v>
      </c>
      <c r="F7" s="4">
        <f>'Condensed Financials'!F31</f>
        <v>2250</v>
      </c>
    </row>
    <row r="8" spans="1:6" x14ac:dyDescent="0.2">
      <c r="A8" s="2" t="s">
        <v>247</v>
      </c>
      <c r="B8" s="4">
        <f>'Condensed Financials'!B32</f>
        <v>595</v>
      </c>
      <c r="C8" s="4">
        <f>'Condensed Financials'!C32</f>
        <v>644</v>
      </c>
      <c r="D8" s="4">
        <f>'Condensed Financials'!D32</f>
        <v>707</v>
      </c>
      <c r="E8" s="4">
        <f>'Condensed Financials'!E32</f>
        <v>784</v>
      </c>
      <c r="F8" s="4">
        <f>'Condensed Financials'!F32</f>
        <v>875</v>
      </c>
    </row>
    <row r="9" spans="1:6" x14ac:dyDescent="0.2">
      <c r="A9" s="2" t="s">
        <v>248</v>
      </c>
      <c r="B9" s="4">
        <f>'Condensed Financials'!B33</f>
        <v>935</v>
      </c>
      <c r="C9" s="4">
        <f>'Condensed Financials'!C33</f>
        <v>1012</v>
      </c>
      <c r="D9" s="4">
        <f>'Condensed Financials'!D33</f>
        <v>1111</v>
      </c>
      <c r="E9" s="4">
        <f>'Condensed Financials'!E33</f>
        <v>1232</v>
      </c>
      <c r="F9" s="4">
        <f>'Condensed Financials'!F33</f>
        <v>1375</v>
      </c>
    </row>
    <row r="11" spans="1:6" x14ac:dyDescent="0.2">
      <c r="A11" s="2" t="s">
        <v>325</v>
      </c>
      <c r="B11" s="6">
        <f>IF(B6=0,NA(),B7/B6)</f>
        <v>0.18</v>
      </c>
      <c r="C11" s="6">
        <f>IF(C6=0,NA(),C7/C6)</f>
        <v>0.18</v>
      </c>
      <c r="D11" s="6">
        <f>IF(D6=0,NA(),D7/D6)</f>
        <v>0.18</v>
      </c>
      <c r="E11" s="6">
        <f>IF(E6=0,NA(),E7/E6)</f>
        <v>0.18</v>
      </c>
      <c r="F11" s="6">
        <f>IF(F6=0,NA(),F7/F6)</f>
        <v>0.18</v>
      </c>
    </row>
    <row r="12" spans="1:6" x14ac:dyDescent="0.2">
      <c r="A12" s="2" t="s">
        <v>326</v>
      </c>
      <c r="B12" s="6">
        <f>IF(B6=0,NA(),B8/B6)</f>
        <v>7.0000000000000007E-2</v>
      </c>
      <c r="C12" s="6">
        <f>IF(C6=0,NA(),C8/C6)</f>
        <v>7.0000000000000007E-2</v>
      </c>
      <c r="D12" s="6">
        <f>IF(D6=0,NA(),D8/D6)</f>
        <v>7.0000000000000007E-2</v>
      </c>
      <c r="E12" s="6">
        <f>IF(E6=0,NA(),E8/E6)</f>
        <v>7.0000000000000007E-2</v>
      </c>
      <c r="F12" s="6">
        <f>IF(F6=0,NA(),F8/F6)</f>
        <v>7.0000000000000007E-2</v>
      </c>
    </row>
    <row r="13" spans="1:6" x14ac:dyDescent="0.2">
      <c r="A13" s="2" t="s">
        <v>105</v>
      </c>
      <c r="B13" s="6">
        <f>IF(B6=0,NA(),B9/B6)</f>
        <v>0.11</v>
      </c>
      <c r="C13" s="6">
        <f>IF(C6=0,NA(),C9/C6)</f>
        <v>0.11</v>
      </c>
      <c r="D13" s="6">
        <f>IF(D6=0,NA(),D9/D6)</f>
        <v>0.11</v>
      </c>
      <c r="E13" s="6">
        <f>IF(E6=0,NA(),E9/E6)</f>
        <v>0.11</v>
      </c>
      <c r="F13" s="6">
        <f>IF(F6=0,NA(),F9/F6)</f>
        <v>0.11</v>
      </c>
    </row>
    <row r="14" spans="1:6" x14ac:dyDescent="0.2">
      <c r="A14" s="2" t="s">
        <v>107</v>
      </c>
      <c r="B14" s="2" t="s">
        <v>262</v>
      </c>
      <c r="C14" s="7">
        <f>C6-B6</f>
        <v>700</v>
      </c>
      <c r="D14" s="7">
        <f>D6-C6</f>
        <v>900</v>
      </c>
      <c r="E14" s="7">
        <f>E6-D6</f>
        <v>1100</v>
      </c>
      <c r="F14" s="7">
        <f>F6-E6</f>
        <v>1300</v>
      </c>
    </row>
    <row r="15" spans="1:6" x14ac:dyDescent="0.2">
      <c r="A15" s="2" t="s">
        <v>109</v>
      </c>
      <c r="B15" s="2" t="s">
        <v>262</v>
      </c>
      <c r="C15" s="7">
        <f>C9-B9</f>
        <v>77</v>
      </c>
      <c r="D15" s="7">
        <f>D9-C9</f>
        <v>99</v>
      </c>
      <c r="E15" s="7">
        <f>E9-D9</f>
        <v>121</v>
      </c>
      <c r="F15" s="7">
        <f>F9-E9</f>
        <v>143</v>
      </c>
    </row>
    <row r="16" spans="1:6" x14ac:dyDescent="0.2">
      <c r="A16" s="2" t="s">
        <v>111</v>
      </c>
      <c r="B16" s="2" t="s">
        <v>262</v>
      </c>
      <c r="C16" s="6">
        <f>IF(C14=0,NA(),C15/C14)</f>
        <v>0.11</v>
      </c>
      <c r="D16" s="6">
        <f>IF(D14=0,NA(),D15/D14)</f>
        <v>0.11</v>
      </c>
      <c r="E16" s="6">
        <f>IF(E14=0,NA(),E15/E14)</f>
        <v>0.11</v>
      </c>
      <c r="F16" s="6">
        <f>IF(F14=0,NA(),F15/F14)</f>
        <v>0.11</v>
      </c>
    </row>
    <row r="18" spans="1:6" x14ac:dyDescent="0.2">
      <c r="A18" s="2" t="s">
        <v>327</v>
      </c>
    </row>
    <row r="19" spans="1:6" x14ac:dyDescent="0.2">
      <c r="A19" s="2" t="s">
        <v>328</v>
      </c>
      <c r="B19" s="2" t="s">
        <v>262</v>
      </c>
      <c r="C19" s="7">
        <f t="shared" ref="C19:F20" si="0">C7-B7</f>
        <v>126</v>
      </c>
      <c r="D19" s="7">
        <f t="shared" si="0"/>
        <v>162</v>
      </c>
      <c r="E19" s="7">
        <f t="shared" si="0"/>
        <v>198</v>
      </c>
      <c r="F19" s="7">
        <f t="shared" si="0"/>
        <v>234</v>
      </c>
    </row>
    <row r="20" spans="1:6" x14ac:dyDescent="0.2">
      <c r="A20" s="2" t="s">
        <v>329</v>
      </c>
      <c r="B20" s="2" t="s">
        <v>262</v>
      </c>
      <c r="C20" s="7">
        <f t="shared" si="0"/>
        <v>49</v>
      </c>
      <c r="D20" s="7">
        <f t="shared" si="0"/>
        <v>63</v>
      </c>
      <c r="E20" s="7">
        <f t="shared" si="0"/>
        <v>77</v>
      </c>
      <c r="F20" s="7">
        <f t="shared" si="0"/>
        <v>91</v>
      </c>
    </row>
    <row r="21" spans="1:6" x14ac:dyDescent="0.2">
      <c r="A21" s="2" t="s">
        <v>330</v>
      </c>
      <c r="B21" s="2" t="s">
        <v>262</v>
      </c>
      <c r="C21" s="7">
        <f>C19-C20</f>
        <v>77</v>
      </c>
      <c r="D21" s="7">
        <f>D19-D20</f>
        <v>99</v>
      </c>
      <c r="E21" s="7">
        <f>E19-E20</f>
        <v>121</v>
      </c>
      <c r="F21" s="7">
        <f>F19-F20</f>
        <v>143</v>
      </c>
    </row>
    <row r="22" spans="1:6" x14ac:dyDescent="0.2">
      <c r="A22" s="2" t="s">
        <v>123</v>
      </c>
      <c r="B22" s="2" t="s">
        <v>262</v>
      </c>
      <c r="C22" s="6">
        <f>IF(C14=0,NA(),C19/C14)</f>
        <v>0.18</v>
      </c>
      <c r="D22" s="6">
        <f>IF(D14=0,NA(),D19/D14)</f>
        <v>0.18</v>
      </c>
      <c r="E22" s="6">
        <f>IF(E14=0,NA(),E19/E14)</f>
        <v>0.18</v>
      </c>
      <c r="F22" s="6">
        <f>IF(F14=0,NA(),F19/F14)</f>
        <v>0.18</v>
      </c>
    </row>
    <row r="23" spans="1:6" x14ac:dyDescent="0.2">
      <c r="A23" s="2" t="s">
        <v>126</v>
      </c>
      <c r="B23" s="2" t="s">
        <v>262</v>
      </c>
      <c r="C23" s="6">
        <f>IF(C14=0,NA(),C20/C14)</f>
        <v>7.0000000000000007E-2</v>
      </c>
      <c r="D23" s="6">
        <f>IF(D14=0,NA(),D20/D14)</f>
        <v>7.0000000000000007E-2</v>
      </c>
      <c r="E23" s="6">
        <f>IF(E14=0,NA(),E20/E14)</f>
        <v>7.0000000000000007E-2</v>
      </c>
      <c r="F23" s="6">
        <f>IF(F14=0,NA(),F20/F14)</f>
        <v>7.0000000000000007E-2</v>
      </c>
    </row>
    <row r="24" spans="1:6" x14ac:dyDescent="0.2">
      <c r="A24" s="2" t="s">
        <v>331</v>
      </c>
      <c r="B24" s="2" t="s">
        <v>262</v>
      </c>
      <c r="C24" s="2" t="str">
        <f>IF(ABS(C21-C15)&lt;0.01,"OK","CHECK")</f>
        <v>OK</v>
      </c>
      <c r="D24" s="2" t="str">
        <f>IF(ABS(D21-D15)&lt;0.01,"OK","CHECK")</f>
        <v>OK</v>
      </c>
      <c r="E24" s="2" t="str">
        <f>IF(ABS(E21-E15)&lt;0.01,"OK","CHECK")</f>
        <v>OK</v>
      </c>
      <c r="F24" s="2" t="str">
        <f>IF(ABS(F21-F15)&lt;0.01,"OK","CHECK")</f>
        <v>OK</v>
      </c>
    </row>
  </sheetData>
  <pageMargins left="0.75" right="0.75" top="1" bottom="1" header="0.5" footer="0.5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baseColWidth="10" defaultColWidth="8.83203125" defaultRowHeight="15" x14ac:dyDescent="0.2"/>
  <sheetData>
    <row r="1" spans="1:1" x14ac:dyDescent="0.2">
      <c r="A1" t="s">
        <v>332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baseColWidth="10" defaultColWidth="8.83203125" defaultRowHeight="15" x14ac:dyDescent="0.2"/>
  <sheetData>
    <row r="1" spans="1:1" x14ac:dyDescent="0.2">
      <c r="A1" t="s">
        <v>332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baseColWidth="10" defaultColWidth="8.83203125" defaultRowHeight="15" x14ac:dyDescent="0.2"/>
  <sheetData>
    <row r="1" spans="1:1" x14ac:dyDescent="0.2">
      <c r="A1" t="s">
        <v>332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"/>
  <sheetViews>
    <sheetView workbookViewId="0"/>
  </sheetViews>
  <sheetFormatPr baseColWidth="10" defaultColWidth="8.83203125" defaultRowHeight="15" x14ac:dyDescent="0.2"/>
  <sheetData>
    <row r="1" spans="1:1" x14ac:dyDescent="0.2">
      <c r="A1" t="s">
        <v>332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280"/>
  <sheetViews>
    <sheetView workbookViewId="0"/>
  </sheetViews>
  <sheetFormatPr baseColWidth="10" defaultColWidth="8.83203125" defaultRowHeight="15" x14ac:dyDescent="0.2"/>
  <sheetData>
    <row r="1" spans="1:19" x14ac:dyDescent="0.2">
      <c r="A1" s="1" t="s">
        <v>333</v>
      </c>
      <c r="B1" s="1" t="s">
        <v>334</v>
      </c>
      <c r="C1" s="1" t="s">
        <v>335</v>
      </c>
      <c r="D1" s="1" t="s">
        <v>336</v>
      </c>
      <c r="E1" s="1" t="s">
        <v>337</v>
      </c>
      <c r="F1" s="1" t="s">
        <v>338</v>
      </c>
      <c r="G1" s="1" t="s">
        <v>339</v>
      </c>
      <c r="H1" s="1" t="s">
        <v>340</v>
      </c>
      <c r="I1" s="1" t="s">
        <v>341</v>
      </c>
      <c r="J1" s="1" t="s">
        <v>342</v>
      </c>
      <c r="K1" s="1" t="s">
        <v>343</v>
      </c>
      <c r="L1" s="1" t="s">
        <v>344</v>
      </c>
      <c r="M1" s="1" t="s">
        <v>345</v>
      </c>
      <c r="N1" s="1" t="s">
        <v>346</v>
      </c>
      <c r="O1" s="1" t="s">
        <v>347</v>
      </c>
      <c r="P1" s="1" t="s">
        <v>348</v>
      </c>
      <c r="Q1" s="1" t="s">
        <v>349</v>
      </c>
      <c r="R1" s="1" t="s">
        <v>350</v>
      </c>
      <c r="S1" s="1" t="s">
        <v>351</v>
      </c>
    </row>
    <row r="2" spans="1:19" x14ac:dyDescent="0.2">
      <c r="A2" t="s">
        <v>352</v>
      </c>
      <c r="B2">
        <v>1</v>
      </c>
      <c r="C2" t="s">
        <v>8</v>
      </c>
      <c r="D2" t="s">
        <v>353</v>
      </c>
      <c r="E2" t="s">
        <v>354</v>
      </c>
      <c r="F2" t="s">
        <v>355</v>
      </c>
      <c r="G2" t="s">
        <v>10</v>
      </c>
      <c r="H2" t="s">
        <v>356</v>
      </c>
      <c r="I2">
        <f>'Income Statement'!B7</f>
        <v>8500</v>
      </c>
      <c r="J2">
        <v>8500</v>
      </c>
      <c r="K2">
        <v>0.01</v>
      </c>
      <c r="M2" t="s">
        <v>357</v>
      </c>
      <c r="O2" t="s">
        <v>358</v>
      </c>
      <c r="P2" t="s">
        <v>56</v>
      </c>
      <c r="Q2">
        <v>1</v>
      </c>
      <c r="R2">
        <v>0</v>
      </c>
      <c r="S2" t="s">
        <v>359</v>
      </c>
    </row>
    <row r="3" spans="1:19" x14ac:dyDescent="0.2">
      <c r="A3" t="s">
        <v>360</v>
      </c>
      <c r="B3">
        <v>2</v>
      </c>
      <c r="C3" t="s">
        <v>8</v>
      </c>
      <c r="D3" t="s">
        <v>353</v>
      </c>
      <c r="E3" t="s">
        <v>361</v>
      </c>
      <c r="F3" t="s">
        <v>355</v>
      </c>
      <c r="G3" t="s">
        <v>10</v>
      </c>
      <c r="H3" t="s">
        <v>362</v>
      </c>
      <c r="I3">
        <f>'Income Statement'!C7</f>
        <v>9200</v>
      </c>
      <c r="J3">
        <v>9200</v>
      </c>
      <c r="K3">
        <v>0.01</v>
      </c>
      <c r="M3" t="s">
        <v>357</v>
      </c>
      <c r="O3" t="s">
        <v>358</v>
      </c>
      <c r="P3" t="s">
        <v>56</v>
      </c>
      <c r="Q3">
        <v>1</v>
      </c>
      <c r="R3">
        <v>1</v>
      </c>
      <c r="S3" t="s">
        <v>363</v>
      </c>
    </row>
    <row r="4" spans="1:19" x14ac:dyDescent="0.2">
      <c r="A4" t="s">
        <v>364</v>
      </c>
      <c r="B4">
        <v>3</v>
      </c>
      <c r="C4" t="s">
        <v>8</v>
      </c>
      <c r="D4" t="s">
        <v>353</v>
      </c>
      <c r="E4" t="s">
        <v>365</v>
      </c>
      <c r="F4" t="s">
        <v>355</v>
      </c>
      <c r="G4" t="s">
        <v>10</v>
      </c>
      <c r="H4" t="s">
        <v>366</v>
      </c>
      <c r="I4">
        <f>'Income Statement'!D7</f>
        <v>10100</v>
      </c>
      <c r="J4">
        <v>10100</v>
      </c>
      <c r="K4">
        <v>0.01</v>
      </c>
      <c r="M4" t="s">
        <v>357</v>
      </c>
      <c r="O4" t="s">
        <v>358</v>
      </c>
      <c r="P4" t="s">
        <v>56</v>
      </c>
      <c r="Q4">
        <v>1</v>
      </c>
      <c r="R4">
        <v>2</v>
      </c>
      <c r="S4" t="s">
        <v>367</v>
      </c>
    </row>
    <row r="5" spans="1:19" x14ac:dyDescent="0.2">
      <c r="A5" t="s">
        <v>368</v>
      </c>
      <c r="B5">
        <v>4</v>
      </c>
      <c r="C5" t="s">
        <v>8</v>
      </c>
      <c r="D5" t="s">
        <v>353</v>
      </c>
      <c r="E5" t="s">
        <v>369</v>
      </c>
      <c r="F5" t="s">
        <v>355</v>
      </c>
      <c r="G5" t="s">
        <v>10</v>
      </c>
      <c r="H5" t="s">
        <v>370</v>
      </c>
      <c r="I5">
        <f>'Income Statement'!E7</f>
        <v>11200</v>
      </c>
      <c r="J5">
        <v>11200</v>
      </c>
      <c r="K5">
        <v>0.01</v>
      </c>
      <c r="M5" t="s">
        <v>357</v>
      </c>
      <c r="O5" t="s">
        <v>358</v>
      </c>
      <c r="P5" t="s">
        <v>56</v>
      </c>
      <c r="Q5">
        <v>1</v>
      </c>
      <c r="R5">
        <v>3</v>
      </c>
      <c r="S5" t="s">
        <v>371</v>
      </c>
    </row>
    <row r="6" spans="1:19" x14ac:dyDescent="0.2">
      <c r="A6" t="s">
        <v>372</v>
      </c>
      <c r="B6">
        <v>5</v>
      </c>
      <c r="C6" t="s">
        <v>8</v>
      </c>
      <c r="D6" t="s">
        <v>353</v>
      </c>
      <c r="E6" t="s">
        <v>373</v>
      </c>
      <c r="F6" t="s">
        <v>355</v>
      </c>
      <c r="G6" t="s">
        <v>10</v>
      </c>
      <c r="H6" t="s">
        <v>374</v>
      </c>
      <c r="I6">
        <f>'Income Statement'!F7</f>
        <v>12500</v>
      </c>
      <c r="J6">
        <v>12500</v>
      </c>
      <c r="K6">
        <v>0.01</v>
      </c>
      <c r="M6" t="s">
        <v>357</v>
      </c>
      <c r="O6" t="s">
        <v>358</v>
      </c>
      <c r="P6" t="s">
        <v>56</v>
      </c>
      <c r="Q6">
        <v>1</v>
      </c>
      <c r="R6">
        <v>4</v>
      </c>
      <c r="S6" t="s">
        <v>375</v>
      </c>
    </row>
    <row r="7" spans="1:19" x14ac:dyDescent="0.2">
      <c r="A7" t="s">
        <v>376</v>
      </c>
      <c r="B7">
        <v>6</v>
      </c>
      <c r="C7" t="s">
        <v>13</v>
      </c>
      <c r="D7" t="s">
        <v>377</v>
      </c>
      <c r="E7" t="s">
        <v>378</v>
      </c>
      <c r="F7" t="s">
        <v>355</v>
      </c>
      <c r="G7" t="s">
        <v>10</v>
      </c>
      <c r="H7" t="s">
        <v>379</v>
      </c>
      <c r="I7">
        <f>'Income Statement'!B17</f>
        <v>2760</v>
      </c>
      <c r="J7">
        <v>2760</v>
      </c>
      <c r="K7">
        <v>0.01</v>
      </c>
      <c r="M7" t="s">
        <v>380</v>
      </c>
      <c r="O7" t="s">
        <v>358</v>
      </c>
      <c r="P7" t="s">
        <v>381</v>
      </c>
      <c r="Q7">
        <v>2</v>
      </c>
      <c r="R7">
        <v>0</v>
      </c>
      <c r="S7" t="s">
        <v>359</v>
      </c>
    </row>
    <row r="8" spans="1:19" x14ac:dyDescent="0.2">
      <c r="A8" t="s">
        <v>382</v>
      </c>
      <c r="B8">
        <v>7</v>
      </c>
      <c r="C8" t="s">
        <v>13</v>
      </c>
      <c r="D8" t="s">
        <v>377</v>
      </c>
      <c r="E8" t="s">
        <v>383</v>
      </c>
      <c r="F8" t="s">
        <v>355</v>
      </c>
      <c r="G8" t="s">
        <v>10</v>
      </c>
      <c r="H8" t="s">
        <v>384</v>
      </c>
      <c r="I8">
        <f>'Income Statement'!C17</f>
        <v>2988</v>
      </c>
      <c r="J8">
        <v>2988</v>
      </c>
      <c r="K8">
        <v>0.01</v>
      </c>
      <c r="M8" t="s">
        <v>380</v>
      </c>
      <c r="O8" t="s">
        <v>358</v>
      </c>
      <c r="P8" t="s">
        <v>381</v>
      </c>
      <c r="Q8">
        <v>2</v>
      </c>
      <c r="R8">
        <v>1</v>
      </c>
      <c r="S8" t="s">
        <v>363</v>
      </c>
    </row>
    <row r="9" spans="1:19" x14ac:dyDescent="0.2">
      <c r="A9" t="s">
        <v>385</v>
      </c>
      <c r="B9">
        <v>8</v>
      </c>
      <c r="C9" t="s">
        <v>13</v>
      </c>
      <c r="D9" t="s">
        <v>377</v>
      </c>
      <c r="E9" t="s">
        <v>386</v>
      </c>
      <c r="F9" t="s">
        <v>355</v>
      </c>
      <c r="G9" t="s">
        <v>10</v>
      </c>
      <c r="H9" t="s">
        <v>387</v>
      </c>
      <c r="I9">
        <f>'Income Statement'!D17</f>
        <v>3283</v>
      </c>
      <c r="J9">
        <v>3283</v>
      </c>
      <c r="K9">
        <v>0.01</v>
      </c>
      <c r="M9" t="s">
        <v>380</v>
      </c>
      <c r="O9" t="s">
        <v>358</v>
      </c>
      <c r="P9" t="s">
        <v>381</v>
      </c>
      <c r="Q9">
        <v>2</v>
      </c>
      <c r="R9">
        <v>2</v>
      </c>
      <c r="S9" t="s">
        <v>367</v>
      </c>
    </row>
    <row r="10" spans="1:19" x14ac:dyDescent="0.2">
      <c r="A10" t="s">
        <v>388</v>
      </c>
      <c r="B10">
        <v>9</v>
      </c>
      <c r="C10" t="s">
        <v>13</v>
      </c>
      <c r="D10" t="s">
        <v>377</v>
      </c>
      <c r="E10" t="s">
        <v>389</v>
      </c>
      <c r="F10" t="s">
        <v>355</v>
      </c>
      <c r="G10" t="s">
        <v>10</v>
      </c>
      <c r="H10" t="s">
        <v>390</v>
      </c>
      <c r="I10">
        <f>'Income Statement'!E17</f>
        <v>3644</v>
      </c>
      <c r="J10">
        <v>3644</v>
      </c>
      <c r="K10">
        <v>0.01</v>
      </c>
      <c r="M10" t="s">
        <v>380</v>
      </c>
      <c r="O10" t="s">
        <v>358</v>
      </c>
      <c r="P10" t="s">
        <v>381</v>
      </c>
      <c r="Q10">
        <v>2</v>
      </c>
      <c r="R10">
        <v>3</v>
      </c>
      <c r="S10" t="s">
        <v>371</v>
      </c>
    </row>
    <row r="11" spans="1:19" x14ac:dyDescent="0.2">
      <c r="A11" t="s">
        <v>391</v>
      </c>
      <c r="B11">
        <v>10</v>
      </c>
      <c r="C11" t="s">
        <v>13</v>
      </c>
      <c r="D11" t="s">
        <v>377</v>
      </c>
      <c r="E11" t="s">
        <v>392</v>
      </c>
      <c r="F11" t="s">
        <v>355</v>
      </c>
      <c r="G11" t="s">
        <v>10</v>
      </c>
      <c r="H11" t="s">
        <v>393</v>
      </c>
      <c r="I11">
        <f>'Income Statement'!F17</f>
        <v>4072</v>
      </c>
      <c r="J11">
        <v>4072</v>
      </c>
      <c r="K11">
        <v>0.01</v>
      </c>
      <c r="M11" t="s">
        <v>380</v>
      </c>
      <c r="O11" t="s">
        <v>358</v>
      </c>
      <c r="P11" t="s">
        <v>381</v>
      </c>
      <c r="Q11">
        <v>2</v>
      </c>
      <c r="R11">
        <v>4</v>
      </c>
      <c r="S11" t="s">
        <v>375</v>
      </c>
    </row>
    <row r="12" spans="1:19" x14ac:dyDescent="0.2">
      <c r="A12" t="s">
        <v>394</v>
      </c>
      <c r="B12">
        <v>11</v>
      </c>
      <c r="C12" t="s">
        <v>15</v>
      </c>
      <c r="D12" t="s">
        <v>395</v>
      </c>
      <c r="E12" t="s">
        <v>396</v>
      </c>
      <c r="F12" t="s">
        <v>355</v>
      </c>
      <c r="G12" t="s">
        <v>10</v>
      </c>
      <c r="H12" t="s">
        <v>397</v>
      </c>
      <c r="I12">
        <f>IF(B21=0,NA(),-B22/B21)</f>
        <v>-1.05</v>
      </c>
      <c r="J12">
        <v>0.1699248120300752</v>
      </c>
      <c r="K12">
        <v>0.01</v>
      </c>
      <c r="M12" t="s">
        <v>398</v>
      </c>
      <c r="O12" t="s">
        <v>358</v>
      </c>
      <c r="P12" t="s">
        <v>399</v>
      </c>
      <c r="Q12">
        <v>3</v>
      </c>
      <c r="R12">
        <v>0</v>
      </c>
      <c r="S12" t="s">
        <v>359</v>
      </c>
    </row>
    <row r="13" spans="1:19" x14ac:dyDescent="0.2">
      <c r="A13" t="s">
        <v>400</v>
      </c>
      <c r="B13">
        <v>12</v>
      </c>
      <c r="C13" t="s">
        <v>15</v>
      </c>
      <c r="D13" t="s">
        <v>395</v>
      </c>
      <c r="E13" t="s">
        <v>401</v>
      </c>
      <c r="F13" t="s">
        <v>355</v>
      </c>
      <c r="G13" t="s">
        <v>10</v>
      </c>
      <c r="H13" t="s">
        <v>402</v>
      </c>
      <c r="I13" t="e">
        <f>IF(C21=0,NA(),-C22/C21)</f>
        <v>#VALUE!</v>
      </c>
      <c r="J13">
        <v>0.17</v>
      </c>
      <c r="K13">
        <v>0.01</v>
      </c>
      <c r="M13" t="s">
        <v>398</v>
      </c>
      <c r="O13" t="s">
        <v>358</v>
      </c>
      <c r="P13" t="s">
        <v>399</v>
      </c>
      <c r="Q13">
        <v>3</v>
      </c>
      <c r="R13">
        <v>1</v>
      </c>
      <c r="S13" t="s">
        <v>363</v>
      </c>
    </row>
    <row r="14" spans="1:19" x14ac:dyDescent="0.2">
      <c r="A14" t="s">
        <v>403</v>
      </c>
      <c r="B14">
        <v>13</v>
      </c>
      <c r="C14" t="s">
        <v>15</v>
      </c>
      <c r="D14" t="s">
        <v>395</v>
      </c>
      <c r="E14" t="s">
        <v>404</v>
      </c>
      <c r="F14" t="s">
        <v>355</v>
      </c>
      <c r="G14" t="s">
        <v>10</v>
      </c>
      <c r="H14" t="s">
        <v>405</v>
      </c>
      <c r="I14" t="e">
        <f>IF(D21=0,NA(),-D22/D21)</f>
        <v>#VALUE!</v>
      </c>
      <c r="J14">
        <v>0.16991150442477879</v>
      </c>
      <c r="K14">
        <v>0.01</v>
      </c>
      <c r="M14" t="s">
        <v>398</v>
      </c>
      <c r="O14" t="s">
        <v>358</v>
      </c>
      <c r="P14" t="s">
        <v>399</v>
      </c>
      <c r="Q14">
        <v>3</v>
      </c>
      <c r="R14">
        <v>2</v>
      </c>
      <c r="S14" t="s">
        <v>367</v>
      </c>
    </row>
    <row r="15" spans="1:19" x14ac:dyDescent="0.2">
      <c r="A15" t="s">
        <v>406</v>
      </c>
      <c r="B15">
        <v>14</v>
      </c>
      <c r="C15" t="s">
        <v>15</v>
      </c>
      <c r="D15" t="s">
        <v>395</v>
      </c>
      <c r="E15" t="s">
        <v>407</v>
      </c>
      <c r="F15" t="s">
        <v>355</v>
      </c>
      <c r="G15" t="s">
        <v>10</v>
      </c>
      <c r="H15" t="s">
        <v>408</v>
      </c>
      <c r="I15" t="e">
        <f>IF(E21=0,NA(),-E22/E21)</f>
        <v>#VALUE!</v>
      </c>
      <c r="J15">
        <v>0.16993166287015951</v>
      </c>
      <c r="K15">
        <v>0.01</v>
      </c>
      <c r="M15" t="s">
        <v>398</v>
      </c>
      <c r="O15" t="s">
        <v>358</v>
      </c>
      <c r="P15" t="s">
        <v>399</v>
      </c>
      <c r="Q15">
        <v>3</v>
      </c>
      <c r="R15">
        <v>3</v>
      </c>
      <c r="S15" t="s">
        <v>371</v>
      </c>
    </row>
    <row r="16" spans="1:19" x14ac:dyDescent="0.2">
      <c r="A16" t="s">
        <v>409</v>
      </c>
      <c r="B16">
        <v>15</v>
      </c>
      <c r="C16" t="s">
        <v>15</v>
      </c>
      <c r="D16" t="s">
        <v>395</v>
      </c>
      <c r="E16" t="s">
        <v>410</v>
      </c>
      <c r="F16" t="s">
        <v>355</v>
      </c>
      <c r="G16" t="s">
        <v>10</v>
      </c>
      <c r="H16" t="s">
        <v>411</v>
      </c>
      <c r="I16" t="e">
        <f>IF(F21=0,NA(),-F22/F21)</f>
        <v>#VALUE!</v>
      </c>
      <c r="J16">
        <v>0.16982670744138631</v>
      </c>
      <c r="K16">
        <v>0.01</v>
      </c>
      <c r="M16" t="s">
        <v>398</v>
      </c>
      <c r="O16" t="s">
        <v>358</v>
      </c>
      <c r="P16" t="s">
        <v>399</v>
      </c>
      <c r="Q16">
        <v>3</v>
      </c>
      <c r="R16">
        <v>4</v>
      </c>
      <c r="S16" t="s">
        <v>375</v>
      </c>
    </row>
    <row r="17" spans="1:19" x14ac:dyDescent="0.2">
      <c r="A17" t="s">
        <v>412</v>
      </c>
      <c r="B17">
        <v>16</v>
      </c>
      <c r="C17" t="s">
        <v>17</v>
      </c>
      <c r="D17" t="s">
        <v>413</v>
      </c>
      <c r="E17" t="s">
        <v>414</v>
      </c>
      <c r="F17" t="s">
        <v>355</v>
      </c>
      <c r="G17" t="s">
        <v>10</v>
      </c>
      <c r="H17" t="s">
        <v>415</v>
      </c>
      <c r="I17">
        <f>-(B23+B24)</f>
        <v>-45</v>
      </c>
      <c r="J17">
        <v>75</v>
      </c>
      <c r="K17">
        <v>0.01</v>
      </c>
      <c r="M17" t="s">
        <v>416</v>
      </c>
      <c r="O17" t="s">
        <v>358</v>
      </c>
      <c r="P17" t="s">
        <v>417</v>
      </c>
      <c r="Q17">
        <v>4</v>
      </c>
      <c r="R17">
        <v>0</v>
      </c>
      <c r="S17" t="s">
        <v>359</v>
      </c>
    </row>
    <row r="18" spans="1:19" x14ac:dyDescent="0.2">
      <c r="A18" t="s">
        <v>418</v>
      </c>
      <c r="B18">
        <v>17</v>
      </c>
      <c r="C18" t="s">
        <v>17</v>
      </c>
      <c r="D18" t="s">
        <v>413</v>
      </c>
      <c r="E18" t="s">
        <v>419</v>
      </c>
      <c r="F18" t="s">
        <v>355</v>
      </c>
      <c r="G18" t="s">
        <v>10</v>
      </c>
      <c r="H18" t="s">
        <v>420</v>
      </c>
      <c r="I18" t="e">
        <f>-(C23+C24)</f>
        <v>#VALUE!</v>
      </c>
      <c r="J18">
        <v>80</v>
      </c>
      <c r="K18">
        <v>0.01</v>
      </c>
      <c r="M18" t="s">
        <v>416</v>
      </c>
      <c r="O18" t="s">
        <v>358</v>
      </c>
      <c r="P18" t="s">
        <v>417</v>
      </c>
      <c r="Q18">
        <v>4</v>
      </c>
      <c r="R18">
        <v>1</v>
      </c>
      <c r="S18" t="s">
        <v>363</v>
      </c>
    </row>
    <row r="19" spans="1:19" x14ac:dyDescent="0.2">
      <c r="A19" t="s">
        <v>421</v>
      </c>
      <c r="B19">
        <v>18</v>
      </c>
      <c r="C19" t="s">
        <v>17</v>
      </c>
      <c r="D19" t="s">
        <v>413</v>
      </c>
      <c r="E19" t="s">
        <v>422</v>
      </c>
      <c r="F19" t="s">
        <v>355</v>
      </c>
      <c r="G19" t="s">
        <v>10</v>
      </c>
      <c r="H19" t="s">
        <v>423</v>
      </c>
      <c r="I19" t="e">
        <f>-(D23+D24)</f>
        <v>#VALUE!</v>
      </c>
      <c r="J19">
        <v>85</v>
      </c>
      <c r="K19">
        <v>0.01</v>
      </c>
      <c r="M19" t="s">
        <v>416</v>
      </c>
      <c r="O19" t="s">
        <v>358</v>
      </c>
      <c r="P19" t="s">
        <v>417</v>
      </c>
      <c r="Q19">
        <v>4</v>
      </c>
      <c r="R19">
        <v>2</v>
      </c>
      <c r="S19" t="s">
        <v>367</v>
      </c>
    </row>
    <row r="20" spans="1:19" x14ac:dyDescent="0.2">
      <c r="A20" t="s">
        <v>424</v>
      </c>
      <c r="B20">
        <v>19</v>
      </c>
      <c r="C20" t="s">
        <v>17</v>
      </c>
      <c r="D20" t="s">
        <v>413</v>
      </c>
      <c r="E20" t="s">
        <v>425</v>
      </c>
      <c r="F20" t="s">
        <v>355</v>
      </c>
      <c r="G20" t="s">
        <v>10</v>
      </c>
      <c r="H20" t="s">
        <v>426</v>
      </c>
      <c r="I20" t="e">
        <f>-(E23+E24)</f>
        <v>#VALUE!</v>
      </c>
      <c r="J20">
        <v>90</v>
      </c>
      <c r="K20">
        <v>0.01</v>
      </c>
      <c r="M20" t="s">
        <v>416</v>
      </c>
      <c r="O20" t="s">
        <v>358</v>
      </c>
      <c r="P20" t="s">
        <v>417</v>
      </c>
      <c r="Q20">
        <v>4</v>
      </c>
      <c r="R20">
        <v>3</v>
      </c>
      <c r="S20" t="s">
        <v>371</v>
      </c>
    </row>
    <row r="21" spans="1:19" x14ac:dyDescent="0.2">
      <c r="A21" t="s">
        <v>427</v>
      </c>
      <c r="B21">
        <v>20</v>
      </c>
      <c r="C21" t="s">
        <v>17</v>
      </c>
      <c r="D21" t="s">
        <v>413</v>
      </c>
      <c r="E21" t="s">
        <v>428</v>
      </c>
      <c r="F21" t="s">
        <v>355</v>
      </c>
      <c r="G21" t="s">
        <v>10</v>
      </c>
      <c r="H21" t="s">
        <v>429</v>
      </c>
      <c r="I21" t="e">
        <f>-(F23+F24)</f>
        <v>#VALUE!</v>
      </c>
      <c r="J21">
        <v>95</v>
      </c>
      <c r="K21">
        <v>0.01</v>
      </c>
      <c r="M21" t="s">
        <v>416</v>
      </c>
      <c r="O21" t="s">
        <v>358</v>
      </c>
      <c r="P21" t="s">
        <v>417</v>
      </c>
      <c r="Q21">
        <v>4</v>
      </c>
      <c r="R21">
        <v>4</v>
      </c>
      <c r="S21" t="s">
        <v>375</v>
      </c>
    </row>
    <row r="22" spans="1:19" x14ac:dyDescent="0.2">
      <c r="A22" t="s">
        <v>430</v>
      </c>
      <c r="B22">
        <v>21</v>
      </c>
      <c r="C22" t="s">
        <v>19</v>
      </c>
      <c r="D22" t="s">
        <v>431</v>
      </c>
      <c r="E22" t="s">
        <v>432</v>
      </c>
      <c r="F22" t="s">
        <v>355</v>
      </c>
      <c r="G22" t="s">
        <v>10</v>
      </c>
      <c r="H22" t="s">
        <v>433</v>
      </c>
      <c r="I22">
        <f>IF(B26=0,0,IF(ISNA(B25),NA(),B26*(1-B25)))</f>
        <v>-575</v>
      </c>
      <c r="J22">
        <v>62.255639097744357</v>
      </c>
      <c r="K22">
        <v>0.01</v>
      </c>
      <c r="L22" t="s">
        <v>434</v>
      </c>
      <c r="M22" t="s">
        <v>435</v>
      </c>
      <c r="O22" t="s">
        <v>358</v>
      </c>
      <c r="P22" t="s">
        <v>436</v>
      </c>
      <c r="Q22">
        <v>5</v>
      </c>
      <c r="R22">
        <v>0</v>
      </c>
      <c r="S22" t="s">
        <v>359</v>
      </c>
    </row>
    <row r="23" spans="1:19" x14ac:dyDescent="0.2">
      <c r="A23" t="s">
        <v>437</v>
      </c>
      <c r="B23">
        <v>22</v>
      </c>
      <c r="C23" t="s">
        <v>19</v>
      </c>
      <c r="D23" t="s">
        <v>431</v>
      </c>
      <c r="E23" t="s">
        <v>438</v>
      </c>
      <c r="F23" t="s">
        <v>355</v>
      </c>
      <c r="G23" t="s">
        <v>10</v>
      </c>
      <c r="H23" t="s">
        <v>439</v>
      </c>
      <c r="I23" t="e">
        <f>IF(C26=0,0,IF(ISNA(C25),NA(),C26*(1-C25)))</f>
        <v>#VALUE!</v>
      </c>
      <c r="J23">
        <v>66.399999999999991</v>
      </c>
      <c r="K23">
        <v>0.01</v>
      </c>
      <c r="L23" t="s">
        <v>440</v>
      </c>
      <c r="M23" t="s">
        <v>435</v>
      </c>
      <c r="O23" t="s">
        <v>358</v>
      </c>
      <c r="P23" t="s">
        <v>436</v>
      </c>
      <c r="Q23">
        <v>5</v>
      </c>
      <c r="R23">
        <v>1</v>
      </c>
      <c r="S23" t="s">
        <v>363</v>
      </c>
    </row>
    <row r="24" spans="1:19" x14ac:dyDescent="0.2">
      <c r="A24" t="s">
        <v>441</v>
      </c>
      <c r="B24">
        <v>23</v>
      </c>
      <c r="C24" t="s">
        <v>19</v>
      </c>
      <c r="D24" t="s">
        <v>431</v>
      </c>
      <c r="E24" t="s">
        <v>442</v>
      </c>
      <c r="F24" t="s">
        <v>355</v>
      </c>
      <c r="G24" t="s">
        <v>10</v>
      </c>
      <c r="H24" t="s">
        <v>443</v>
      </c>
      <c r="I24" t="e">
        <f>IF(D26=0,0,IF(ISNA(D25),NA(),D26*(1-D25)))</f>
        <v>#VALUE!</v>
      </c>
      <c r="J24">
        <v>70.557522123893804</v>
      </c>
      <c r="K24">
        <v>0.01</v>
      </c>
      <c r="L24" t="s">
        <v>444</v>
      </c>
      <c r="M24" t="s">
        <v>435</v>
      </c>
      <c r="O24" t="s">
        <v>358</v>
      </c>
      <c r="P24" t="s">
        <v>436</v>
      </c>
      <c r="Q24">
        <v>5</v>
      </c>
      <c r="R24">
        <v>2</v>
      </c>
      <c r="S24" t="s">
        <v>367</v>
      </c>
    </row>
    <row r="25" spans="1:19" x14ac:dyDescent="0.2">
      <c r="A25" t="s">
        <v>445</v>
      </c>
      <c r="B25">
        <v>24</v>
      </c>
      <c r="C25" t="s">
        <v>19</v>
      </c>
      <c r="D25" t="s">
        <v>431</v>
      </c>
      <c r="E25" t="s">
        <v>446</v>
      </c>
      <c r="F25" t="s">
        <v>355</v>
      </c>
      <c r="G25" t="s">
        <v>10</v>
      </c>
      <c r="H25" t="s">
        <v>447</v>
      </c>
      <c r="I25" t="e">
        <f>IF(E26=0,0,IF(ISNA(E25),NA(),E26*(1-E25)))</f>
        <v>#VALUE!</v>
      </c>
      <c r="J25">
        <v>74.706150341685643</v>
      </c>
      <c r="K25">
        <v>0.01</v>
      </c>
      <c r="L25" t="s">
        <v>448</v>
      </c>
      <c r="M25" t="s">
        <v>435</v>
      </c>
      <c r="O25" t="s">
        <v>358</v>
      </c>
      <c r="P25" t="s">
        <v>436</v>
      </c>
      <c r="Q25">
        <v>5</v>
      </c>
      <c r="R25">
        <v>3</v>
      </c>
      <c r="S25" t="s">
        <v>371</v>
      </c>
    </row>
    <row r="26" spans="1:19" x14ac:dyDescent="0.2">
      <c r="A26" t="s">
        <v>449</v>
      </c>
      <c r="B26">
        <v>25</v>
      </c>
      <c r="C26" t="s">
        <v>19</v>
      </c>
      <c r="D26" t="s">
        <v>431</v>
      </c>
      <c r="E26" t="s">
        <v>450</v>
      </c>
      <c r="F26" t="s">
        <v>355</v>
      </c>
      <c r="G26" t="s">
        <v>10</v>
      </c>
      <c r="H26" t="s">
        <v>451</v>
      </c>
      <c r="I26" t="e">
        <f>IF(F26=0,0,IF(ISNA(F25),NA(),F26*(1-F25)))</f>
        <v>#VALUE!</v>
      </c>
      <c r="J26">
        <v>78.866462793068294</v>
      </c>
      <c r="K26">
        <v>0.01</v>
      </c>
      <c r="L26" t="s">
        <v>452</v>
      </c>
      <c r="M26" t="s">
        <v>435</v>
      </c>
      <c r="O26" t="s">
        <v>358</v>
      </c>
      <c r="P26" t="s">
        <v>436</v>
      </c>
      <c r="Q26">
        <v>5</v>
      </c>
      <c r="R26">
        <v>4</v>
      </c>
      <c r="S26" t="s">
        <v>375</v>
      </c>
    </row>
    <row r="27" spans="1:19" x14ac:dyDescent="0.2">
      <c r="A27" t="s">
        <v>453</v>
      </c>
      <c r="B27">
        <v>26</v>
      </c>
      <c r="C27" t="s">
        <v>22</v>
      </c>
      <c r="D27" t="s">
        <v>454</v>
      </c>
      <c r="E27" t="s">
        <v>455</v>
      </c>
      <c r="F27" t="s">
        <v>355</v>
      </c>
      <c r="G27" t="s">
        <v>10</v>
      </c>
      <c r="H27" t="s">
        <v>456</v>
      </c>
      <c r="I27">
        <f>B20+B27</f>
        <v>45</v>
      </c>
      <c r="J27">
        <v>2822.2556390977438</v>
      </c>
      <c r="K27">
        <v>0.01</v>
      </c>
      <c r="L27" t="s">
        <v>457</v>
      </c>
      <c r="M27" t="s">
        <v>458</v>
      </c>
      <c r="O27" t="s">
        <v>358</v>
      </c>
      <c r="P27" t="s">
        <v>459</v>
      </c>
      <c r="Q27">
        <v>6</v>
      </c>
      <c r="R27">
        <v>0</v>
      </c>
      <c r="S27" t="s">
        <v>359</v>
      </c>
    </row>
    <row r="28" spans="1:19" x14ac:dyDescent="0.2">
      <c r="A28" t="s">
        <v>460</v>
      </c>
      <c r="B28">
        <v>27</v>
      </c>
      <c r="C28" t="s">
        <v>22</v>
      </c>
      <c r="D28" t="s">
        <v>454</v>
      </c>
      <c r="E28" t="s">
        <v>461</v>
      </c>
      <c r="F28" t="s">
        <v>355</v>
      </c>
      <c r="G28" t="s">
        <v>10</v>
      </c>
      <c r="H28" t="s">
        <v>462</v>
      </c>
      <c r="I28" t="e">
        <f>C20+C27</f>
        <v>#VALUE!</v>
      </c>
      <c r="J28">
        <v>3054.4</v>
      </c>
      <c r="K28">
        <v>0.01</v>
      </c>
      <c r="L28" t="s">
        <v>463</v>
      </c>
      <c r="M28" t="s">
        <v>458</v>
      </c>
      <c r="O28" t="s">
        <v>358</v>
      </c>
      <c r="P28" t="s">
        <v>459</v>
      </c>
      <c r="Q28">
        <v>6</v>
      </c>
      <c r="R28">
        <v>1</v>
      </c>
      <c r="S28" t="s">
        <v>363</v>
      </c>
    </row>
    <row r="29" spans="1:19" x14ac:dyDescent="0.2">
      <c r="A29" t="s">
        <v>464</v>
      </c>
      <c r="B29">
        <v>28</v>
      </c>
      <c r="C29" t="s">
        <v>22</v>
      </c>
      <c r="D29" t="s">
        <v>454</v>
      </c>
      <c r="E29" t="s">
        <v>465</v>
      </c>
      <c r="F29" t="s">
        <v>355</v>
      </c>
      <c r="G29" t="s">
        <v>10</v>
      </c>
      <c r="H29" t="s">
        <v>466</v>
      </c>
      <c r="I29" t="e">
        <f>D20+D27</f>
        <v>#VALUE!</v>
      </c>
      <c r="J29">
        <v>3353.5575221238942</v>
      </c>
      <c r="K29">
        <v>0.01</v>
      </c>
      <c r="L29" t="s">
        <v>467</v>
      </c>
      <c r="M29" t="s">
        <v>458</v>
      </c>
      <c r="O29" t="s">
        <v>358</v>
      </c>
      <c r="P29" t="s">
        <v>459</v>
      </c>
      <c r="Q29">
        <v>6</v>
      </c>
      <c r="R29">
        <v>2</v>
      </c>
      <c r="S29" t="s">
        <v>367</v>
      </c>
    </row>
    <row r="30" spans="1:19" x14ac:dyDescent="0.2">
      <c r="A30" t="s">
        <v>468</v>
      </c>
      <c r="B30">
        <v>29</v>
      </c>
      <c r="C30" t="s">
        <v>22</v>
      </c>
      <c r="D30" t="s">
        <v>454</v>
      </c>
      <c r="E30" t="s">
        <v>469</v>
      </c>
      <c r="F30" t="s">
        <v>355</v>
      </c>
      <c r="G30" t="s">
        <v>10</v>
      </c>
      <c r="H30" t="s">
        <v>470</v>
      </c>
      <c r="I30" t="e">
        <f>E20+E27</f>
        <v>#VALUE!</v>
      </c>
      <c r="J30">
        <v>3718.7061503416862</v>
      </c>
      <c r="K30">
        <v>0.01</v>
      </c>
      <c r="L30" t="s">
        <v>471</v>
      </c>
      <c r="M30" t="s">
        <v>458</v>
      </c>
      <c r="O30" t="s">
        <v>358</v>
      </c>
      <c r="P30" t="s">
        <v>459</v>
      </c>
      <c r="Q30">
        <v>6</v>
      </c>
      <c r="R30">
        <v>3</v>
      </c>
      <c r="S30" t="s">
        <v>371</v>
      </c>
    </row>
    <row r="31" spans="1:19" x14ac:dyDescent="0.2">
      <c r="A31" t="s">
        <v>472</v>
      </c>
      <c r="B31">
        <v>30</v>
      </c>
      <c r="C31" t="s">
        <v>22</v>
      </c>
      <c r="D31" t="s">
        <v>454</v>
      </c>
      <c r="E31" t="s">
        <v>473</v>
      </c>
      <c r="F31" t="s">
        <v>355</v>
      </c>
      <c r="G31" t="s">
        <v>10</v>
      </c>
      <c r="H31" t="s">
        <v>474</v>
      </c>
      <c r="I31" t="e">
        <f>F20+F27</f>
        <v>#VALUE!</v>
      </c>
      <c r="J31">
        <v>4150.8664627930684</v>
      </c>
      <c r="K31">
        <v>0.01</v>
      </c>
      <c r="L31" t="s">
        <v>475</v>
      </c>
      <c r="M31" t="s">
        <v>458</v>
      </c>
      <c r="O31" t="s">
        <v>358</v>
      </c>
      <c r="P31" t="s">
        <v>459</v>
      </c>
      <c r="Q31">
        <v>6</v>
      </c>
      <c r="R31">
        <v>4</v>
      </c>
      <c r="S31" t="s">
        <v>375</v>
      </c>
    </row>
    <row r="32" spans="1:19" x14ac:dyDescent="0.2">
      <c r="A32" t="s">
        <v>476</v>
      </c>
      <c r="B32">
        <v>31</v>
      </c>
      <c r="C32" t="s">
        <v>25</v>
      </c>
      <c r="D32" t="s">
        <v>477</v>
      </c>
      <c r="E32" t="s">
        <v>478</v>
      </c>
      <c r="F32" t="s">
        <v>355</v>
      </c>
      <c r="G32" t="s">
        <v>10</v>
      </c>
      <c r="H32" t="s">
        <v>479</v>
      </c>
      <c r="I32">
        <f>SUMIF($B$6:$B$16,"Operating Working Capital Asset",C$6:C$16)</f>
        <v>0</v>
      </c>
      <c r="J32">
        <v>1530</v>
      </c>
      <c r="K32">
        <v>0.01</v>
      </c>
      <c r="M32" t="s">
        <v>480</v>
      </c>
      <c r="O32" t="s">
        <v>358</v>
      </c>
      <c r="P32" t="s">
        <v>116</v>
      </c>
      <c r="Q32">
        <v>7</v>
      </c>
      <c r="R32">
        <v>0</v>
      </c>
      <c r="S32" t="s">
        <v>359</v>
      </c>
    </row>
    <row r="33" spans="1:19" x14ac:dyDescent="0.2">
      <c r="A33" t="s">
        <v>481</v>
      </c>
      <c r="B33">
        <v>32</v>
      </c>
      <c r="C33" t="s">
        <v>25</v>
      </c>
      <c r="D33" t="s">
        <v>477</v>
      </c>
      <c r="E33" t="s">
        <v>482</v>
      </c>
      <c r="F33" t="s">
        <v>355</v>
      </c>
      <c r="G33" t="s">
        <v>10</v>
      </c>
      <c r="H33" t="s">
        <v>483</v>
      </c>
      <c r="I33">
        <f>SUMIF($B$6:$B$16,"Operating Working Capital Asset",D$6:D$16)</f>
        <v>0</v>
      </c>
      <c r="J33">
        <v>1656</v>
      </c>
      <c r="K33">
        <v>0.01</v>
      </c>
      <c r="M33" t="s">
        <v>480</v>
      </c>
      <c r="O33" t="s">
        <v>358</v>
      </c>
      <c r="P33" t="s">
        <v>116</v>
      </c>
      <c r="Q33">
        <v>7</v>
      </c>
      <c r="R33">
        <v>1</v>
      </c>
      <c r="S33" t="s">
        <v>363</v>
      </c>
    </row>
    <row r="34" spans="1:19" x14ac:dyDescent="0.2">
      <c r="A34" t="s">
        <v>484</v>
      </c>
      <c r="B34">
        <v>33</v>
      </c>
      <c r="C34" t="s">
        <v>25</v>
      </c>
      <c r="D34" t="s">
        <v>477</v>
      </c>
      <c r="E34" t="s">
        <v>485</v>
      </c>
      <c r="F34" t="s">
        <v>355</v>
      </c>
      <c r="G34" t="s">
        <v>10</v>
      </c>
      <c r="H34" t="s">
        <v>486</v>
      </c>
      <c r="I34">
        <f>SUMIF($B$6:$B$16,"Operating Working Capital Asset",E$6:E$16)</f>
        <v>0</v>
      </c>
      <c r="J34">
        <v>1818</v>
      </c>
      <c r="K34">
        <v>0.01</v>
      </c>
      <c r="M34" t="s">
        <v>480</v>
      </c>
      <c r="O34" t="s">
        <v>358</v>
      </c>
      <c r="P34" t="s">
        <v>116</v>
      </c>
      <c r="Q34">
        <v>7</v>
      </c>
      <c r="R34">
        <v>2</v>
      </c>
      <c r="S34" t="s">
        <v>367</v>
      </c>
    </row>
    <row r="35" spans="1:19" x14ac:dyDescent="0.2">
      <c r="A35" t="s">
        <v>487</v>
      </c>
      <c r="B35">
        <v>34</v>
      </c>
      <c r="C35" t="s">
        <v>25</v>
      </c>
      <c r="D35" t="s">
        <v>477</v>
      </c>
      <c r="E35" t="s">
        <v>488</v>
      </c>
      <c r="F35" t="s">
        <v>355</v>
      </c>
      <c r="G35" t="s">
        <v>10</v>
      </c>
      <c r="H35" t="s">
        <v>489</v>
      </c>
      <c r="I35">
        <f>SUMIF($B$6:$B$16,"Operating Working Capital Asset",F$6:F$16)</f>
        <v>0</v>
      </c>
      <c r="J35">
        <v>2016</v>
      </c>
      <c r="K35">
        <v>0.01</v>
      </c>
      <c r="M35" t="s">
        <v>480</v>
      </c>
      <c r="O35" t="s">
        <v>358</v>
      </c>
      <c r="P35" t="s">
        <v>116</v>
      </c>
      <c r="Q35">
        <v>7</v>
      </c>
      <c r="R35">
        <v>3</v>
      </c>
      <c r="S35" t="s">
        <v>371</v>
      </c>
    </row>
    <row r="36" spans="1:19" x14ac:dyDescent="0.2">
      <c r="A36" t="s">
        <v>490</v>
      </c>
      <c r="B36">
        <v>35</v>
      </c>
      <c r="C36" t="s">
        <v>25</v>
      </c>
      <c r="D36" t="s">
        <v>477</v>
      </c>
      <c r="E36" t="s">
        <v>491</v>
      </c>
      <c r="F36" t="s">
        <v>355</v>
      </c>
      <c r="G36" t="s">
        <v>10</v>
      </c>
      <c r="H36" t="s">
        <v>492</v>
      </c>
      <c r="I36">
        <f>SUMIF($B$6:$B$16,"Operating Working Capital Asset",G$6:G$16)</f>
        <v>0</v>
      </c>
      <c r="J36">
        <v>2250</v>
      </c>
      <c r="K36">
        <v>0.01</v>
      </c>
      <c r="M36" t="s">
        <v>480</v>
      </c>
      <c r="O36" t="s">
        <v>358</v>
      </c>
      <c r="P36" t="s">
        <v>116</v>
      </c>
      <c r="Q36">
        <v>7</v>
      </c>
      <c r="R36">
        <v>4</v>
      </c>
      <c r="S36" t="s">
        <v>375</v>
      </c>
    </row>
    <row r="37" spans="1:19" x14ac:dyDescent="0.2">
      <c r="A37" t="s">
        <v>493</v>
      </c>
      <c r="B37">
        <v>36</v>
      </c>
      <c r="C37" t="s">
        <v>27</v>
      </c>
      <c r="D37" t="s">
        <v>477</v>
      </c>
      <c r="E37" t="s">
        <v>494</v>
      </c>
      <c r="F37" t="s">
        <v>355</v>
      </c>
      <c r="G37" t="s">
        <v>10</v>
      </c>
      <c r="H37" t="s">
        <v>495</v>
      </c>
      <c r="I37">
        <f>SUMIF($B$6:$B$16,"Operating Working Capital Liability",C$6:C$16)</f>
        <v>0</v>
      </c>
      <c r="J37">
        <v>595</v>
      </c>
      <c r="K37">
        <v>0.01</v>
      </c>
      <c r="M37" t="s">
        <v>496</v>
      </c>
      <c r="O37" t="s">
        <v>358</v>
      </c>
      <c r="P37" t="s">
        <v>119</v>
      </c>
      <c r="Q37">
        <v>8</v>
      </c>
      <c r="R37">
        <v>0</v>
      </c>
      <c r="S37" t="s">
        <v>359</v>
      </c>
    </row>
    <row r="38" spans="1:19" x14ac:dyDescent="0.2">
      <c r="A38" t="s">
        <v>497</v>
      </c>
      <c r="B38">
        <v>37</v>
      </c>
      <c r="C38" t="s">
        <v>27</v>
      </c>
      <c r="D38" t="s">
        <v>477</v>
      </c>
      <c r="E38" t="s">
        <v>498</v>
      </c>
      <c r="F38" t="s">
        <v>355</v>
      </c>
      <c r="G38" t="s">
        <v>10</v>
      </c>
      <c r="H38" t="s">
        <v>499</v>
      </c>
      <c r="I38">
        <f>SUMIF($B$6:$B$16,"Operating Working Capital Liability",D$6:D$16)</f>
        <v>0</v>
      </c>
      <c r="J38">
        <v>644</v>
      </c>
      <c r="K38">
        <v>0.01</v>
      </c>
      <c r="M38" t="s">
        <v>496</v>
      </c>
      <c r="O38" t="s">
        <v>358</v>
      </c>
      <c r="P38" t="s">
        <v>119</v>
      </c>
      <c r="Q38">
        <v>8</v>
      </c>
      <c r="R38">
        <v>1</v>
      </c>
      <c r="S38" t="s">
        <v>363</v>
      </c>
    </row>
    <row r="39" spans="1:19" x14ac:dyDescent="0.2">
      <c r="A39" t="s">
        <v>500</v>
      </c>
      <c r="B39">
        <v>38</v>
      </c>
      <c r="C39" t="s">
        <v>27</v>
      </c>
      <c r="D39" t="s">
        <v>477</v>
      </c>
      <c r="E39" t="s">
        <v>501</v>
      </c>
      <c r="F39" t="s">
        <v>355</v>
      </c>
      <c r="G39" t="s">
        <v>10</v>
      </c>
      <c r="H39" t="s">
        <v>502</v>
      </c>
      <c r="I39">
        <f>SUMIF($B$6:$B$16,"Operating Working Capital Liability",E$6:E$16)</f>
        <v>0</v>
      </c>
      <c r="J39">
        <v>707</v>
      </c>
      <c r="K39">
        <v>0.01</v>
      </c>
      <c r="M39" t="s">
        <v>496</v>
      </c>
      <c r="O39" t="s">
        <v>358</v>
      </c>
      <c r="P39" t="s">
        <v>119</v>
      </c>
      <c r="Q39">
        <v>8</v>
      </c>
      <c r="R39">
        <v>2</v>
      </c>
      <c r="S39" t="s">
        <v>367</v>
      </c>
    </row>
    <row r="40" spans="1:19" x14ac:dyDescent="0.2">
      <c r="A40" t="s">
        <v>503</v>
      </c>
      <c r="B40">
        <v>39</v>
      </c>
      <c r="C40" t="s">
        <v>27</v>
      </c>
      <c r="D40" t="s">
        <v>477</v>
      </c>
      <c r="E40" t="s">
        <v>504</v>
      </c>
      <c r="F40" t="s">
        <v>355</v>
      </c>
      <c r="G40" t="s">
        <v>10</v>
      </c>
      <c r="H40" t="s">
        <v>505</v>
      </c>
      <c r="I40">
        <f>SUMIF($B$6:$B$16,"Operating Working Capital Liability",F$6:F$16)</f>
        <v>0</v>
      </c>
      <c r="J40">
        <v>784</v>
      </c>
      <c r="K40">
        <v>0.01</v>
      </c>
      <c r="M40" t="s">
        <v>496</v>
      </c>
      <c r="O40" t="s">
        <v>358</v>
      </c>
      <c r="P40" t="s">
        <v>119</v>
      </c>
      <c r="Q40">
        <v>8</v>
      </c>
      <c r="R40">
        <v>3</v>
      </c>
      <c r="S40" t="s">
        <v>371</v>
      </c>
    </row>
    <row r="41" spans="1:19" x14ac:dyDescent="0.2">
      <c r="A41" t="s">
        <v>506</v>
      </c>
      <c r="B41">
        <v>40</v>
      </c>
      <c r="C41" t="s">
        <v>27</v>
      </c>
      <c r="D41" t="s">
        <v>477</v>
      </c>
      <c r="E41" t="s">
        <v>507</v>
      </c>
      <c r="F41" t="s">
        <v>355</v>
      </c>
      <c r="G41" t="s">
        <v>10</v>
      </c>
      <c r="H41" t="s">
        <v>508</v>
      </c>
      <c r="I41">
        <f>SUMIF($B$6:$B$16,"Operating Working Capital Liability",G$6:G$16)</f>
        <v>0</v>
      </c>
      <c r="J41">
        <v>875</v>
      </c>
      <c r="K41">
        <v>0.01</v>
      </c>
      <c r="M41" t="s">
        <v>496</v>
      </c>
      <c r="O41" t="s">
        <v>358</v>
      </c>
      <c r="P41" t="s">
        <v>119</v>
      </c>
      <c r="Q41">
        <v>8</v>
      </c>
      <c r="R41">
        <v>4</v>
      </c>
      <c r="S41" t="s">
        <v>375</v>
      </c>
    </row>
    <row r="42" spans="1:19" x14ac:dyDescent="0.2">
      <c r="A42" t="s">
        <v>509</v>
      </c>
      <c r="B42">
        <v>41</v>
      </c>
      <c r="C42" t="s">
        <v>29</v>
      </c>
      <c r="D42" t="s">
        <v>510</v>
      </c>
      <c r="E42" t="s">
        <v>511</v>
      </c>
      <c r="F42" t="s">
        <v>355</v>
      </c>
      <c r="G42" t="s">
        <v>10</v>
      </c>
      <c r="H42" t="s">
        <v>512</v>
      </c>
      <c r="I42">
        <f>B31-B32</f>
        <v>-1</v>
      </c>
      <c r="J42">
        <v>935</v>
      </c>
      <c r="K42">
        <v>0.01</v>
      </c>
      <c r="L42" t="s">
        <v>513</v>
      </c>
      <c r="M42" t="s">
        <v>514</v>
      </c>
      <c r="O42" t="s">
        <v>358</v>
      </c>
      <c r="P42" t="s">
        <v>515</v>
      </c>
      <c r="Q42">
        <v>9</v>
      </c>
      <c r="R42">
        <v>0</v>
      </c>
      <c r="S42" t="s">
        <v>359</v>
      </c>
    </row>
    <row r="43" spans="1:19" x14ac:dyDescent="0.2">
      <c r="A43" t="s">
        <v>516</v>
      </c>
      <c r="B43">
        <v>42</v>
      </c>
      <c r="C43" t="s">
        <v>29</v>
      </c>
      <c r="D43" t="s">
        <v>510</v>
      </c>
      <c r="E43" t="s">
        <v>517</v>
      </c>
      <c r="F43" t="s">
        <v>355</v>
      </c>
      <c r="G43" t="s">
        <v>10</v>
      </c>
      <c r="H43" t="s">
        <v>518</v>
      </c>
      <c r="I43" t="e">
        <f>C31-C32</f>
        <v>#VALUE!</v>
      </c>
      <c r="J43">
        <v>1012</v>
      </c>
      <c r="K43">
        <v>0.01</v>
      </c>
      <c r="L43" t="s">
        <v>519</v>
      </c>
      <c r="M43" t="s">
        <v>514</v>
      </c>
      <c r="O43" t="s">
        <v>358</v>
      </c>
      <c r="P43" t="s">
        <v>515</v>
      </c>
      <c r="Q43">
        <v>9</v>
      </c>
      <c r="R43">
        <v>1</v>
      </c>
      <c r="S43" t="s">
        <v>363</v>
      </c>
    </row>
    <row r="44" spans="1:19" x14ac:dyDescent="0.2">
      <c r="A44" t="s">
        <v>520</v>
      </c>
      <c r="B44">
        <v>43</v>
      </c>
      <c r="C44" t="s">
        <v>29</v>
      </c>
      <c r="D44" t="s">
        <v>510</v>
      </c>
      <c r="E44" t="s">
        <v>521</v>
      </c>
      <c r="F44" t="s">
        <v>355</v>
      </c>
      <c r="G44" t="s">
        <v>10</v>
      </c>
      <c r="H44" t="s">
        <v>522</v>
      </c>
      <c r="I44" t="e">
        <f>D31-D32</f>
        <v>#VALUE!</v>
      </c>
      <c r="J44">
        <v>1111</v>
      </c>
      <c r="K44">
        <v>0.01</v>
      </c>
      <c r="L44" t="s">
        <v>523</v>
      </c>
      <c r="M44" t="s">
        <v>514</v>
      </c>
      <c r="O44" t="s">
        <v>358</v>
      </c>
      <c r="P44" t="s">
        <v>515</v>
      </c>
      <c r="Q44">
        <v>9</v>
      </c>
      <c r="R44">
        <v>2</v>
      </c>
      <c r="S44" t="s">
        <v>367</v>
      </c>
    </row>
    <row r="45" spans="1:19" x14ac:dyDescent="0.2">
      <c r="A45" t="s">
        <v>524</v>
      </c>
      <c r="B45">
        <v>44</v>
      </c>
      <c r="C45" t="s">
        <v>29</v>
      </c>
      <c r="D45" t="s">
        <v>510</v>
      </c>
      <c r="E45" t="s">
        <v>525</v>
      </c>
      <c r="F45" t="s">
        <v>355</v>
      </c>
      <c r="G45" t="s">
        <v>10</v>
      </c>
      <c r="H45" t="s">
        <v>526</v>
      </c>
      <c r="I45" t="e">
        <f>E31-E32</f>
        <v>#VALUE!</v>
      </c>
      <c r="J45">
        <v>1232</v>
      </c>
      <c r="K45">
        <v>0.01</v>
      </c>
      <c r="L45" t="s">
        <v>527</v>
      </c>
      <c r="M45" t="s">
        <v>514</v>
      </c>
      <c r="O45" t="s">
        <v>358</v>
      </c>
      <c r="P45" t="s">
        <v>515</v>
      </c>
      <c r="Q45">
        <v>9</v>
      </c>
      <c r="R45">
        <v>3</v>
      </c>
      <c r="S45" t="s">
        <v>371</v>
      </c>
    </row>
    <row r="46" spans="1:19" x14ac:dyDescent="0.2">
      <c r="A46" t="s">
        <v>528</v>
      </c>
      <c r="B46">
        <v>45</v>
      </c>
      <c r="C46" t="s">
        <v>29</v>
      </c>
      <c r="D46" t="s">
        <v>510</v>
      </c>
      <c r="E46" t="s">
        <v>529</v>
      </c>
      <c r="F46" t="s">
        <v>355</v>
      </c>
      <c r="G46" t="s">
        <v>10</v>
      </c>
      <c r="H46" t="s">
        <v>530</v>
      </c>
      <c r="I46" t="e">
        <f>F31-F32</f>
        <v>#VALUE!</v>
      </c>
      <c r="J46">
        <v>1375</v>
      </c>
      <c r="K46">
        <v>0.01</v>
      </c>
      <c r="L46" t="s">
        <v>531</v>
      </c>
      <c r="M46" t="s">
        <v>514</v>
      </c>
      <c r="O46" t="s">
        <v>358</v>
      </c>
      <c r="P46" t="s">
        <v>515</v>
      </c>
      <c r="Q46">
        <v>9</v>
      </c>
      <c r="R46">
        <v>4</v>
      </c>
      <c r="S46" t="s">
        <v>375</v>
      </c>
    </row>
    <row r="47" spans="1:19" x14ac:dyDescent="0.2">
      <c r="A47" t="s">
        <v>532</v>
      </c>
      <c r="B47">
        <v>46</v>
      </c>
      <c r="C47" t="s">
        <v>32</v>
      </c>
      <c r="D47" t="s">
        <v>477</v>
      </c>
      <c r="E47" t="s">
        <v>533</v>
      </c>
      <c r="F47" t="s">
        <v>355</v>
      </c>
      <c r="G47" t="s">
        <v>10</v>
      </c>
      <c r="H47" t="s">
        <v>534</v>
      </c>
      <c r="I47">
        <f>SUMIF($B$6:$B$16,"Operating Long-Term Asset",C$6:C$16)</f>
        <v>0</v>
      </c>
      <c r="J47">
        <v>5770</v>
      </c>
      <c r="K47">
        <v>0.01</v>
      </c>
      <c r="M47" t="s">
        <v>535</v>
      </c>
      <c r="O47" t="s">
        <v>358</v>
      </c>
      <c r="P47" t="s">
        <v>536</v>
      </c>
      <c r="Q47">
        <v>10</v>
      </c>
      <c r="R47">
        <v>0</v>
      </c>
      <c r="S47" t="s">
        <v>359</v>
      </c>
    </row>
    <row r="48" spans="1:19" x14ac:dyDescent="0.2">
      <c r="A48" t="s">
        <v>537</v>
      </c>
      <c r="B48">
        <v>47</v>
      </c>
      <c r="C48" t="s">
        <v>32</v>
      </c>
      <c r="D48" t="s">
        <v>477</v>
      </c>
      <c r="E48" t="s">
        <v>538</v>
      </c>
      <c r="F48" t="s">
        <v>355</v>
      </c>
      <c r="G48" t="s">
        <v>10</v>
      </c>
      <c r="H48" t="s">
        <v>539</v>
      </c>
      <c r="I48">
        <f>SUMIF($B$6:$B$16,"Operating Long-Term Asset",D$6:D$16)</f>
        <v>0</v>
      </c>
      <c r="J48">
        <v>6194</v>
      </c>
      <c r="K48">
        <v>0.01</v>
      </c>
      <c r="M48" t="s">
        <v>535</v>
      </c>
      <c r="O48" t="s">
        <v>358</v>
      </c>
      <c r="P48" t="s">
        <v>536</v>
      </c>
      <c r="Q48">
        <v>10</v>
      </c>
      <c r="R48">
        <v>1</v>
      </c>
      <c r="S48" t="s">
        <v>363</v>
      </c>
    </row>
    <row r="49" spans="1:19" x14ac:dyDescent="0.2">
      <c r="A49" t="s">
        <v>540</v>
      </c>
      <c r="B49">
        <v>48</v>
      </c>
      <c r="C49" t="s">
        <v>32</v>
      </c>
      <c r="D49" t="s">
        <v>477</v>
      </c>
      <c r="E49" t="s">
        <v>541</v>
      </c>
      <c r="F49" t="s">
        <v>355</v>
      </c>
      <c r="G49" t="s">
        <v>10</v>
      </c>
      <c r="H49" t="s">
        <v>542</v>
      </c>
      <c r="I49">
        <f>SUMIF($B$6:$B$16,"Operating Long-Term Asset",E$6:E$16)</f>
        <v>0</v>
      </c>
      <c r="J49">
        <v>6782</v>
      </c>
      <c r="K49">
        <v>0.01</v>
      </c>
      <c r="M49" t="s">
        <v>535</v>
      </c>
      <c r="O49" t="s">
        <v>358</v>
      </c>
      <c r="P49" t="s">
        <v>536</v>
      </c>
      <c r="Q49">
        <v>10</v>
      </c>
      <c r="R49">
        <v>2</v>
      </c>
      <c r="S49" t="s">
        <v>367</v>
      </c>
    </row>
    <row r="50" spans="1:19" x14ac:dyDescent="0.2">
      <c r="A50" t="s">
        <v>543</v>
      </c>
      <c r="B50">
        <v>49</v>
      </c>
      <c r="C50" t="s">
        <v>32</v>
      </c>
      <c r="D50" t="s">
        <v>477</v>
      </c>
      <c r="E50" t="s">
        <v>544</v>
      </c>
      <c r="F50" t="s">
        <v>355</v>
      </c>
      <c r="G50" t="s">
        <v>10</v>
      </c>
      <c r="H50" t="s">
        <v>545</v>
      </c>
      <c r="I50">
        <f>SUMIF($B$6:$B$16,"Operating Long-Term Asset",F$6:F$16)</f>
        <v>0</v>
      </c>
      <c r="J50">
        <v>7504</v>
      </c>
      <c r="K50">
        <v>0.01</v>
      </c>
      <c r="M50" t="s">
        <v>535</v>
      </c>
      <c r="O50" t="s">
        <v>358</v>
      </c>
      <c r="P50" t="s">
        <v>536</v>
      </c>
      <c r="Q50">
        <v>10</v>
      </c>
      <c r="R50">
        <v>3</v>
      </c>
      <c r="S50" t="s">
        <v>371</v>
      </c>
    </row>
    <row r="51" spans="1:19" x14ac:dyDescent="0.2">
      <c r="A51" t="s">
        <v>546</v>
      </c>
      <c r="B51">
        <v>50</v>
      </c>
      <c r="C51" t="s">
        <v>32</v>
      </c>
      <c r="D51" t="s">
        <v>477</v>
      </c>
      <c r="E51" t="s">
        <v>547</v>
      </c>
      <c r="F51" t="s">
        <v>355</v>
      </c>
      <c r="G51" t="s">
        <v>10</v>
      </c>
      <c r="H51" t="s">
        <v>548</v>
      </c>
      <c r="I51">
        <f>SUMIF($B$6:$B$16,"Operating Long-Term Asset",G$6:G$16)</f>
        <v>0</v>
      </c>
      <c r="J51">
        <v>8400</v>
      </c>
      <c r="K51">
        <v>0.01</v>
      </c>
      <c r="M51" t="s">
        <v>535</v>
      </c>
      <c r="O51" t="s">
        <v>358</v>
      </c>
      <c r="P51" t="s">
        <v>536</v>
      </c>
      <c r="Q51">
        <v>10</v>
      </c>
      <c r="R51">
        <v>4</v>
      </c>
      <c r="S51" t="s">
        <v>375</v>
      </c>
    </row>
    <row r="52" spans="1:19" x14ac:dyDescent="0.2">
      <c r="A52" t="s">
        <v>549</v>
      </c>
      <c r="B52">
        <v>51</v>
      </c>
      <c r="C52" t="s">
        <v>34</v>
      </c>
      <c r="D52" t="s">
        <v>477</v>
      </c>
      <c r="E52" t="s">
        <v>550</v>
      </c>
      <c r="F52" t="s">
        <v>355</v>
      </c>
      <c r="G52" t="s">
        <v>10</v>
      </c>
      <c r="H52" t="s">
        <v>551</v>
      </c>
      <c r="I52">
        <f>SUMIF($B$6:$B$16,"Operating Long-Term Liability",C$6:C$16)</f>
        <v>0</v>
      </c>
      <c r="J52">
        <v>1305</v>
      </c>
      <c r="K52">
        <v>0.01</v>
      </c>
      <c r="M52" t="s">
        <v>552</v>
      </c>
      <c r="O52" t="s">
        <v>358</v>
      </c>
      <c r="P52" t="s">
        <v>553</v>
      </c>
      <c r="Q52">
        <v>11</v>
      </c>
      <c r="R52">
        <v>0</v>
      </c>
      <c r="S52" t="s">
        <v>359</v>
      </c>
    </row>
    <row r="53" spans="1:19" x14ac:dyDescent="0.2">
      <c r="A53" t="s">
        <v>554</v>
      </c>
      <c r="B53">
        <v>52</v>
      </c>
      <c r="C53" t="s">
        <v>34</v>
      </c>
      <c r="D53" t="s">
        <v>477</v>
      </c>
      <c r="E53" t="s">
        <v>555</v>
      </c>
      <c r="F53" t="s">
        <v>355</v>
      </c>
      <c r="G53" t="s">
        <v>10</v>
      </c>
      <c r="H53" t="s">
        <v>556</v>
      </c>
      <c r="I53">
        <f>SUMIF($B$6:$B$16,"Operating Long-Term Liability",D$6:D$16)</f>
        <v>0</v>
      </c>
      <c r="J53">
        <v>1456</v>
      </c>
      <c r="K53">
        <v>0.01</v>
      </c>
      <c r="M53" t="s">
        <v>552</v>
      </c>
      <c r="O53" t="s">
        <v>358</v>
      </c>
      <c r="P53" t="s">
        <v>553</v>
      </c>
      <c r="Q53">
        <v>11</v>
      </c>
      <c r="R53">
        <v>1</v>
      </c>
      <c r="S53" t="s">
        <v>363</v>
      </c>
    </row>
    <row r="54" spans="1:19" x14ac:dyDescent="0.2">
      <c r="A54" t="s">
        <v>557</v>
      </c>
      <c r="B54">
        <v>53</v>
      </c>
      <c r="C54" t="s">
        <v>34</v>
      </c>
      <c r="D54" t="s">
        <v>477</v>
      </c>
      <c r="E54" t="s">
        <v>558</v>
      </c>
      <c r="F54" t="s">
        <v>355</v>
      </c>
      <c r="G54" t="s">
        <v>10</v>
      </c>
      <c r="H54" t="s">
        <v>559</v>
      </c>
      <c r="I54">
        <f>SUMIF($B$6:$B$16,"Operating Long-Term Liability",E$6:E$16)</f>
        <v>0</v>
      </c>
      <c r="J54">
        <v>1593</v>
      </c>
      <c r="K54">
        <v>0.01</v>
      </c>
      <c r="M54" t="s">
        <v>552</v>
      </c>
      <c r="O54" t="s">
        <v>358</v>
      </c>
      <c r="P54" t="s">
        <v>553</v>
      </c>
      <c r="Q54">
        <v>11</v>
      </c>
      <c r="R54">
        <v>2</v>
      </c>
      <c r="S54" t="s">
        <v>367</v>
      </c>
    </row>
    <row r="55" spans="1:19" x14ac:dyDescent="0.2">
      <c r="A55" t="s">
        <v>560</v>
      </c>
      <c r="B55">
        <v>54</v>
      </c>
      <c r="C55" t="s">
        <v>34</v>
      </c>
      <c r="D55" t="s">
        <v>477</v>
      </c>
      <c r="E55" t="s">
        <v>561</v>
      </c>
      <c r="F55" t="s">
        <v>355</v>
      </c>
      <c r="G55" t="s">
        <v>10</v>
      </c>
      <c r="H55" t="s">
        <v>562</v>
      </c>
      <c r="I55">
        <f>SUMIF($B$6:$B$16,"Operating Long-Term Liability",F$6:F$16)</f>
        <v>0</v>
      </c>
      <c r="J55">
        <v>1716</v>
      </c>
      <c r="K55">
        <v>0.01</v>
      </c>
      <c r="M55" t="s">
        <v>552</v>
      </c>
      <c r="O55" t="s">
        <v>358</v>
      </c>
      <c r="P55" t="s">
        <v>553</v>
      </c>
      <c r="Q55">
        <v>11</v>
      </c>
      <c r="R55">
        <v>3</v>
      </c>
      <c r="S55" t="s">
        <v>371</v>
      </c>
    </row>
    <row r="56" spans="1:19" x14ac:dyDescent="0.2">
      <c r="A56" t="s">
        <v>563</v>
      </c>
      <c r="B56">
        <v>55</v>
      </c>
      <c r="C56" t="s">
        <v>34</v>
      </c>
      <c r="D56" t="s">
        <v>477</v>
      </c>
      <c r="E56" t="s">
        <v>564</v>
      </c>
      <c r="F56" t="s">
        <v>355</v>
      </c>
      <c r="G56" t="s">
        <v>10</v>
      </c>
      <c r="H56" t="s">
        <v>565</v>
      </c>
      <c r="I56">
        <f>SUMIF($B$6:$B$16,"Operating Long-Term Liability",G$6:G$16)</f>
        <v>0</v>
      </c>
      <c r="J56">
        <v>1825</v>
      </c>
      <c r="K56">
        <v>0.01</v>
      </c>
      <c r="M56" t="s">
        <v>552</v>
      </c>
      <c r="O56" t="s">
        <v>358</v>
      </c>
      <c r="P56" t="s">
        <v>553</v>
      </c>
      <c r="Q56">
        <v>11</v>
      </c>
      <c r="R56">
        <v>4</v>
      </c>
      <c r="S56" t="s">
        <v>375</v>
      </c>
    </row>
    <row r="57" spans="1:19" x14ac:dyDescent="0.2">
      <c r="A57" t="s">
        <v>566</v>
      </c>
      <c r="B57">
        <v>56</v>
      </c>
      <c r="C57" t="s">
        <v>36</v>
      </c>
      <c r="D57" t="s">
        <v>567</v>
      </c>
      <c r="E57" t="s">
        <v>568</v>
      </c>
      <c r="F57" t="s">
        <v>355</v>
      </c>
      <c r="G57" t="s">
        <v>10</v>
      </c>
      <c r="H57" t="s">
        <v>569</v>
      </c>
      <c r="I57">
        <f>B34-B35</f>
        <v>-1</v>
      </c>
      <c r="J57">
        <v>4465</v>
      </c>
      <c r="K57">
        <v>0.01</v>
      </c>
      <c r="L57" t="s">
        <v>570</v>
      </c>
      <c r="M57" t="s">
        <v>571</v>
      </c>
      <c r="O57" t="s">
        <v>358</v>
      </c>
      <c r="P57" t="s">
        <v>572</v>
      </c>
      <c r="Q57">
        <v>12</v>
      </c>
      <c r="R57">
        <v>0</v>
      </c>
      <c r="S57" t="s">
        <v>359</v>
      </c>
    </row>
    <row r="58" spans="1:19" x14ac:dyDescent="0.2">
      <c r="A58" t="s">
        <v>573</v>
      </c>
      <c r="B58">
        <v>57</v>
      </c>
      <c r="C58" t="s">
        <v>36</v>
      </c>
      <c r="D58" t="s">
        <v>567</v>
      </c>
      <c r="E58" t="s">
        <v>574</v>
      </c>
      <c r="F58" t="s">
        <v>355</v>
      </c>
      <c r="G58" t="s">
        <v>10</v>
      </c>
      <c r="H58" t="s">
        <v>575</v>
      </c>
      <c r="I58" t="e">
        <f>C34-C35</f>
        <v>#VALUE!</v>
      </c>
      <c r="J58">
        <v>4738</v>
      </c>
      <c r="K58">
        <v>0.01</v>
      </c>
      <c r="L58" t="s">
        <v>576</v>
      </c>
      <c r="M58" t="s">
        <v>571</v>
      </c>
      <c r="O58" t="s">
        <v>358</v>
      </c>
      <c r="P58" t="s">
        <v>572</v>
      </c>
      <c r="Q58">
        <v>12</v>
      </c>
      <c r="R58">
        <v>1</v>
      </c>
      <c r="S58" t="s">
        <v>363</v>
      </c>
    </row>
    <row r="59" spans="1:19" x14ac:dyDescent="0.2">
      <c r="A59" t="s">
        <v>577</v>
      </c>
      <c r="B59">
        <v>58</v>
      </c>
      <c r="C59" t="s">
        <v>36</v>
      </c>
      <c r="D59" t="s">
        <v>567</v>
      </c>
      <c r="E59" t="s">
        <v>578</v>
      </c>
      <c r="F59" t="s">
        <v>355</v>
      </c>
      <c r="G59" t="s">
        <v>10</v>
      </c>
      <c r="H59" t="s">
        <v>579</v>
      </c>
      <c r="I59" t="e">
        <f>D34-D35</f>
        <v>#VALUE!</v>
      </c>
      <c r="J59">
        <v>5189</v>
      </c>
      <c r="K59">
        <v>0.01</v>
      </c>
      <c r="L59" t="s">
        <v>580</v>
      </c>
      <c r="M59" t="s">
        <v>571</v>
      </c>
      <c r="O59" t="s">
        <v>358</v>
      </c>
      <c r="P59" t="s">
        <v>572</v>
      </c>
      <c r="Q59">
        <v>12</v>
      </c>
      <c r="R59">
        <v>2</v>
      </c>
      <c r="S59" t="s">
        <v>367</v>
      </c>
    </row>
    <row r="60" spans="1:19" x14ac:dyDescent="0.2">
      <c r="A60" t="s">
        <v>581</v>
      </c>
      <c r="B60">
        <v>59</v>
      </c>
      <c r="C60" t="s">
        <v>36</v>
      </c>
      <c r="D60" t="s">
        <v>567</v>
      </c>
      <c r="E60" t="s">
        <v>582</v>
      </c>
      <c r="F60" t="s">
        <v>355</v>
      </c>
      <c r="G60" t="s">
        <v>10</v>
      </c>
      <c r="H60" t="s">
        <v>583</v>
      </c>
      <c r="I60" t="e">
        <f>E34-E35</f>
        <v>#VALUE!</v>
      </c>
      <c r="J60">
        <v>5788</v>
      </c>
      <c r="K60">
        <v>0.01</v>
      </c>
      <c r="L60" t="s">
        <v>584</v>
      </c>
      <c r="M60" t="s">
        <v>571</v>
      </c>
      <c r="O60" t="s">
        <v>358</v>
      </c>
      <c r="P60" t="s">
        <v>572</v>
      </c>
      <c r="Q60">
        <v>12</v>
      </c>
      <c r="R60">
        <v>3</v>
      </c>
      <c r="S60" t="s">
        <v>371</v>
      </c>
    </row>
    <row r="61" spans="1:19" x14ac:dyDescent="0.2">
      <c r="A61" t="s">
        <v>585</v>
      </c>
      <c r="B61">
        <v>60</v>
      </c>
      <c r="C61" t="s">
        <v>36</v>
      </c>
      <c r="D61" t="s">
        <v>567</v>
      </c>
      <c r="E61" t="s">
        <v>586</v>
      </c>
      <c r="F61" t="s">
        <v>355</v>
      </c>
      <c r="G61" t="s">
        <v>10</v>
      </c>
      <c r="H61" t="s">
        <v>587</v>
      </c>
      <c r="I61" t="e">
        <f>F34-F35</f>
        <v>#VALUE!</v>
      </c>
      <c r="J61">
        <v>6575</v>
      </c>
      <c r="K61">
        <v>0.01</v>
      </c>
      <c r="L61" t="s">
        <v>588</v>
      </c>
      <c r="M61" t="s">
        <v>571</v>
      </c>
      <c r="O61" t="s">
        <v>358</v>
      </c>
      <c r="P61" t="s">
        <v>572</v>
      </c>
      <c r="Q61">
        <v>12</v>
      </c>
      <c r="R61">
        <v>4</v>
      </c>
      <c r="S61" t="s">
        <v>375</v>
      </c>
    </row>
    <row r="62" spans="1:19" x14ac:dyDescent="0.2">
      <c r="A62" t="s">
        <v>589</v>
      </c>
      <c r="B62">
        <v>61</v>
      </c>
      <c r="C62" t="s">
        <v>39</v>
      </c>
      <c r="D62" t="s">
        <v>590</v>
      </c>
      <c r="E62" t="s">
        <v>591</v>
      </c>
      <c r="F62" t="s">
        <v>355</v>
      </c>
      <c r="G62" t="s">
        <v>10</v>
      </c>
      <c r="H62" t="s">
        <v>592</v>
      </c>
      <c r="I62">
        <f>B33+B36</f>
        <v>67</v>
      </c>
      <c r="J62">
        <v>5400</v>
      </c>
      <c r="K62">
        <v>0.01</v>
      </c>
      <c r="L62" t="s">
        <v>593</v>
      </c>
      <c r="M62" t="s">
        <v>594</v>
      </c>
      <c r="O62" t="s">
        <v>358</v>
      </c>
      <c r="P62" t="s">
        <v>130</v>
      </c>
      <c r="Q62">
        <v>13</v>
      </c>
      <c r="R62">
        <v>0</v>
      </c>
      <c r="S62" t="s">
        <v>359</v>
      </c>
    </row>
    <row r="63" spans="1:19" x14ac:dyDescent="0.2">
      <c r="A63" t="s">
        <v>595</v>
      </c>
      <c r="B63">
        <v>62</v>
      </c>
      <c r="C63" t="s">
        <v>39</v>
      </c>
      <c r="D63" t="s">
        <v>590</v>
      </c>
      <c r="E63" t="s">
        <v>596</v>
      </c>
      <c r="F63" t="s">
        <v>355</v>
      </c>
      <c r="G63" t="s">
        <v>10</v>
      </c>
      <c r="H63" t="s">
        <v>597</v>
      </c>
      <c r="I63" t="e">
        <f>C33+C36</f>
        <v>#VALUE!</v>
      </c>
      <c r="J63">
        <v>5750</v>
      </c>
      <c r="K63">
        <v>0.01</v>
      </c>
      <c r="L63" t="s">
        <v>598</v>
      </c>
      <c r="M63" t="s">
        <v>594</v>
      </c>
      <c r="O63" t="s">
        <v>358</v>
      </c>
      <c r="P63" t="s">
        <v>130</v>
      </c>
      <c r="Q63">
        <v>13</v>
      </c>
      <c r="R63">
        <v>1</v>
      </c>
      <c r="S63" t="s">
        <v>363</v>
      </c>
    </row>
    <row r="64" spans="1:19" x14ac:dyDescent="0.2">
      <c r="A64" t="s">
        <v>599</v>
      </c>
      <c r="B64">
        <v>63</v>
      </c>
      <c r="C64" t="s">
        <v>39</v>
      </c>
      <c r="D64" t="s">
        <v>590</v>
      </c>
      <c r="E64" t="s">
        <v>600</v>
      </c>
      <c r="F64" t="s">
        <v>355</v>
      </c>
      <c r="G64" t="s">
        <v>10</v>
      </c>
      <c r="H64" t="s">
        <v>601</v>
      </c>
      <c r="I64" t="e">
        <f>D33+D36</f>
        <v>#VALUE!</v>
      </c>
      <c r="J64">
        <v>6300</v>
      </c>
      <c r="K64">
        <v>0.01</v>
      </c>
      <c r="L64" t="s">
        <v>602</v>
      </c>
      <c r="M64" t="s">
        <v>594</v>
      </c>
      <c r="O64" t="s">
        <v>358</v>
      </c>
      <c r="P64" t="s">
        <v>130</v>
      </c>
      <c r="Q64">
        <v>13</v>
      </c>
      <c r="R64">
        <v>2</v>
      </c>
      <c r="S64" t="s">
        <v>367</v>
      </c>
    </row>
    <row r="65" spans="1:19" x14ac:dyDescent="0.2">
      <c r="A65" t="s">
        <v>603</v>
      </c>
      <c r="B65">
        <v>64</v>
      </c>
      <c r="C65" t="s">
        <v>39</v>
      </c>
      <c r="D65" t="s">
        <v>590</v>
      </c>
      <c r="E65" t="s">
        <v>604</v>
      </c>
      <c r="F65" t="s">
        <v>355</v>
      </c>
      <c r="G65" t="s">
        <v>10</v>
      </c>
      <c r="H65" t="s">
        <v>605</v>
      </c>
      <c r="I65" t="e">
        <f>E33+E36</f>
        <v>#VALUE!</v>
      </c>
      <c r="J65">
        <v>7020</v>
      </c>
      <c r="K65">
        <v>0.01</v>
      </c>
      <c r="L65" t="s">
        <v>606</v>
      </c>
      <c r="M65" t="s">
        <v>594</v>
      </c>
      <c r="O65" t="s">
        <v>358</v>
      </c>
      <c r="P65" t="s">
        <v>130</v>
      </c>
      <c r="Q65">
        <v>13</v>
      </c>
      <c r="R65">
        <v>3</v>
      </c>
      <c r="S65" t="s">
        <v>371</v>
      </c>
    </row>
    <row r="66" spans="1:19" x14ac:dyDescent="0.2">
      <c r="A66" t="s">
        <v>607</v>
      </c>
      <c r="B66">
        <v>65</v>
      </c>
      <c r="C66" t="s">
        <v>39</v>
      </c>
      <c r="D66" t="s">
        <v>590</v>
      </c>
      <c r="E66" t="s">
        <v>608</v>
      </c>
      <c r="F66" t="s">
        <v>355</v>
      </c>
      <c r="G66" t="s">
        <v>10</v>
      </c>
      <c r="H66" t="s">
        <v>609</v>
      </c>
      <c r="I66" t="e">
        <f>F33+F36</f>
        <v>#VALUE!</v>
      </c>
      <c r="J66">
        <v>7950</v>
      </c>
      <c r="K66">
        <v>0.01</v>
      </c>
      <c r="L66" t="s">
        <v>610</v>
      </c>
      <c r="M66" t="s">
        <v>594</v>
      </c>
      <c r="O66" t="s">
        <v>358</v>
      </c>
      <c r="P66" t="s">
        <v>130</v>
      </c>
      <c r="Q66">
        <v>13</v>
      </c>
      <c r="R66">
        <v>4</v>
      </c>
      <c r="S66" t="s">
        <v>375</v>
      </c>
    </row>
    <row r="67" spans="1:19" x14ac:dyDescent="0.2">
      <c r="A67" t="s">
        <v>611</v>
      </c>
      <c r="B67">
        <v>66</v>
      </c>
      <c r="C67" t="s">
        <v>42</v>
      </c>
      <c r="D67" t="s">
        <v>477</v>
      </c>
      <c r="E67" t="s">
        <v>612</v>
      </c>
      <c r="F67" t="s">
        <v>355</v>
      </c>
      <c r="G67" t="s">
        <v>10</v>
      </c>
      <c r="H67" t="s">
        <v>613</v>
      </c>
      <c r="I67">
        <f>SUMIF($B$6:$B$16,"Financial Asset",C$6:C$16)</f>
        <v>0</v>
      </c>
      <c r="J67">
        <v>1200</v>
      </c>
      <c r="K67">
        <v>0.01</v>
      </c>
      <c r="M67" t="s">
        <v>614</v>
      </c>
      <c r="O67" t="s">
        <v>358</v>
      </c>
      <c r="P67" t="s">
        <v>615</v>
      </c>
      <c r="Q67">
        <v>14</v>
      </c>
      <c r="R67">
        <v>0</v>
      </c>
      <c r="S67" t="s">
        <v>359</v>
      </c>
    </row>
    <row r="68" spans="1:19" x14ac:dyDescent="0.2">
      <c r="A68" t="s">
        <v>616</v>
      </c>
      <c r="B68">
        <v>67</v>
      </c>
      <c r="C68" t="s">
        <v>42</v>
      </c>
      <c r="D68" t="s">
        <v>477</v>
      </c>
      <c r="E68" t="s">
        <v>617</v>
      </c>
      <c r="F68" t="s">
        <v>355</v>
      </c>
      <c r="G68" t="s">
        <v>10</v>
      </c>
      <c r="H68" t="s">
        <v>618</v>
      </c>
      <c r="I68">
        <f>SUMIF($B$6:$B$16,"Financial Asset",D$6:D$16)</f>
        <v>0</v>
      </c>
      <c r="J68">
        <v>1350</v>
      </c>
      <c r="K68">
        <v>0.01</v>
      </c>
      <c r="M68" t="s">
        <v>614</v>
      </c>
      <c r="O68" t="s">
        <v>358</v>
      </c>
      <c r="P68" t="s">
        <v>615</v>
      </c>
      <c r="Q68">
        <v>14</v>
      </c>
      <c r="R68">
        <v>1</v>
      </c>
      <c r="S68" t="s">
        <v>363</v>
      </c>
    </row>
    <row r="69" spans="1:19" x14ac:dyDescent="0.2">
      <c r="A69" t="s">
        <v>619</v>
      </c>
      <c r="B69">
        <v>68</v>
      </c>
      <c r="C69" t="s">
        <v>42</v>
      </c>
      <c r="D69" t="s">
        <v>477</v>
      </c>
      <c r="E69" t="s">
        <v>620</v>
      </c>
      <c r="F69" t="s">
        <v>355</v>
      </c>
      <c r="G69" t="s">
        <v>10</v>
      </c>
      <c r="H69" t="s">
        <v>621</v>
      </c>
      <c r="I69">
        <f>SUMIF($B$6:$B$16,"Financial Asset",E$6:E$16)</f>
        <v>0</v>
      </c>
      <c r="J69">
        <v>1500</v>
      </c>
      <c r="K69">
        <v>0.01</v>
      </c>
      <c r="M69" t="s">
        <v>614</v>
      </c>
      <c r="O69" t="s">
        <v>358</v>
      </c>
      <c r="P69" t="s">
        <v>615</v>
      </c>
      <c r="Q69">
        <v>14</v>
      </c>
      <c r="R69">
        <v>2</v>
      </c>
      <c r="S69" t="s">
        <v>367</v>
      </c>
    </row>
    <row r="70" spans="1:19" x14ac:dyDescent="0.2">
      <c r="A70" t="s">
        <v>622</v>
      </c>
      <c r="B70">
        <v>69</v>
      </c>
      <c r="C70" t="s">
        <v>42</v>
      </c>
      <c r="D70" t="s">
        <v>477</v>
      </c>
      <c r="E70" t="s">
        <v>623</v>
      </c>
      <c r="F70" t="s">
        <v>355</v>
      </c>
      <c r="G70" t="s">
        <v>10</v>
      </c>
      <c r="H70" t="s">
        <v>624</v>
      </c>
      <c r="I70">
        <f>SUMIF($B$6:$B$16,"Financial Asset",F$6:F$16)</f>
        <v>0</v>
      </c>
      <c r="J70">
        <v>1680</v>
      </c>
      <c r="K70">
        <v>0.01</v>
      </c>
      <c r="M70" t="s">
        <v>614</v>
      </c>
      <c r="O70" t="s">
        <v>358</v>
      </c>
      <c r="P70" t="s">
        <v>615</v>
      </c>
      <c r="Q70">
        <v>14</v>
      </c>
      <c r="R70">
        <v>3</v>
      </c>
      <c r="S70" t="s">
        <v>371</v>
      </c>
    </row>
    <row r="71" spans="1:19" x14ac:dyDescent="0.2">
      <c r="A71" t="s">
        <v>625</v>
      </c>
      <c r="B71">
        <v>70</v>
      </c>
      <c r="C71" t="s">
        <v>42</v>
      </c>
      <c r="D71" t="s">
        <v>477</v>
      </c>
      <c r="E71" t="s">
        <v>626</v>
      </c>
      <c r="F71" t="s">
        <v>355</v>
      </c>
      <c r="G71" t="s">
        <v>10</v>
      </c>
      <c r="H71" t="s">
        <v>627</v>
      </c>
      <c r="I71">
        <f>SUMIF($B$6:$B$16,"Financial Asset",G$6:G$16)</f>
        <v>0</v>
      </c>
      <c r="J71">
        <v>1850</v>
      </c>
      <c r="K71">
        <v>0.01</v>
      </c>
      <c r="M71" t="s">
        <v>614</v>
      </c>
      <c r="O71" t="s">
        <v>358</v>
      </c>
      <c r="P71" t="s">
        <v>615</v>
      </c>
      <c r="Q71">
        <v>14</v>
      </c>
      <c r="R71">
        <v>4</v>
      </c>
      <c r="S71" t="s">
        <v>375</v>
      </c>
    </row>
    <row r="72" spans="1:19" x14ac:dyDescent="0.2">
      <c r="A72" t="s">
        <v>628</v>
      </c>
      <c r="B72">
        <v>71</v>
      </c>
      <c r="C72" t="s">
        <v>44</v>
      </c>
      <c r="D72" t="s">
        <v>477</v>
      </c>
      <c r="E72" t="s">
        <v>629</v>
      </c>
      <c r="F72" t="s">
        <v>355</v>
      </c>
      <c r="G72" t="s">
        <v>10</v>
      </c>
      <c r="H72" t="s">
        <v>630</v>
      </c>
      <c r="I72">
        <f>SUMIF($B$6:$B$16,"Financial Liability",C$6:C$16)</f>
        <v>0</v>
      </c>
      <c r="J72">
        <v>1500</v>
      </c>
      <c r="K72">
        <v>0.01</v>
      </c>
      <c r="M72" t="s">
        <v>631</v>
      </c>
      <c r="O72" t="s">
        <v>358</v>
      </c>
      <c r="P72" t="s">
        <v>632</v>
      </c>
      <c r="Q72">
        <v>15</v>
      </c>
      <c r="R72">
        <v>0</v>
      </c>
      <c r="S72" t="s">
        <v>359</v>
      </c>
    </row>
    <row r="73" spans="1:19" x14ac:dyDescent="0.2">
      <c r="A73" t="s">
        <v>633</v>
      </c>
      <c r="B73">
        <v>72</v>
      </c>
      <c r="C73" t="s">
        <v>44</v>
      </c>
      <c r="D73" t="s">
        <v>477</v>
      </c>
      <c r="E73" t="s">
        <v>634</v>
      </c>
      <c r="F73" t="s">
        <v>355</v>
      </c>
      <c r="G73" t="s">
        <v>10</v>
      </c>
      <c r="H73" t="s">
        <v>635</v>
      </c>
      <c r="I73">
        <f>SUMIF($B$6:$B$16,"Financial Liability",D$6:D$16)</f>
        <v>0</v>
      </c>
      <c r="J73">
        <v>1400</v>
      </c>
      <c r="K73">
        <v>0.01</v>
      </c>
      <c r="M73" t="s">
        <v>631</v>
      </c>
      <c r="O73" t="s">
        <v>358</v>
      </c>
      <c r="P73" t="s">
        <v>632</v>
      </c>
      <c r="Q73">
        <v>15</v>
      </c>
      <c r="R73">
        <v>1</v>
      </c>
      <c r="S73" t="s">
        <v>363</v>
      </c>
    </row>
    <row r="74" spans="1:19" x14ac:dyDescent="0.2">
      <c r="A74" t="s">
        <v>636</v>
      </c>
      <c r="B74">
        <v>73</v>
      </c>
      <c r="C74" t="s">
        <v>44</v>
      </c>
      <c r="D74" t="s">
        <v>477</v>
      </c>
      <c r="E74" t="s">
        <v>637</v>
      </c>
      <c r="F74" t="s">
        <v>355</v>
      </c>
      <c r="G74" t="s">
        <v>10</v>
      </c>
      <c r="H74" t="s">
        <v>638</v>
      </c>
      <c r="I74">
        <f>SUMIF($B$6:$B$16,"Financial Liability",E$6:E$16)</f>
        <v>0</v>
      </c>
      <c r="J74">
        <v>1300</v>
      </c>
      <c r="K74">
        <v>0.01</v>
      </c>
      <c r="M74" t="s">
        <v>631</v>
      </c>
      <c r="O74" t="s">
        <v>358</v>
      </c>
      <c r="P74" t="s">
        <v>632</v>
      </c>
      <c r="Q74">
        <v>15</v>
      </c>
      <c r="R74">
        <v>2</v>
      </c>
      <c r="S74" t="s">
        <v>367</v>
      </c>
    </row>
    <row r="75" spans="1:19" x14ac:dyDescent="0.2">
      <c r="A75" t="s">
        <v>639</v>
      </c>
      <c r="B75">
        <v>74</v>
      </c>
      <c r="C75" t="s">
        <v>44</v>
      </c>
      <c r="D75" t="s">
        <v>477</v>
      </c>
      <c r="E75" t="s">
        <v>640</v>
      </c>
      <c r="F75" t="s">
        <v>355</v>
      </c>
      <c r="G75" t="s">
        <v>10</v>
      </c>
      <c r="H75" t="s">
        <v>641</v>
      </c>
      <c r="I75">
        <f>SUMIF($B$6:$B$16,"Financial Liability",F$6:F$16)</f>
        <v>0</v>
      </c>
      <c r="J75">
        <v>1200</v>
      </c>
      <c r="K75">
        <v>0.01</v>
      </c>
      <c r="M75" t="s">
        <v>631</v>
      </c>
      <c r="O75" t="s">
        <v>358</v>
      </c>
      <c r="P75" t="s">
        <v>632</v>
      </c>
      <c r="Q75">
        <v>15</v>
      </c>
      <c r="R75">
        <v>3</v>
      </c>
      <c r="S75" t="s">
        <v>371</v>
      </c>
    </row>
    <row r="76" spans="1:19" x14ac:dyDescent="0.2">
      <c r="A76" t="s">
        <v>642</v>
      </c>
      <c r="B76">
        <v>75</v>
      </c>
      <c r="C76" t="s">
        <v>44</v>
      </c>
      <c r="D76" t="s">
        <v>477</v>
      </c>
      <c r="E76" t="s">
        <v>643</v>
      </c>
      <c r="F76" t="s">
        <v>355</v>
      </c>
      <c r="G76" t="s">
        <v>10</v>
      </c>
      <c r="H76" t="s">
        <v>644</v>
      </c>
      <c r="I76">
        <f>SUMIF($B$6:$B$16,"Financial Liability",G$6:G$16)</f>
        <v>0</v>
      </c>
      <c r="J76">
        <v>1100</v>
      </c>
      <c r="K76">
        <v>0.01</v>
      </c>
      <c r="M76" t="s">
        <v>631</v>
      </c>
      <c r="O76" t="s">
        <v>358</v>
      </c>
      <c r="P76" t="s">
        <v>632</v>
      </c>
      <c r="Q76">
        <v>15</v>
      </c>
      <c r="R76">
        <v>4</v>
      </c>
      <c r="S76" t="s">
        <v>375</v>
      </c>
    </row>
    <row r="77" spans="1:19" x14ac:dyDescent="0.2">
      <c r="A77" t="s">
        <v>645</v>
      </c>
      <c r="B77">
        <v>76</v>
      </c>
      <c r="C77" t="s">
        <v>46</v>
      </c>
      <c r="D77" t="s">
        <v>646</v>
      </c>
      <c r="E77" t="s">
        <v>647</v>
      </c>
      <c r="F77" t="s">
        <v>355</v>
      </c>
      <c r="G77" t="s">
        <v>10</v>
      </c>
      <c r="H77" t="s">
        <v>648</v>
      </c>
      <c r="I77">
        <f>B39-B38</f>
        <v>1</v>
      </c>
      <c r="J77">
        <v>300</v>
      </c>
      <c r="K77">
        <v>0.01</v>
      </c>
      <c r="L77" t="s">
        <v>649</v>
      </c>
      <c r="M77" t="s">
        <v>650</v>
      </c>
      <c r="O77" t="s">
        <v>358</v>
      </c>
      <c r="P77" t="s">
        <v>651</v>
      </c>
      <c r="Q77">
        <v>16</v>
      </c>
      <c r="R77">
        <v>0</v>
      </c>
      <c r="S77" t="s">
        <v>359</v>
      </c>
    </row>
    <row r="78" spans="1:19" x14ac:dyDescent="0.2">
      <c r="A78" t="s">
        <v>652</v>
      </c>
      <c r="B78">
        <v>77</v>
      </c>
      <c r="C78" t="s">
        <v>46</v>
      </c>
      <c r="D78" t="s">
        <v>646</v>
      </c>
      <c r="E78" t="s">
        <v>653</v>
      </c>
      <c r="F78" t="s">
        <v>355</v>
      </c>
      <c r="G78" t="s">
        <v>10</v>
      </c>
      <c r="H78" t="s">
        <v>654</v>
      </c>
      <c r="I78" t="e">
        <f>C39-C38</f>
        <v>#VALUE!</v>
      </c>
      <c r="J78">
        <v>50</v>
      </c>
      <c r="K78">
        <v>0.01</v>
      </c>
      <c r="L78" t="s">
        <v>655</v>
      </c>
      <c r="M78" t="s">
        <v>650</v>
      </c>
      <c r="O78" t="s">
        <v>358</v>
      </c>
      <c r="P78" t="s">
        <v>651</v>
      </c>
      <c r="Q78">
        <v>16</v>
      </c>
      <c r="R78">
        <v>1</v>
      </c>
      <c r="S78" t="s">
        <v>363</v>
      </c>
    </row>
    <row r="79" spans="1:19" x14ac:dyDescent="0.2">
      <c r="A79" t="s">
        <v>656</v>
      </c>
      <c r="B79">
        <v>78</v>
      </c>
      <c r="C79" t="s">
        <v>46</v>
      </c>
      <c r="D79" t="s">
        <v>646</v>
      </c>
      <c r="E79" t="s">
        <v>657</v>
      </c>
      <c r="F79" t="s">
        <v>355</v>
      </c>
      <c r="G79" t="s">
        <v>10</v>
      </c>
      <c r="H79" t="s">
        <v>658</v>
      </c>
      <c r="I79" t="e">
        <f>D39-D38</f>
        <v>#VALUE!</v>
      </c>
      <c r="J79">
        <v>-200</v>
      </c>
      <c r="K79">
        <v>0.01</v>
      </c>
      <c r="L79" t="s">
        <v>659</v>
      </c>
      <c r="M79" t="s">
        <v>650</v>
      </c>
      <c r="O79" t="s">
        <v>358</v>
      </c>
      <c r="P79" t="s">
        <v>651</v>
      </c>
      <c r="Q79">
        <v>16</v>
      </c>
      <c r="R79">
        <v>2</v>
      </c>
      <c r="S79" t="s">
        <v>367</v>
      </c>
    </row>
    <row r="80" spans="1:19" x14ac:dyDescent="0.2">
      <c r="A80" t="s">
        <v>660</v>
      </c>
      <c r="B80">
        <v>79</v>
      </c>
      <c r="C80" t="s">
        <v>46</v>
      </c>
      <c r="D80" t="s">
        <v>646</v>
      </c>
      <c r="E80" t="s">
        <v>661</v>
      </c>
      <c r="F80" t="s">
        <v>355</v>
      </c>
      <c r="G80" t="s">
        <v>10</v>
      </c>
      <c r="H80" t="s">
        <v>662</v>
      </c>
      <c r="I80" t="e">
        <f>E39-E38</f>
        <v>#VALUE!</v>
      </c>
      <c r="J80">
        <v>-480</v>
      </c>
      <c r="K80">
        <v>0.01</v>
      </c>
      <c r="L80" t="s">
        <v>663</v>
      </c>
      <c r="M80" t="s">
        <v>650</v>
      </c>
      <c r="O80" t="s">
        <v>358</v>
      </c>
      <c r="P80" t="s">
        <v>651</v>
      </c>
      <c r="Q80">
        <v>16</v>
      </c>
      <c r="R80">
        <v>3</v>
      </c>
      <c r="S80" t="s">
        <v>371</v>
      </c>
    </row>
    <row r="81" spans="1:19" x14ac:dyDescent="0.2">
      <c r="A81" t="s">
        <v>664</v>
      </c>
      <c r="B81">
        <v>80</v>
      </c>
      <c r="C81" t="s">
        <v>46</v>
      </c>
      <c r="D81" t="s">
        <v>646</v>
      </c>
      <c r="E81" t="s">
        <v>665</v>
      </c>
      <c r="F81" t="s">
        <v>355</v>
      </c>
      <c r="G81" t="s">
        <v>10</v>
      </c>
      <c r="H81" t="s">
        <v>666</v>
      </c>
      <c r="I81" t="e">
        <f>F39-F38</f>
        <v>#VALUE!</v>
      </c>
      <c r="J81">
        <v>-750</v>
      </c>
      <c r="K81">
        <v>0.01</v>
      </c>
      <c r="L81" t="s">
        <v>667</v>
      </c>
      <c r="M81" t="s">
        <v>650</v>
      </c>
      <c r="O81" t="s">
        <v>358</v>
      </c>
      <c r="P81" t="s">
        <v>651</v>
      </c>
      <c r="Q81">
        <v>16</v>
      </c>
      <c r="R81">
        <v>4</v>
      </c>
      <c r="S81" t="s">
        <v>375</v>
      </c>
    </row>
    <row r="82" spans="1:19" x14ac:dyDescent="0.2">
      <c r="A82" t="s">
        <v>668</v>
      </c>
      <c r="B82">
        <v>81</v>
      </c>
      <c r="C82" t="s">
        <v>49</v>
      </c>
      <c r="D82" t="s">
        <v>669</v>
      </c>
      <c r="E82" t="s">
        <v>670</v>
      </c>
      <c r="F82" t="s">
        <v>355</v>
      </c>
      <c r="G82" t="s">
        <v>10</v>
      </c>
      <c r="H82" t="s">
        <v>671</v>
      </c>
      <c r="I82">
        <f>B37-B40</f>
        <v>-3</v>
      </c>
      <c r="J82">
        <v>5100</v>
      </c>
      <c r="K82">
        <v>0.01</v>
      </c>
      <c r="L82" t="s">
        <v>672</v>
      </c>
      <c r="M82" t="s">
        <v>673</v>
      </c>
      <c r="O82" t="s">
        <v>358</v>
      </c>
      <c r="P82" t="s">
        <v>674</v>
      </c>
      <c r="Q82">
        <v>17</v>
      </c>
      <c r="R82">
        <v>0</v>
      </c>
      <c r="S82" t="s">
        <v>359</v>
      </c>
    </row>
    <row r="83" spans="1:19" x14ac:dyDescent="0.2">
      <c r="A83" t="s">
        <v>675</v>
      </c>
      <c r="B83">
        <v>82</v>
      </c>
      <c r="C83" t="s">
        <v>49</v>
      </c>
      <c r="D83" t="s">
        <v>669</v>
      </c>
      <c r="E83" t="s">
        <v>676</v>
      </c>
      <c r="F83" t="s">
        <v>355</v>
      </c>
      <c r="G83" t="s">
        <v>10</v>
      </c>
      <c r="H83" t="s">
        <v>677</v>
      </c>
      <c r="I83" t="e">
        <f>C37-C40</f>
        <v>#VALUE!</v>
      </c>
      <c r="J83">
        <v>5700</v>
      </c>
      <c r="K83">
        <v>0.01</v>
      </c>
      <c r="L83" t="s">
        <v>678</v>
      </c>
      <c r="M83" t="s">
        <v>673</v>
      </c>
      <c r="O83" t="s">
        <v>358</v>
      </c>
      <c r="P83" t="s">
        <v>674</v>
      </c>
      <c r="Q83">
        <v>17</v>
      </c>
      <c r="R83">
        <v>1</v>
      </c>
      <c r="S83" t="s">
        <v>363</v>
      </c>
    </row>
    <row r="84" spans="1:19" x14ac:dyDescent="0.2">
      <c r="A84" t="s">
        <v>679</v>
      </c>
      <c r="B84">
        <v>83</v>
      </c>
      <c r="C84" t="s">
        <v>49</v>
      </c>
      <c r="D84" t="s">
        <v>669</v>
      </c>
      <c r="E84" t="s">
        <v>680</v>
      </c>
      <c r="F84" t="s">
        <v>355</v>
      </c>
      <c r="G84" t="s">
        <v>10</v>
      </c>
      <c r="H84" t="s">
        <v>681</v>
      </c>
      <c r="I84" t="e">
        <f>D37-D40</f>
        <v>#VALUE!</v>
      </c>
      <c r="J84">
        <v>6500</v>
      </c>
      <c r="K84">
        <v>0.01</v>
      </c>
      <c r="L84" t="s">
        <v>682</v>
      </c>
      <c r="M84" t="s">
        <v>673</v>
      </c>
      <c r="O84" t="s">
        <v>358</v>
      </c>
      <c r="P84" t="s">
        <v>674</v>
      </c>
      <c r="Q84">
        <v>17</v>
      </c>
      <c r="R84">
        <v>2</v>
      </c>
      <c r="S84" t="s">
        <v>367</v>
      </c>
    </row>
    <row r="85" spans="1:19" x14ac:dyDescent="0.2">
      <c r="A85" t="s">
        <v>683</v>
      </c>
      <c r="B85">
        <v>84</v>
      </c>
      <c r="C85" t="s">
        <v>49</v>
      </c>
      <c r="D85" t="s">
        <v>669</v>
      </c>
      <c r="E85" t="s">
        <v>684</v>
      </c>
      <c r="F85" t="s">
        <v>355</v>
      </c>
      <c r="G85" t="s">
        <v>10</v>
      </c>
      <c r="H85" t="s">
        <v>685</v>
      </c>
      <c r="I85" t="e">
        <f>E37-E40</f>
        <v>#VALUE!</v>
      </c>
      <c r="J85">
        <v>7500</v>
      </c>
      <c r="K85">
        <v>0.01</v>
      </c>
      <c r="L85" t="s">
        <v>686</v>
      </c>
      <c r="M85" t="s">
        <v>673</v>
      </c>
      <c r="O85" t="s">
        <v>358</v>
      </c>
      <c r="P85" t="s">
        <v>674</v>
      </c>
      <c r="Q85">
        <v>17</v>
      </c>
      <c r="R85">
        <v>3</v>
      </c>
      <c r="S85" t="s">
        <v>371</v>
      </c>
    </row>
    <row r="86" spans="1:19" x14ac:dyDescent="0.2">
      <c r="A86" t="s">
        <v>687</v>
      </c>
      <c r="B86">
        <v>85</v>
      </c>
      <c r="C86" t="s">
        <v>49</v>
      </c>
      <c r="D86" t="s">
        <v>669</v>
      </c>
      <c r="E86" t="s">
        <v>688</v>
      </c>
      <c r="F86" t="s">
        <v>355</v>
      </c>
      <c r="G86" t="s">
        <v>10</v>
      </c>
      <c r="H86" t="s">
        <v>689</v>
      </c>
      <c r="I86" t="e">
        <f>F37-F40</f>
        <v>#VALUE!</v>
      </c>
      <c r="J86">
        <v>8700</v>
      </c>
      <c r="K86">
        <v>0.01</v>
      </c>
      <c r="L86" t="s">
        <v>690</v>
      </c>
      <c r="M86" t="s">
        <v>673</v>
      </c>
      <c r="O86" t="s">
        <v>358</v>
      </c>
      <c r="P86" t="s">
        <v>674</v>
      </c>
      <c r="Q86">
        <v>17</v>
      </c>
      <c r="R86">
        <v>4</v>
      </c>
      <c r="S86" t="s">
        <v>375</v>
      </c>
    </row>
    <row r="87" spans="1:19" x14ac:dyDescent="0.2">
      <c r="A87" t="s">
        <v>691</v>
      </c>
      <c r="B87">
        <v>86</v>
      </c>
      <c r="C87" t="s">
        <v>52</v>
      </c>
      <c r="D87" t="s">
        <v>692</v>
      </c>
      <c r="E87" t="s">
        <v>693</v>
      </c>
      <c r="F87" t="s">
        <v>694</v>
      </c>
      <c r="G87" t="s">
        <v>54</v>
      </c>
      <c r="H87" t="s">
        <v>695</v>
      </c>
      <c r="I87">
        <f>IF('Condensed Financials'!B19=0,NA(),'Condensed Financials'!C19/'Condensed Financials'!B19-1)</f>
        <v>8.2352941176470518E-2</v>
      </c>
      <c r="J87">
        <v>8.2352941176470518E-2</v>
      </c>
      <c r="K87">
        <v>0.01</v>
      </c>
      <c r="L87" t="s">
        <v>696</v>
      </c>
      <c r="M87" t="s">
        <v>697</v>
      </c>
      <c r="O87" t="s">
        <v>358</v>
      </c>
      <c r="P87" t="s">
        <v>698</v>
      </c>
      <c r="Q87">
        <v>18</v>
      </c>
      <c r="R87">
        <v>1</v>
      </c>
      <c r="S87" t="s">
        <v>363</v>
      </c>
    </row>
    <row r="88" spans="1:19" x14ac:dyDescent="0.2">
      <c r="A88" t="s">
        <v>699</v>
      </c>
      <c r="B88">
        <v>87</v>
      </c>
      <c r="C88" t="s">
        <v>52</v>
      </c>
      <c r="D88" t="s">
        <v>692</v>
      </c>
      <c r="E88" t="s">
        <v>700</v>
      </c>
      <c r="F88" t="s">
        <v>694</v>
      </c>
      <c r="G88" t="s">
        <v>54</v>
      </c>
      <c r="H88" t="s">
        <v>701</v>
      </c>
      <c r="I88">
        <f>IF('Condensed Financials'!C19=0,NA(),'Condensed Financials'!D19/'Condensed Financials'!C19-1)</f>
        <v>9.7826086956521729E-2</v>
      </c>
      <c r="J88">
        <v>9.7826086956521729E-2</v>
      </c>
      <c r="K88">
        <v>0.01</v>
      </c>
      <c r="L88" t="s">
        <v>702</v>
      </c>
      <c r="M88" t="s">
        <v>697</v>
      </c>
      <c r="O88" t="s">
        <v>358</v>
      </c>
      <c r="P88" t="s">
        <v>698</v>
      </c>
      <c r="Q88">
        <v>18</v>
      </c>
      <c r="R88">
        <v>2</v>
      </c>
      <c r="S88" t="s">
        <v>367</v>
      </c>
    </row>
    <row r="89" spans="1:19" x14ac:dyDescent="0.2">
      <c r="A89" t="s">
        <v>703</v>
      </c>
      <c r="B89">
        <v>88</v>
      </c>
      <c r="C89" t="s">
        <v>52</v>
      </c>
      <c r="D89" t="s">
        <v>692</v>
      </c>
      <c r="E89" t="s">
        <v>704</v>
      </c>
      <c r="F89" t="s">
        <v>694</v>
      </c>
      <c r="G89" t="s">
        <v>54</v>
      </c>
      <c r="H89" t="s">
        <v>705</v>
      </c>
      <c r="I89">
        <f>IF('Condensed Financials'!D19=0,NA(),'Condensed Financials'!E19/'Condensed Financials'!D19-1)</f>
        <v>0.10891089108910901</v>
      </c>
      <c r="J89">
        <v>0.10891089108910899</v>
      </c>
      <c r="K89">
        <v>0.01</v>
      </c>
      <c r="L89" t="s">
        <v>706</v>
      </c>
      <c r="M89" t="s">
        <v>697</v>
      </c>
      <c r="O89" t="s">
        <v>358</v>
      </c>
      <c r="P89" t="s">
        <v>698</v>
      </c>
      <c r="Q89">
        <v>18</v>
      </c>
      <c r="R89">
        <v>3</v>
      </c>
      <c r="S89" t="s">
        <v>371</v>
      </c>
    </row>
    <row r="90" spans="1:19" x14ac:dyDescent="0.2">
      <c r="A90" t="s">
        <v>707</v>
      </c>
      <c r="B90">
        <v>89</v>
      </c>
      <c r="C90" t="s">
        <v>52</v>
      </c>
      <c r="D90" t="s">
        <v>692</v>
      </c>
      <c r="E90" t="s">
        <v>708</v>
      </c>
      <c r="F90" t="s">
        <v>694</v>
      </c>
      <c r="G90" t="s">
        <v>54</v>
      </c>
      <c r="H90" t="s">
        <v>709</v>
      </c>
      <c r="I90">
        <f>IF('Condensed Financials'!E19=0,NA(),'Condensed Financials'!F19/'Condensed Financials'!E19-1)</f>
        <v>0.1160714285714286</v>
      </c>
      <c r="J90">
        <v>0.1160714285714286</v>
      </c>
      <c r="K90">
        <v>0.01</v>
      </c>
      <c r="L90" t="s">
        <v>710</v>
      </c>
      <c r="M90" t="s">
        <v>697</v>
      </c>
      <c r="O90" t="s">
        <v>358</v>
      </c>
      <c r="P90" t="s">
        <v>698</v>
      </c>
      <c r="Q90">
        <v>18</v>
      </c>
      <c r="R90">
        <v>4</v>
      </c>
      <c r="S90" t="s">
        <v>375</v>
      </c>
    </row>
    <row r="91" spans="1:19" x14ac:dyDescent="0.2">
      <c r="A91" t="s">
        <v>711</v>
      </c>
      <c r="B91">
        <v>90</v>
      </c>
      <c r="C91" t="s">
        <v>57</v>
      </c>
      <c r="D91" t="s">
        <v>712</v>
      </c>
      <c r="E91" t="s">
        <v>713</v>
      </c>
      <c r="F91" t="s">
        <v>694</v>
      </c>
      <c r="G91" t="s">
        <v>54</v>
      </c>
      <c r="H91" t="s">
        <v>714</v>
      </c>
      <c r="I91">
        <f>IF('Condensed Financials'!B19=0,NA(),'Condensed Financials'!B28/'Condensed Financials'!B19)</f>
        <v>0.3320300751879699</v>
      </c>
      <c r="J91">
        <v>0.3320300751879699</v>
      </c>
      <c r="K91">
        <v>0.01</v>
      </c>
      <c r="L91" t="s">
        <v>715</v>
      </c>
      <c r="M91" t="s">
        <v>716</v>
      </c>
      <c r="O91" t="s">
        <v>358</v>
      </c>
      <c r="P91" t="s">
        <v>142</v>
      </c>
      <c r="Q91">
        <v>19</v>
      </c>
      <c r="R91">
        <v>0</v>
      </c>
      <c r="S91" t="s">
        <v>359</v>
      </c>
    </row>
    <row r="92" spans="1:19" x14ac:dyDescent="0.2">
      <c r="A92" t="s">
        <v>717</v>
      </c>
      <c r="B92">
        <v>91</v>
      </c>
      <c r="C92" t="s">
        <v>57</v>
      </c>
      <c r="D92" t="s">
        <v>712</v>
      </c>
      <c r="E92" t="s">
        <v>718</v>
      </c>
      <c r="F92" t="s">
        <v>694</v>
      </c>
      <c r="G92" t="s">
        <v>54</v>
      </c>
      <c r="H92" t="s">
        <v>719</v>
      </c>
      <c r="I92">
        <f>IF('Condensed Financials'!C19=0,NA(),'Condensed Financials'!C28/'Condensed Financials'!C19)</f>
        <v>0.33200000000000002</v>
      </c>
      <c r="J92">
        <v>0.33200000000000002</v>
      </c>
      <c r="K92">
        <v>0.01</v>
      </c>
      <c r="L92" t="s">
        <v>720</v>
      </c>
      <c r="M92" t="s">
        <v>716</v>
      </c>
      <c r="O92" t="s">
        <v>358</v>
      </c>
      <c r="P92" t="s">
        <v>142</v>
      </c>
      <c r="Q92">
        <v>19</v>
      </c>
      <c r="R92">
        <v>1</v>
      </c>
      <c r="S92" t="s">
        <v>363</v>
      </c>
    </row>
    <row r="93" spans="1:19" x14ac:dyDescent="0.2">
      <c r="A93" t="s">
        <v>721</v>
      </c>
      <c r="B93">
        <v>92</v>
      </c>
      <c r="C93" t="s">
        <v>57</v>
      </c>
      <c r="D93" t="s">
        <v>712</v>
      </c>
      <c r="E93" t="s">
        <v>722</v>
      </c>
      <c r="F93" t="s">
        <v>694</v>
      </c>
      <c r="G93" t="s">
        <v>54</v>
      </c>
      <c r="H93" t="s">
        <v>723</v>
      </c>
      <c r="I93">
        <f>IF('Condensed Financials'!D19=0,NA(),'Condensed Financials'!D28/'Condensed Financials'!D19)</f>
        <v>0.33203539823008849</v>
      </c>
      <c r="J93">
        <v>0.33203539823008849</v>
      </c>
      <c r="K93">
        <v>0.01</v>
      </c>
      <c r="L93" t="s">
        <v>724</v>
      </c>
      <c r="M93" t="s">
        <v>716</v>
      </c>
      <c r="O93" t="s">
        <v>358</v>
      </c>
      <c r="P93" t="s">
        <v>142</v>
      </c>
      <c r="Q93">
        <v>19</v>
      </c>
      <c r="R93">
        <v>2</v>
      </c>
      <c r="S93" t="s">
        <v>367</v>
      </c>
    </row>
    <row r="94" spans="1:19" x14ac:dyDescent="0.2">
      <c r="A94" t="s">
        <v>725</v>
      </c>
      <c r="B94">
        <v>93</v>
      </c>
      <c r="C94" t="s">
        <v>57</v>
      </c>
      <c r="D94" t="s">
        <v>712</v>
      </c>
      <c r="E94" t="s">
        <v>726</v>
      </c>
      <c r="F94" t="s">
        <v>694</v>
      </c>
      <c r="G94" t="s">
        <v>54</v>
      </c>
      <c r="H94" t="s">
        <v>727</v>
      </c>
      <c r="I94">
        <f>IF('Condensed Financials'!E19=0,NA(),'Condensed Financials'!E28/'Condensed Financials'!E19)</f>
        <v>0.33202733485193625</v>
      </c>
      <c r="J94">
        <v>0.33202733485193631</v>
      </c>
      <c r="K94">
        <v>0.01</v>
      </c>
      <c r="L94" t="s">
        <v>728</v>
      </c>
      <c r="M94" t="s">
        <v>716</v>
      </c>
      <c r="O94" t="s">
        <v>358</v>
      </c>
      <c r="P94" t="s">
        <v>142</v>
      </c>
      <c r="Q94">
        <v>19</v>
      </c>
      <c r="R94">
        <v>3</v>
      </c>
      <c r="S94" t="s">
        <v>371</v>
      </c>
    </row>
    <row r="95" spans="1:19" x14ac:dyDescent="0.2">
      <c r="A95" t="s">
        <v>729</v>
      </c>
      <c r="B95">
        <v>94</v>
      </c>
      <c r="C95" t="s">
        <v>57</v>
      </c>
      <c r="D95" t="s">
        <v>712</v>
      </c>
      <c r="E95" t="s">
        <v>730</v>
      </c>
      <c r="F95" t="s">
        <v>694</v>
      </c>
      <c r="G95" t="s">
        <v>54</v>
      </c>
      <c r="H95" t="s">
        <v>731</v>
      </c>
      <c r="I95">
        <f>IF('Condensed Financials'!F19=0,NA(),'Condensed Financials'!F28/'Condensed Financials'!F19)</f>
        <v>0.3320693170234455</v>
      </c>
      <c r="J95">
        <v>0.3320693170234455</v>
      </c>
      <c r="K95">
        <v>0.01</v>
      </c>
      <c r="L95" t="s">
        <v>732</v>
      </c>
      <c r="M95" t="s">
        <v>716</v>
      </c>
      <c r="O95" t="s">
        <v>358</v>
      </c>
      <c r="P95" t="s">
        <v>142</v>
      </c>
      <c r="Q95">
        <v>19</v>
      </c>
      <c r="R95">
        <v>4</v>
      </c>
      <c r="S95" t="s">
        <v>375</v>
      </c>
    </row>
    <row r="96" spans="1:19" x14ac:dyDescent="0.2">
      <c r="A96" t="s">
        <v>733</v>
      </c>
      <c r="B96">
        <v>95</v>
      </c>
      <c r="C96" t="s">
        <v>60</v>
      </c>
      <c r="D96" t="s">
        <v>734</v>
      </c>
      <c r="E96" t="s">
        <v>735</v>
      </c>
      <c r="F96" t="s">
        <v>694</v>
      </c>
      <c r="G96" t="s">
        <v>54</v>
      </c>
      <c r="H96" t="s">
        <v>736</v>
      </c>
      <c r="I96">
        <f>IF((('Condensed Financials'!C37+'Condensed Financials'!B37)/2)=0,NA(),'Condensed Financials'!C28/(('Condensed Financials'!C37+'Condensed Financials'!B37)/2))</f>
        <v>0.54787443946188341</v>
      </c>
      <c r="J96">
        <v>0.54787443946188341</v>
      </c>
      <c r="K96">
        <v>0.01</v>
      </c>
      <c r="L96" t="s">
        <v>737</v>
      </c>
      <c r="M96" t="s">
        <v>738</v>
      </c>
      <c r="O96" t="s">
        <v>358</v>
      </c>
      <c r="P96" t="s">
        <v>148</v>
      </c>
      <c r="Q96">
        <v>20</v>
      </c>
      <c r="R96">
        <v>1</v>
      </c>
      <c r="S96" t="s">
        <v>363</v>
      </c>
    </row>
    <row r="97" spans="1:19" x14ac:dyDescent="0.2">
      <c r="A97" t="s">
        <v>739</v>
      </c>
      <c r="B97">
        <v>96</v>
      </c>
      <c r="C97" t="s">
        <v>60</v>
      </c>
      <c r="D97" t="s">
        <v>734</v>
      </c>
      <c r="E97" t="s">
        <v>740</v>
      </c>
      <c r="F97" t="s">
        <v>694</v>
      </c>
      <c r="G97" t="s">
        <v>54</v>
      </c>
      <c r="H97" t="s">
        <v>741</v>
      </c>
      <c r="I97">
        <f>IF((('Condensed Financials'!D37+'Condensed Financials'!C37)/2)=0,NA(),'Condensed Financials'!D28/(('Condensed Financials'!D37+'Condensed Financials'!C37)/2))</f>
        <v>0.55660705761392426</v>
      </c>
      <c r="J97">
        <v>0.55660705761392426</v>
      </c>
      <c r="K97">
        <v>0.01</v>
      </c>
      <c r="L97" t="s">
        <v>742</v>
      </c>
      <c r="M97" t="s">
        <v>738</v>
      </c>
      <c r="O97" t="s">
        <v>358</v>
      </c>
      <c r="P97" t="s">
        <v>148</v>
      </c>
      <c r="Q97">
        <v>20</v>
      </c>
      <c r="R97">
        <v>2</v>
      </c>
      <c r="S97" t="s">
        <v>367</v>
      </c>
    </row>
    <row r="98" spans="1:19" x14ac:dyDescent="0.2">
      <c r="A98" t="s">
        <v>743</v>
      </c>
      <c r="B98">
        <v>97</v>
      </c>
      <c r="C98" t="s">
        <v>60</v>
      </c>
      <c r="D98" t="s">
        <v>734</v>
      </c>
      <c r="E98" t="s">
        <v>744</v>
      </c>
      <c r="F98" t="s">
        <v>694</v>
      </c>
      <c r="G98" t="s">
        <v>54</v>
      </c>
      <c r="H98" t="s">
        <v>745</v>
      </c>
      <c r="I98">
        <f>IF((('Condensed Financials'!E37+'Condensed Financials'!D37)/2)=0,NA(),'Condensed Financials'!E28/(('Condensed Financials'!E37+'Condensed Financials'!D37)/2))</f>
        <v>0.55836428683809092</v>
      </c>
      <c r="J98">
        <v>0.55836428683809092</v>
      </c>
      <c r="K98">
        <v>0.01</v>
      </c>
      <c r="L98" t="s">
        <v>746</v>
      </c>
      <c r="M98" t="s">
        <v>738</v>
      </c>
      <c r="O98" t="s">
        <v>358</v>
      </c>
      <c r="P98" t="s">
        <v>148</v>
      </c>
      <c r="Q98">
        <v>20</v>
      </c>
      <c r="R98">
        <v>3</v>
      </c>
      <c r="S98" t="s">
        <v>371</v>
      </c>
    </row>
    <row r="99" spans="1:19" x14ac:dyDescent="0.2">
      <c r="A99" t="s">
        <v>747</v>
      </c>
      <c r="B99">
        <v>98</v>
      </c>
      <c r="C99" t="s">
        <v>60</v>
      </c>
      <c r="D99" t="s">
        <v>734</v>
      </c>
      <c r="E99" t="s">
        <v>748</v>
      </c>
      <c r="F99" t="s">
        <v>694</v>
      </c>
      <c r="G99" t="s">
        <v>54</v>
      </c>
      <c r="H99" t="s">
        <v>749</v>
      </c>
      <c r="I99">
        <f>IF((('Condensed Financials'!F37+'Condensed Financials'!E37)/2)=0,NA(),'Condensed Financials'!F28/(('Condensed Financials'!F37+'Condensed Financials'!E37)/2))</f>
        <v>0.55455797766106463</v>
      </c>
      <c r="J99">
        <v>0.55455797766106463</v>
      </c>
      <c r="K99">
        <v>0.01</v>
      </c>
      <c r="L99" t="s">
        <v>750</v>
      </c>
      <c r="M99" t="s">
        <v>738</v>
      </c>
      <c r="O99" t="s">
        <v>358</v>
      </c>
      <c r="P99" t="s">
        <v>148</v>
      </c>
      <c r="Q99">
        <v>20</v>
      </c>
      <c r="R99">
        <v>4</v>
      </c>
      <c r="S99" t="s">
        <v>375</v>
      </c>
    </row>
    <row r="100" spans="1:19" x14ac:dyDescent="0.2">
      <c r="A100" t="s">
        <v>751</v>
      </c>
      <c r="B100">
        <v>99</v>
      </c>
      <c r="C100" t="s">
        <v>63</v>
      </c>
      <c r="D100" t="s">
        <v>752</v>
      </c>
      <c r="E100" t="s">
        <v>753</v>
      </c>
      <c r="F100" t="s">
        <v>694</v>
      </c>
      <c r="G100" t="s">
        <v>54</v>
      </c>
      <c r="H100" t="s">
        <v>754</v>
      </c>
      <c r="I100">
        <f>IF((('Condensed Financials'!C40+'Condensed Financials'!B40)/2)=0,NA(),'Condensed Financials'!C27/(('Condensed Financials'!C40+'Condensed Financials'!B40)/2))</f>
        <v>0.37942857142857139</v>
      </c>
      <c r="J100">
        <v>0.37942857142857139</v>
      </c>
      <c r="K100">
        <v>0.01</v>
      </c>
      <c r="L100" t="s">
        <v>755</v>
      </c>
      <c r="M100" t="s">
        <v>756</v>
      </c>
      <c r="O100" t="s">
        <v>358</v>
      </c>
      <c r="P100" t="s">
        <v>757</v>
      </c>
      <c r="Q100">
        <v>21</v>
      </c>
      <c r="R100">
        <v>1</v>
      </c>
      <c r="S100" t="s">
        <v>363</v>
      </c>
    </row>
    <row r="101" spans="1:19" x14ac:dyDescent="0.2">
      <c r="A101" t="s">
        <v>758</v>
      </c>
      <c r="B101">
        <v>100</v>
      </c>
      <c r="C101" t="s">
        <v>63</v>
      </c>
      <c r="D101" t="s">
        <v>752</v>
      </c>
      <c r="E101" t="s">
        <v>759</v>
      </c>
      <c r="F101" t="s">
        <v>694</v>
      </c>
      <c r="G101" t="s">
        <v>54</v>
      </c>
      <c r="H101" t="s">
        <v>760</v>
      </c>
      <c r="I101">
        <f>IF((('Condensed Financials'!D40+'Condensed Financials'!C40)/2)=0,NA(),'Condensed Financials'!D27/(('Condensed Financials'!D40+'Condensed Financials'!C40)/2))</f>
        <v>-0.94076696165191742</v>
      </c>
      <c r="J101">
        <v>-0.94076696165191742</v>
      </c>
      <c r="K101">
        <v>0.01</v>
      </c>
      <c r="L101" t="s">
        <v>761</v>
      </c>
      <c r="M101" t="s">
        <v>756</v>
      </c>
      <c r="O101" t="s">
        <v>358</v>
      </c>
      <c r="P101" t="s">
        <v>757</v>
      </c>
      <c r="Q101">
        <v>21</v>
      </c>
      <c r="R101">
        <v>2</v>
      </c>
      <c r="S101" t="s">
        <v>367</v>
      </c>
    </row>
    <row r="102" spans="1:19" x14ac:dyDescent="0.2">
      <c r="A102" t="s">
        <v>762</v>
      </c>
      <c r="B102">
        <v>101</v>
      </c>
      <c r="C102" t="s">
        <v>63</v>
      </c>
      <c r="D102" t="s">
        <v>752</v>
      </c>
      <c r="E102" t="s">
        <v>763</v>
      </c>
      <c r="F102" t="s">
        <v>694</v>
      </c>
      <c r="G102" t="s">
        <v>54</v>
      </c>
      <c r="H102" t="s">
        <v>764</v>
      </c>
      <c r="I102">
        <f>IF((('Condensed Financials'!E40+'Condensed Financials'!D40)/2)=0,NA(),'Condensed Financials'!E27/(('Condensed Financials'!E40+'Condensed Financials'!D40)/2))</f>
        <v>-0.21972397159319307</v>
      </c>
      <c r="J102">
        <v>-0.2197239715931931</v>
      </c>
      <c r="K102">
        <v>0.01</v>
      </c>
      <c r="L102" t="s">
        <v>765</v>
      </c>
      <c r="M102" t="s">
        <v>756</v>
      </c>
      <c r="O102" t="s">
        <v>358</v>
      </c>
      <c r="P102" t="s">
        <v>757</v>
      </c>
      <c r="Q102">
        <v>21</v>
      </c>
      <c r="R102">
        <v>3</v>
      </c>
      <c r="S102" t="s">
        <v>371</v>
      </c>
    </row>
    <row r="103" spans="1:19" x14ac:dyDescent="0.2">
      <c r="A103" t="s">
        <v>766</v>
      </c>
      <c r="B103">
        <v>102</v>
      </c>
      <c r="C103" t="s">
        <v>63</v>
      </c>
      <c r="D103" t="s">
        <v>752</v>
      </c>
      <c r="E103" t="s">
        <v>767</v>
      </c>
      <c r="F103" t="s">
        <v>694</v>
      </c>
      <c r="G103" t="s">
        <v>54</v>
      </c>
      <c r="H103" t="s">
        <v>768</v>
      </c>
      <c r="I103">
        <f>IF((('Condensed Financials'!F40+'Condensed Financials'!E40)/2)=0,NA(),'Condensed Financials'!F27/(('Condensed Financials'!F40+'Condensed Financials'!E40)/2))</f>
        <v>-0.12823815088303789</v>
      </c>
      <c r="J103">
        <v>-0.12823815088303789</v>
      </c>
      <c r="K103">
        <v>0.01</v>
      </c>
      <c r="L103" t="s">
        <v>769</v>
      </c>
      <c r="M103" t="s">
        <v>756</v>
      </c>
      <c r="O103" t="s">
        <v>358</v>
      </c>
      <c r="P103" t="s">
        <v>757</v>
      </c>
      <c r="Q103">
        <v>21</v>
      </c>
      <c r="R103">
        <v>4</v>
      </c>
      <c r="S103" t="s">
        <v>375</v>
      </c>
    </row>
    <row r="104" spans="1:19" x14ac:dyDescent="0.2">
      <c r="A104" t="s">
        <v>770</v>
      </c>
      <c r="B104">
        <v>103</v>
      </c>
      <c r="C104" t="s">
        <v>66</v>
      </c>
      <c r="D104" t="s">
        <v>771</v>
      </c>
      <c r="E104" t="s">
        <v>772</v>
      </c>
      <c r="F104" t="s">
        <v>694</v>
      </c>
      <c r="G104" t="s">
        <v>54</v>
      </c>
      <c r="H104" t="s">
        <v>773</v>
      </c>
      <c r="I104" t="e">
        <f>C7-C8</f>
        <v>#VALUE!</v>
      </c>
      <c r="J104">
        <v>0.16844586803331199</v>
      </c>
      <c r="K104">
        <v>0.01</v>
      </c>
      <c r="L104" t="s">
        <v>774</v>
      </c>
      <c r="M104" t="s">
        <v>775</v>
      </c>
      <c r="O104" t="s">
        <v>358</v>
      </c>
      <c r="P104" t="s">
        <v>776</v>
      </c>
      <c r="Q104">
        <v>22</v>
      </c>
      <c r="R104">
        <v>1</v>
      </c>
      <c r="S104" t="s">
        <v>363</v>
      </c>
    </row>
    <row r="105" spans="1:19" x14ac:dyDescent="0.2">
      <c r="A105" t="s">
        <v>777</v>
      </c>
      <c r="B105">
        <v>104</v>
      </c>
      <c r="C105" t="s">
        <v>66</v>
      </c>
      <c r="D105" t="s">
        <v>771</v>
      </c>
      <c r="E105" t="s">
        <v>778</v>
      </c>
      <c r="F105" t="s">
        <v>694</v>
      </c>
      <c r="G105" t="s">
        <v>54</v>
      </c>
      <c r="H105" t="s">
        <v>779</v>
      </c>
      <c r="I105" t="e">
        <f>D7-D8</f>
        <v>#VALUE!</v>
      </c>
      <c r="J105">
        <v>1.497374019265842</v>
      </c>
      <c r="K105">
        <v>0.01</v>
      </c>
      <c r="L105" t="s">
        <v>780</v>
      </c>
      <c r="M105" t="s">
        <v>775</v>
      </c>
      <c r="O105" t="s">
        <v>358</v>
      </c>
      <c r="P105" t="s">
        <v>776</v>
      </c>
      <c r="Q105">
        <v>22</v>
      </c>
      <c r="R105">
        <v>2</v>
      </c>
      <c r="S105" t="s">
        <v>367</v>
      </c>
    </row>
    <row r="106" spans="1:19" x14ac:dyDescent="0.2">
      <c r="A106" t="s">
        <v>781</v>
      </c>
      <c r="B106">
        <v>105</v>
      </c>
      <c r="C106" t="s">
        <v>66</v>
      </c>
      <c r="D106" t="s">
        <v>771</v>
      </c>
      <c r="E106" t="s">
        <v>782</v>
      </c>
      <c r="F106" t="s">
        <v>694</v>
      </c>
      <c r="G106" t="s">
        <v>54</v>
      </c>
      <c r="H106" t="s">
        <v>783</v>
      </c>
      <c r="I106" t="e">
        <f>E7-E8</f>
        <v>#VALUE!</v>
      </c>
      <c r="J106">
        <v>0.77808825843128404</v>
      </c>
      <c r="K106">
        <v>0.01</v>
      </c>
      <c r="L106" t="s">
        <v>784</v>
      </c>
      <c r="M106" t="s">
        <v>775</v>
      </c>
      <c r="O106" t="s">
        <v>358</v>
      </c>
      <c r="P106" t="s">
        <v>776</v>
      </c>
      <c r="Q106">
        <v>22</v>
      </c>
      <c r="R106">
        <v>3</v>
      </c>
      <c r="S106" t="s">
        <v>371</v>
      </c>
    </row>
    <row r="107" spans="1:19" x14ac:dyDescent="0.2">
      <c r="A107" t="s">
        <v>785</v>
      </c>
      <c r="B107">
        <v>106</v>
      </c>
      <c r="C107" t="s">
        <v>66</v>
      </c>
      <c r="D107" t="s">
        <v>771</v>
      </c>
      <c r="E107" t="s">
        <v>786</v>
      </c>
      <c r="F107" t="s">
        <v>694</v>
      </c>
      <c r="G107" t="s">
        <v>54</v>
      </c>
      <c r="H107" t="s">
        <v>787</v>
      </c>
      <c r="I107" t="e">
        <f>F7-F8</f>
        <v>#VALUE!</v>
      </c>
      <c r="J107">
        <v>0.68279612854410254</v>
      </c>
      <c r="K107">
        <v>0.01</v>
      </c>
      <c r="L107" t="s">
        <v>788</v>
      </c>
      <c r="M107" t="s">
        <v>775</v>
      </c>
      <c r="O107" t="s">
        <v>358</v>
      </c>
      <c r="P107" t="s">
        <v>776</v>
      </c>
      <c r="Q107">
        <v>22</v>
      </c>
      <c r="R107">
        <v>4</v>
      </c>
      <c r="S107" t="s">
        <v>375</v>
      </c>
    </row>
    <row r="108" spans="1:19" x14ac:dyDescent="0.2">
      <c r="A108" t="s">
        <v>789</v>
      </c>
      <c r="B108">
        <v>107</v>
      </c>
      <c r="C108" t="s">
        <v>69</v>
      </c>
      <c r="D108" t="s">
        <v>790</v>
      </c>
      <c r="E108" t="s">
        <v>791</v>
      </c>
      <c r="F108" t="s">
        <v>694</v>
      </c>
      <c r="G108" t="s">
        <v>54</v>
      </c>
      <c r="H108" t="s">
        <v>792</v>
      </c>
      <c r="I108">
        <f>IF((('Condensed Financials'!C41+'Condensed Financials'!B41)/2)=0,NA(),(('Condensed Financials'!C40+'Condensed Financials'!B40)/2)/(('Condensed Financials'!C41+'Condensed Financials'!B41)/2))</f>
        <v>3.2407407407407406E-2</v>
      </c>
      <c r="J108">
        <v>3.2407407407407413E-2</v>
      </c>
      <c r="K108">
        <v>0.01</v>
      </c>
      <c r="L108" t="s">
        <v>793</v>
      </c>
      <c r="M108" t="s">
        <v>794</v>
      </c>
      <c r="O108" t="s">
        <v>358</v>
      </c>
      <c r="P108" t="s">
        <v>795</v>
      </c>
      <c r="Q108">
        <v>23</v>
      </c>
      <c r="R108">
        <v>1</v>
      </c>
      <c r="S108" t="s">
        <v>363</v>
      </c>
    </row>
    <row r="109" spans="1:19" x14ac:dyDescent="0.2">
      <c r="A109" t="s">
        <v>796</v>
      </c>
      <c r="B109">
        <v>108</v>
      </c>
      <c r="C109" t="s">
        <v>69</v>
      </c>
      <c r="D109" t="s">
        <v>790</v>
      </c>
      <c r="E109" t="s">
        <v>797</v>
      </c>
      <c r="F109" t="s">
        <v>694</v>
      </c>
      <c r="G109" t="s">
        <v>54</v>
      </c>
      <c r="H109" t="s">
        <v>798</v>
      </c>
      <c r="I109">
        <f>IF((('Condensed Financials'!D41+'Condensed Financials'!C41)/2)=0,NA(),(('Condensed Financials'!D40+'Condensed Financials'!C40)/2)/(('Condensed Financials'!D41+'Condensed Financials'!C41)/2))</f>
        <v>-1.2295081967213115E-2</v>
      </c>
      <c r="J109">
        <v>-1.2295081967213109E-2</v>
      </c>
      <c r="K109">
        <v>0.01</v>
      </c>
      <c r="L109" t="s">
        <v>799</v>
      </c>
      <c r="M109" t="s">
        <v>794</v>
      </c>
      <c r="O109" t="s">
        <v>358</v>
      </c>
      <c r="P109" t="s">
        <v>795</v>
      </c>
      <c r="Q109">
        <v>23</v>
      </c>
      <c r="R109">
        <v>2</v>
      </c>
      <c r="S109" t="s">
        <v>367</v>
      </c>
    </row>
    <row r="110" spans="1:19" x14ac:dyDescent="0.2">
      <c r="A110" t="s">
        <v>800</v>
      </c>
      <c r="B110">
        <v>109</v>
      </c>
      <c r="C110" t="s">
        <v>69</v>
      </c>
      <c r="D110" t="s">
        <v>790</v>
      </c>
      <c r="E110" t="s">
        <v>801</v>
      </c>
      <c r="F110" t="s">
        <v>694</v>
      </c>
      <c r="G110" t="s">
        <v>54</v>
      </c>
      <c r="H110" t="s">
        <v>802</v>
      </c>
      <c r="I110">
        <f>IF((('Condensed Financials'!E41+'Condensed Financials'!D41)/2)=0,NA(),(('Condensed Financials'!E40+'Condensed Financials'!D40)/2)/(('Condensed Financials'!E41+'Condensed Financials'!D41)/2))</f>
        <v>-4.8571428571428571E-2</v>
      </c>
      <c r="J110">
        <v>-4.8571428571428571E-2</v>
      </c>
      <c r="K110">
        <v>0.01</v>
      </c>
      <c r="L110" t="s">
        <v>803</v>
      </c>
      <c r="M110" t="s">
        <v>794</v>
      </c>
      <c r="O110" t="s">
        <v>358</v>
      </c>
      <c r="P110" t="s">
        <v>795</v>
      </c>
      <c r="Q110">
        <v>23</v>
      </c>
      <c r="R110">
        <v>3</v>
      </c>
      <c r="S110" t="s">
        <v>371</v>
      </c>
    </row>
    <row r="111" spans="1:19" x14ac:dyDescent="0.2">
      <c r="A111" t="s">
        <v>804</v>
      </c>
      <c r="B111">
        <v>110</v>
      </c>
      <c r="C111" t="s">
        <v>69</v>
      </c>
      <c r="D111" t="s">
        <v>790</v>
      </c>
      <c r="E111" t="s">
        <v>805</v>
      </c>
      <c r="F111" t="s">
        <v>694</v>
      </c>
      <c r="G111" t="s">
        <v>54</v>
      </c>
      <c r="H111" t="s">
        <v>806</v>
      </c>
      <c r="I111">
        <f>IF((('Condensed Financials'!F41+'Condensed Financials'!E41)/2)=0,NA(),(('Condensed Financials'!F40+'Condensed Financials'!E40)/2)/(('Condensed Financials'!F41+'Condensed Financials'!E41)/2))</f>
        <v>-7.5925925925925924E-2</v>
      </c>
      <c r="J111">
        <v>-7.5925925925925924E-2</v>
      </c>
      <c r="K111">
        <v>0.01</v>
      </c>
      <c r="L111" t="s">
        <v>807</v>
      </c>
      <c r="M111" t="s">
        <v>794</v>
      </c>
      <c r="O111" t="s">
        <v>358</v>
      </c>
      <c r="P111" t="s">
        <v>795</v>
      </c>
      <c r="Q111">
        <v>23</v>
      </c>
      <c r="R111">
        <v>4</v>
      </c>
      <c r="S111" t="s">
        <v>375</v>
      </c>
    </row>
    <row r="112" spans="1:19" x14ac:dyDescent="0.2">
      <c r="A112" t="s">
        <v>808</v>
      </c>
      <c r="B112">
        <v>111</v>
      </c>
      <c r="C112" t="s">
        <v>72</v>
      </c>
      <c r="D112" t="s">
        <v>809</v>
      </c>
      <c r="E112" t="s">
        <v>810</v>
      </c>
      <c r="F112" t="s">
        <v>694</v>
      </c>
      <c r="G112" t="s">
        <v>54</v>
      </c>
      <c r="H112" t="s">
        <v>811</v>
      </c>
      <c r="I112" t="e">
        <f>C7+C10*(C9)</f>
        <v>#VALUE!</v>
      </c>
      <c r="J112">
        <v>0.55333333333333334</v>
      </c>
      <c r="K112">
        <v>0.01</v>
      </c>
      <c r="L112" t="s">
        <v>812</v>
      </c>
      <c r="M112" t="s">
        <v>813</v>
      </c>
      <c r="O112" t="s">
        <v>358</v>
      </c>
      <c r="P112" t="s">
        <v>163</v>
      </c>
      <c r="Q112">
        <v>24</v>
      </c>
      <c r="R112">
        <v>1</v>
      </c>
      <c r="S112" t="s">
        <v>363</v>
      </c>
    </row>
    <row r="113" spans="1:19" x14ac:dyDescent="0.2">
      <c r="A113" t="s">
        <v>814</v>
      </c>
      <c r="B113">
        <v>112</v>
      </c>
      <c r="C113" t="s">
        <v>72</v>
      </c>
      <c r="D113" t="s">
        <v>809</v>
      </c>
      <c r="E113" t="s">
        <v>815</v>
      </c>
      <c r="F113" t="s">
        <v>694</v>
      </c>
      <c r="G113" t="s">
        <v>54</v>
      </c>
      <c r="H113" t="s">
        <v>816</v>
      </c>
      <c r="I113" t="e">
        <f>D7+D10*(D9)</f>
        <v>#VALUE!</v>
      </c>
      <c r="J113">
        <v>0.53819672131147533</v>
      </c>
      <c r="K113">
        <v>0.01</v>
      </c>
      <c r="L113" t="s">
        <v>817</v>
      </c>
      <c r="M113" t="s">
        <v>813</v>
      </c>
      <c r="O113" t="s">
        <v>358</v>
      </c>
      <c r="P113" t="s">
        <v>163</v>
      </c>
      <c r="Q113">
        <v>24</v>
      </c>
      <c r="R113">
        <v>2</v>
      </c>
      <c r="S113" t="s">
        <v>367</v>
      </c>
    </row>
    <row r="114" spans="1:19" x14ac:dyDescent="0.2">
      <c r="A114" t="s">
        <v>818</v>
      </c>
      <c r="B114">
        <v>113</v>
      </c>
      <c r="C114" t="s">
        <v>72</v>
      </c>
      <c r="D114" t="s">
        <v>809</v>
      </c>
      <c r="E114" t="s">
        <v>819</v>
      </c>
      <c r="F114" t="s">
        <v>694</v>
      </c>
      <c r="G114" t="s">
        <v>54</v>
      </c>
      <c r="H114" t="s">
        <v>820</v>
      </c>
      <c r="I114" t="e">
        <f>E7+E10*(E9)</f>
        <v>#VALUE!</v>
      </c>
      <c r="J114">
        <v>0.52057142857142857</v>
      </c>
      <c r="K114">
        <v>0.01</v>
      </c>
      <c r="L114" t="s">
        <v>821</v>
      </c>
      <c r="M114" t="s">
        <v>813</v>
      </c>
      <c r="O114" t="s">
        <v>358</v>
      </c>
      <c r="P114" t="s">
        <v>163</v>
      </c>
      <c r="Q114">
        <v>24</v>
      </c>
      <c r="R114">
        <v>3</v>
      </c>
      <c r="S114" t="s">
        <v>371</v>
      </c>
    </row>
    <row r="115" spans="1:19" x14ac:dyDescent="0.2">
      <c r="A115" t="s">
        <v>822</v>
      </c>
      <c r="B115">
        <v>114</v>
      </c>
      <c r="C115" t="s">
        <v>72</v>
      </c>
      <c r="D115" t="s">
        <v>809</v>
      </c>
      <c r="E115" t="s">
        <v>823</v>
      </c>
      <c r="F115" t="s">
        <v>694</v>
      </c>
      <c r="G115" t="s">
        <v>54</v>
      </c>
      <c r="H115" t="s">
        <v>824</v>
      </c>
      <c r="I115" t="e">
        <f>F7+F10*(F9)</f>
        <v>#VALUE!</v>
      </c>
      <c r="J115">
        <v>0.50271604938271608</v>
      </c>
      <c r="K115">
        <v>0.01</v>
      </c>
      <c r="L115" t="s">
        <v>825</v>
      </c>
      <c r="M115" t="s">
        <v>813</v>
      </c>
      <c r="O115" t="s">
        <v>358</v>
      </c>
      <c r="P115" t="s">
        <v>163</v>
      </c>
      <c r="Q115">
        <v>24</v>
      </c>
      <c r="R115">
        <v>4</v>
      </c>
      <c r="S115" t="s">
        <v>375</v>
      </c>
    </row>
    <row r="116" spans="1:19" x14ac:dyDescent="0.2">
      <c r="A116" t="s">
        <v>826</v>
      </c>
      <c r="B116">
        <v>115</v>
      </c>
      <c r="C116" t="s">
        <v>75</v>
      </c>
      <c r="D116" t="s">
        <v>827</v>
      </c>
      <c r="E116" t="s">
        <v>828</v>
      </c>
      <c r="F116" t="s">
        <v>694</v>
      </c>
      <c r="G116" t="s">
        <v>54</v>
      </c>
      <c r="H116" t="s">
        <v>829</v>
      </c>
      <c r="I116">
        <f>IF((('Condensed Financials'!C41+'Condensed Financials'!B41)/2)=0,NA(),'Condensed Financials'!C20/(('Condensed Financials'!C41+'Condensed Financials'!B41)/2))</f>
        <v>0.55333333333333334</v>
      </c>
      <c r="J116">
        <v>0.55333333333333334</v>
      </c>
      <c r="K116">
        <v>0.01</v>
      </c>
      <c r="L116" t="s">
        <v>830</v>
      </c>
      <c r="M116" t="s">
        <v>831</v>
      </c>
      <c r="O116" t="s">
        <v>358</v>
      </c>
      <c r="P116" t="s">
        <v>832</v>
      </c>
      <c r="Q116">
        <v>25</v>
      </c>
      <c r="R116">
        <v>1</v>
      </c>
      <c r="S116" t="s">
        <v>363</v>
      </c>
    </row>
    <row r="117" spans="1:19" x14ac:dyDescent="0.2">
      <c r="A117" t="s">
        <v>833</v>
      </c>
      <c r="B117">
        <v>116</v>
      </c>
      <c r="C117" t="s">
        <v>75</v>
      </c>
      <c r="D117" t="s">
        <v>827</v>
      </c>
      <c r="E117" t="s">
        <v>834</v>
      </c>
      <c r="F117" t="s">
        <v>694</v>
      </c>
      <c r="G117" t="s">
        <v>54</v>
      </c>
      <c r="H117" t="s">
        <v>835</v>
      </c>
      <c r="I117">
        <f>IF((('Condensed Financials'!D41+'Condensed Financials'!C41)/2)=0,NA(),'Condensed Financials'!D20/(('Condensed Financials'!D41+'Condensed Financials'!C41)/2))</f>
        <v>0.53819672131147545</v>
      </c>
      <c r="J117">
        <v>0.53819672131147545</v>
      </c>
      <c r="K117">
        <v>0.01</v>
      </c>
      <c r="L117" t="s">
        <v>836</v>
      </c>
      <c r="M117" t="s">
        <v>831</v>
      </c>
      <c r="O117" t="s">
        <v>358</v>
      </c>
      <c r="P117" t="s">
        <v>832</v>
      </c>
      <c r="Q117">
        <v>25</v>
      </c>
      <c r="R117">
        <v>2</v>
      </c>
      <c r="S117" t="s">
        <v>367</v>
      </c>
    </row>
    <row r="118" spans="1:19" x14ac:dyDescent="0.2">
      <c r="A118" t="s">
        <v>837</v>
      </c>
      <c r="B118">
        <v>117</v>
      </c>
      <c r="C118" t="s">
        <v>75</v>
      </c>
      <c r="D118" t="s">
        <v>827</v>
      </c>
      <c r="E118" t="s">
        <v>838</v>
      </c>
      <c r="F118" t="s">
        <v>694</v>
      </c>
      <c r="G118" t="s">
        <v>54</v>
      </c>
      <c r="H118" t="s">
        <v>839</v>
      </c>
      <c r="I118">
        <f>IF((('Condensed Financials'!E41+'Condensed Financials'!D41)/2)=0,NA(),'Condensed Financials'!E20/(('Condensed Financials'!E41+'Condensed Financials'!D41)/2))</f>
        <v>0.52057142857142857</v>
      </c>
      <c r="J118">
        <v>0.52057142857142857</v>
      </c>
      <c r="K118">
        <v>0.01</v>
      </c>
      <c r="L118" t="s">
        <v>840</v>
      </c>
      <c r="M118" t="s">
        <v>831</v>
      </c>
      <c r="O118" t="s">
        <v>358</v>
      </c>
      <c r="P118" t="s">
        <v>832</v>
      </c>
      <c r="Q118">
        <v>25</v>
      </c>
      <c r="R118">
        <v>3</v>
      </c>
      <c r="S118" t="s">
        <v>371</v>
      </c>
    </row>
    <row r="119" spans="1:19" x14ac:dyDescent="0.2">
      <c r="A119" t="s">
        <v>841</v>
      </c>
      <c r="B119">
        <v>118</v>
      </c>
      <c r="C119" t="s">
        <v>75</v>
      </c>
      <c r="D119" t="s">
        <v>827</v>
      </c>
      <c r="E119" t="s">
        <v>842</v>
      </c>
      <c r="F119" t="s">
        <v>694</v>
      </c>
      <c r="G119" t="s">
        <v>54</v>
      </c>
      <c r="H119" t="s">
        <v>843</v>
      </c>
      <c r="I119">
        <f>IF((('Condensed Financials'!F41+'Condensed Financials'!E41)/2)=0,NA(),'Condensed Financials'!F20/(('Condensed Financials'!F41+'Condensed Financials'!E41)/2))</f>
        <v>0.50271604938271608</v>
      </c>
      <c r="J119">
        <v>0.50271604938271608</v>
      </c>
      <c r="K119">
        <v>0.01</v>
      </c>
      <c r="L119" t="s">
        <v>844</v>
      </c>
      <c r="M119" t="s">
        <v>831</v>
      </c>
      <c r="O119" t="s">
        <v>358</v>
      </c>
      <c r="P119" t="s">
        <v>832</v>
      </c>
      <c r="Q119">
        <v>25</v>
      </c>
      <c r="R119">
        <v>4</v>
      </c>
      <c r="S119" t="s">
        <v>375</v>
      </c>
    </row>
    <row r="120" spans="1:19" x14ac:dyDescent="0.2">
      <c r="A120" t="s">
        <v>845</v>
      </c>
      <c r="B120">
        <v>119</v>
      </c>
      <c r="C120" t="s">
        <v>78</v>
      </c>
      <c r="D120" t="s">
        <v>846</v>
      </c>
      <c r="E120" t="s">
        <v>847</v>
      </c>
      <c r="F120" t="s">
        <v>848</v>
      </c>
      <c r="G120" t="s">
        <v>79</v>
      </c>
      <c r="H120" t="s">
        <v>773</v>
      </c>
      <c r="I120">
        <f>-SUMIF($B$5:$B$5,"Non-recurring",C$5:C$5)</f>
        <v>0</v>
      </c>
      <c r="J120">
        <v>0</v>
      </c>
      <c r="K120">
        <v>0.01</v>
      </c>
      <c r="M120" t="s">
        <v>849</v>
      </c>
      <c r="O120" t="s">
        <v>358</v>
      </c>
      <c r="P120" t="s">
        <v>83</v>
      </c>
      <c r="Q120">
        <v>26</v>
      </c>
      <c r="R120">
        <v>0</v>
      </c>
      <c r="S120" t="s">
        <v>359</v>
      </c>
    </row>
    <row r="121" spans="1:19" x14ac:dyDescent="0.2">
      <c r="A121" t="s">
        <v>850</v>
      </c>
      <c r="B121">
        <v>120</v>
      </c>
      <c r="C121" t="s">
        <v>78</v>
      </c>
      <c r="D121" t="s">
        <v>846</v>
      </c>
      <c r="E121" t="s">
        <v>851</v>
      </c>
      <c r="F121" t="s">
        <v>848</v>
      </c>
      <c r="G121" t="s">
        <v>79</v>
      </c>
      <c r="H121" t="s">
        <v>779</v>
      </c>
      <c r="I121">
        <f>-SUMIF($B$5:$B$5,"Non-recurring",D$5:D$5)</f>
        <v>0</v>
      </c>
      <c r="J121">
        <v>0</v>
      </c>
      <c r="K121">
        <v>0.01</v>
      </c>
      <c r="M121" t="s">
        <v>849</v>
      </c>
      <c r="O121" t="s">
        <v>358</v>
      </c>
      <c r="P121" t="s">
        <v>83</v>
      </c>
      <c r="Q121">
        <v>26</v>
      </c>
      <c r="R121">
        <v>1</v>
      </c>
      <c r="S121" t="s">
        <v>363</v>
      </c>
    </row>
    <row r="122" spans="1:19" x14ac:dyDescent="0.2">
      <c r="A122" t="s">
        <v>852</v>
      </c>
      <c r="B122">
        <v>121</v>
      </c>
      <c r="C122" t="s">
        <v>78</v>
      </c>
      <c r="D122" t="s">
        <v>846</v>
      </c>
      <c r="E122" t="s">
        <v>853</v>
      </c>
      <c r="F122" t="s">
        <v>848</v>
      </c>
      <c r="G122" t="s">
        <v>79</v>
      </c>
      <c r="H122" t="s">
        <v>783</v>
      </c>
      <c r="I122">
        <f>-SUMIF($B$5:$B$5,"Non-recurring",E$5:E$5)</f>
        <v>0</v>
      </c>
      <c r="J122">
        <v>200</v>
      </c>
      <c r="K122">
        <v>0.01</v>
      </c>
      <c r="M122" t="s">
        <v>849</v>
      </c>
      <c r="O122" t="s">
        <v>358</v>
      </c>
      <c r="P122" t="s">
        <v>83</v>
      </c>
      <c r="Q122">
        <v>26</v>
      </c>
      <c r="R122">
        <v>2</v>
      </c>
      <c r="S122" t="s">
        <v>367</v>
      </c>
    </row>
    <row r="123" spans="1:19" x14ac:dyDescent="0.2">
      <c r="A123" t="s">
        <v>854</v>
      </c>
      <c r="B123">
        <v>122</v>
      </c>
      <c r="C123" t="s">
        <v>78</v>
      </c>
      <c r="D123" t="s">
        <v>846</v>
      </c>
      <c r="E123" t="s">
        <v>855</v>
      </c>
      <c r="F123" t="s">
        <v>848</v>
      </c>
      <c r="G123" t="s">
        <v>79</v>
      </c>
      <c r="H123" t="s">
        <v>787</v>
      </c>
      <c r="I123">
        <f>-SUMIF($B$5:$B$5,"Non-recurring",F$5:F$5)</f>
        <v>0</v>
      </c>
      <c r="J123">
        <v>0</v>
      </c>
      <c r="K123">
        <v>0.01</v>
      </c>
      <c r="M123" t="s">
        <v>849</v>
      </c>
      <c r="O123" t="s">
        <v>358</v>
      </c>
      <c r="P123" t="s">
        <v>83</v>
      </c>
      <c r="Q123">
        <v>26</v>
      </c>
      <c r="R123">
        <v>3</v>
      </c>
      <c r="S123" t="s">
        <v>371</v>
      </c>
    </row>
    <row r="124" spans="1:19" x14ac:dyDescent="0.2">
      <c r="A124" t="s">
        <v>856</v>
      </c>
      <c r="B124">
        <v>123</v>
      </c>
      <c r="C124" t="s">
        <v>78</v>
      </c>
      <c r="D124" t="s">
        <v>846</v>
      </c>
      <c r="E124" t="s">
        <v>857</v>
      </c>
      <c r="F124" t="s">
        <v>848</v>
      </c>
      <c r="G124" t="s">
        <v>79</v>
      </c>
      <c r="H124" t="s">
        <v>858</v>
      </c>
      <c r="I124">
        <f>-SUMIF($B$5:$B$5,"Non-recurring",G$5:G$5)</f>
        <v>0</v>
      </c>
      <c r="J124">
        <v>0</v>
      </c>
      <c r="K124">
        <v>0.01</v>
      </c>
      <c r="M124" t="s">
        <v>849</v>
      </c>
      <c r="O124" t="s">
        <v>358</v>
      </c>
      <c r="P124" t="s">
        <v>83</v>
      </c>
      <c r="Q124">
        <v>26</v>
      </c>
      <c r="R124">
        <v>4</v>
      </c>
      <c r="S124" t="s">
        <v>375</v>
      </c>
    </row>
    <row r="125" spans="1:19" x14ac:dyDescent="0.2">
      <c r="A125" t="s">
        <v>859</v>
      </c>
      <c r="B125">
        <v>124</v>
      </c>
      <c r="C125" t="s">
        <v>81</v>
      </c>
      <c r="D125" t="s">
        <v>860</v>
      </c>
      <c r="E125" t="s">
        <v>861</v>
      </c>
      <c r="F125" t="s">
        <v>848</v>
      </c>
      <c r="G125" t="s">
        <v>79</v>
      </c>
      <c r="H125" t="s">
        <v>811</v>
      </c>
      <c r="I125" t="e">
        <f>IF(C9=0,0,IF(ISNA(C10),NA(),C9*(1-C10)))</f>
        <v>#VALUE!</v>
      </c>
      <c r="J125">
        <v>0</v>
      </c>
      <c r="K125">
        <v>0.01</v>
      </c>
      <c r="L125" t="s">
        <v>845</v>
      </c>
      <c r="M125" t="s">
        <v>862</v>
      </c>
      <c r="O125" t="s">
        <v>358</v>
      </c>
      <c r="P125" t="s">
        <v>86</v>
      </c>
      <c r="Q125">
        <v>27</v>
      </c>
      <c r="R125">
        <v>0</v>
      </c>
      <c r="S125" t="s">
        <v>359</v>
      </c>
    </row>
    <row r="126" spans="1:19" x14ac:dyDescent="0.2">
      <c r="A126" t="s">
        <v>863</v>
      </c>
      <c r="B126">
        <v>125</v>
      </c>
      <c r="C126" t="s">
        <v>81</v>
      </c>
      <c r="D126" t="s">
        <v>860</v>
      </c>
      <c r="E126" t="s">
        <v>864</v>
      </c>
      <c r="F126" t="s">
        <v>848</v>
      </c>
      <c r="G126" t="s">
        <v>79</v>
      </c>
      <c r="H126" t="s">
        <v>816</v>
      </c>
      <c r="I126" t="e">
        <f>IF(D9=0,0,IF(ISNA(D10),NA(),D9*(1-D10)))</f>
        <v>#VALUE!</v>
      </c>
      <c r="J126">
        <v>0</v>
      </c>
      <c r="K126">
        <v>0.01</v>
      </c>
      <c r="L126" t="s">
        <v>850</v>
      </c>
      <c r="M126" t="s">
        <v>862</v>
      </c>
      <c r="O126" t="s">
        <v>358</v>
      </c>
      <c r="P126" t="s">
        <v>86</v>
      </c>
      <c r="Q126">
        <v>27</v>
      </c>
      <c r="R126">
        <v>1</v>
      </c>
      <c r="S126" t="s">
        <v>363</v>
      </c>
    </row>
    <row r="127" spans="1:19" x14ac:dyDescent="0.2">
      <c r="A127" t="s">
        <v>865</v>
      </c>
      <c r="B127">
        <v>126</v>
      </c>
      <c r="C127" t="s">
        <v>81</v>
      </c>
      <c r="D127" t="s">
        <v>860</v>
      </c>
      <c r="E127" t="s">
        <v>866</v>
      </c>
      <c r="F127" t="s">
        <v>848</v>
      </c>
      <c r="G127" t="s">
        <v>79</v>
      </c>
      <c r="H127" t="s">
        <v>820</v>
      </c>
      <c r="I127" t="e">
        <f>IF(E9=0,0,IF(ISNA(E10),NA(),E9*(1-E10)))</f>
        <v>#VALUE!</v>
      </c>
      <c r="J127">
        <v>166.01769911504431</v>
      </c>
      <c r="K127">
        <v>0.01</v>
      </c>
      <c r="L127" t="s">
        <v>852</v>
      </c>
      <c r="M127" t="s">
        <v>862</v>
      </c>
      <c r="O127" t="s">
        <v>358</v>
      </c>
      <c r="P127" t="s">
        <v>86</v>
      </c>
      <c r="Q127">
        <v>27</v>
      </c>
      <c r="R127">
        <v>2</v>
      </c>
      <c r="S127" t="s">
        <v>367</v>
      </c>
    </row>
    <row r="128" spans="1:19" x14ac:dyDescent="0.2">
      <c r="A128" t="s">
        <v>867</v>
      </c>
      <c r="B128">
        <v>127</v>
      </c>
      <c r="C128" t="s">
        <v>81</v>
      </c>
      <c r="D128" t="s">
        <v>860</v>
      </c>
      <c r="E128" t="s">
        <v>868</v>
      </c>
      <c r="F128" t="s">
        <v>848</v>
      </c>
      <c r="G128" t="s">
        <v>79</v>
      </c>
      <c r="H128" t="s">
        <v>824</v>
      </c>
      <c r="I128" t="e">
        <f>IF(F9=0,0,IF(ISNA(F10),NA(),F9*(1-F10)))</f>
        <v>#VALUE!</v>
      </c>
      <c r="J128">
        <v>0</v>
      </c>
      <c r="K128">
        <v>0.01</v>
      </c>
      <c r="L128" t="s">
        <v>854</v>
      </c>
      <c r="M128" t="s">
        <v>862</v>
      </c>
      <c r="O128" t="s">
        <v>358</v>
      </c>
      <c r="P128" t="s">
        <v>86</v>
      </c>
      <c r="Q128">
        <v>27</v>
      </c>
      <c r="R128">
        <v>3</v>
      </c>
      <c r="S128" t="s">
        <v>371</v>
      </c>
    </row>
    <row r="129" spans="1:19" x14ac:dyDescent="0.2">
      <c r="A129" t="s">
        <v>869</v>
      </c>
      <c r="B129">
        <v>128</v>
      </c>
      <c r="C129" t="s">
        <v>81</v>
      </c>
      <c r="D129" t="s">
        <v>860</v>
      </c>
      <c r="E129" t="s">
        <v>870</v>
      </c>
      <c r="F129" t="s">
        <v>848</v>
      </c>
      <c r="G129" t="s">
        <v>79</v>
      </c>
      <c r="H129" t="s">
        <v>871</v>
      </c>
      <c r="I129" t="e">
        <f>IF(G9=0,0,IF(ISNA(G10),NA(),G9*(1-G10)))</f>
        <v>#VALUE!</v>
      </c>
      <c r="J129">
        <v>0</v>
      </c>
      <c r="K129">
        <v>0.01</v>
      </c>
      <c r="L129" t="s">
        <v>856</v>
      </c>
      <c r="M129" t="s">
        <v>862</v>
      </c>
      <c r="O129" t="s">
        <v>358</v>
      </c>
      <c r="P129" t="s">
        <v>86</v>
      </c>
      <c r="Q129">
        <v>27</v>
      </c>
      <c r="R129">
        <v>4</v>
      </c>
      <c r="S129" t="s">
        <v>375</v>
      </c>
    </row>
    <row r="130" spans="1:19" x14ac:dyDescent="0.2">
      <c r="A130" t="s">
        <v>872</v>
      </c>
      <c r="B130">
        <v>129</v>
      </c>
      <c r="C130" t="s">
        <v>84</v>
      </c>
      <c r="D130" t="s">
        <v>873</v>
      </c>
      <c r="E130" t="s">
        <v>874</v>
      </c>
      <c r="F130" t="s">
        <v>848</v>
      </c>
      <c r="G130" t="s">
        <v>79</v>
      </c>
      <c r="H130" t="s">
        <v>829</v>
      </c>
      <c r="I130" t="e">
        <f>C7+C11</f>
        <v>#VALUE!</v>
      </c>
      <c r="J130">
        <v>2822.2556390977438</v>
      </c>
      <c r="K130">
        <v>0.01</v>
      </c>
      <c r="L130" t="s">
        <v>859</v>
      </c>
      <c r="M130" t="s">
        <v>875</v>
      </c>
      <c r="O130" t="s">
        <v>358</v>
      </c>
      <c r="P130" t="s">
        <v>876</v>
      </c>
      <c r="Q130">
        <v>28</v>
      </c>
      <c r="R130">
        <v>0</v>
      </c>
      <c r="S130" t="s">
        <v>359</v>
      </c>
    </row>
    <row r="131" spans="1:19" x14ac:dyDescent="0.2">
      <c r="A131" t="s">
        <v>877</v>
      </c>
      <c r="B131">
        <v>130</v>
      </c>
      <c r="C131" t="s">
        <v>84</v>
      </c>
      <c r="D131" t="s">
        <v>873</v>
      </c>
      <c r="E131" t="s">
        <v>878</v>
      </c>
      <c r="F131" t="s">
        <v>848</v>
      </c>
      <c r="G131" t="s">
        <v>79</v>
      </c>
      <c r="H131" t="s">
        <v>835</v>
      </c>
      <c r="I131" t="e">
        <f>D7+D11</f>
        <v>#VALUE!</v>
      </c>
      <c r="J131">
        <v>3054.4</v>
      </c>
      <c r="K131">
        <v>0.01</v>
      </c>
      <c r="L131" t="s">
        <v>863</v>
      </c>
      <c r="M131" t="s">
        <v>875</v>
      </c>
      <c r="O131" t="s">
        <v>358</v>
      </c>
      <c r="P131" t="s">
        <v>876</v>
      </c>
      <c r="Q131">
        <v>28</v>
      </c>
      <c r="R131">
        <v>1</v>
      </c>
      <c r="S131" t="s">
        <v>363</v>
      </c>
    </row>
    <row r="132" spans="1:19" x14ac:dyDescent="0.2">
      <c r="A132" t="s">
        <v>879</v>
      </c>
      <c r="B132">
        <v>131</v>
      </c>
      <c r="C132" t="s">
        <v>84</v>
      </c>
      <c r="D132" t="s">
        <v>873</v>
      </c>
      <c r="E132" t="s">
        <v>880</v>
      </c>
      <c r="F132" t="s">
        <v>848</v>
      </c>
      <c r="G132" t="s">
        <v>79</v>
      </c>
      <c r="H132" t="s">
        <v>839</v>
      </c>
      <c r="I132" t="e">
        <f>E7+E11</f>
        <v>#VALUE!</v>
      </c>
      <c r="J132">
        <v>3519.575221238938</v>
      </c>
      <c r="K132">
        <v>0.01</v>
      </c>
      <c r="L132" t="s">
        <v>865</v>
      </c>
      <c r="M132" t="s">
        <v>875</v>
      </c>
      <c r="O132" t="s">
        <v>358</v>
      </c>
      <c r="P132" t="s">
        <v>876</v>
      </c>
      <c r="Q132">
        <v>28</v>
      </c>
      <c r="R132">
        <v>2</v>
      </c>
      <c r="S132" t="s">
        <v>367</v>
      </c>
    </row>
    <row r="133" spans="1:19" x14ac:dyDescent="0.2">
      <c r="A133" t="s">
        <v>881</v>
      </c>
      <c r="B133">
        <v>132</v>
      </c>
      <c r="C133" t="s">
        <v>84</v>
      </c>
      <c r="D133" t="s">
        <v>873</v>
      </c>
      <c r="E133" t="s">
        <v>882</v>
      </c>
      <c r="F133" t="s">
        <v>848</v>
      </c>
      <c r="G133" t="s">
        <v>79</v>
      </c>
      <c r="H133" t="s">
        <v>843</v>
      </c>
      <c r="I133" t="e">
        <f>F7+F11</f>
        <v>#VALUE!</v>
      </c>
      <c r="J133">
        <v>3718.7061503416862</v>
      </c>
      <c r="K133">
        <v>0.01</v>
      </c>
      <c r="L133" t="s">
        <v>867</v>
      </c>
      <c r="M133" t="s">
        <v>875</v>
      </c>
      <c r="O133" t="s">
        <v>358</v>
      </c>
      <c r="P133" t="s">
        <v>876</v>
      </c>
      <c r="Q133">
        <v>28</v>
      </c>
      <c r="R133">
        <v>3</v>
      </c>
      <c r="S133" t="s">
        <v>371</v>
      </c>
    </row>
    <row r="134" spans="1:19" x14ac:dyDescent="0.2">
      <c r="A134" t="s">
        <v>883</v>
      </c>
      <c r="B134">
        <v>133</v>
      </c>
      <c r="C134" t="s">
        <v>84</v>
      </c>
      <c r="D134" t="s">
        <v>873</v>
      </c>
      <c r="E134" t="s">
        <v>884</v>
      </c>
      <c r="F134" t="s">
        <v>848</v>
      </c>
      <c r="G134" t="s">
        <v>79</v>
      </c>
      <c r="H134" t="s">
        <v>885</v>
      </c>
      <c r="I134" t="e">
        <f>G7+G11</f>
        <v>#VALUE!</v>
      </c>
      <c r="J134">
        <v>4150.8664627930684</v>
      </c>
      <c r="K134">
        <v>0.01</v>
      </c>
      <c r="L134" t="s">
        <v>869</v>
      </c>
      <c r="M134" t="s">
        <v>875</v>
      </c>
      <c r="O134" t="s">
        <v>358</v>
      </c>
      <c r="P134" t="s">
        <v>876</v>
      </c>
      <c r="Q134">
        <v>28</v>
      </c>
      <c r="R134">
        <v>4</v>
      </c>
      <c r="S134" t="s">
        <v>375</v>
      </c>
    </row>
    <row r="135" spans="1:19" x14ac:dyDescent="0.2">
      <c r="A135" t="s">
        <v>886</v>
      </c>
      <c r="B135">
        <v>134</v>
      </c>
      <c r="C135" t="s">
        <v>87</v>
      </c>
      <c r="D135" t="s">
        <v>887</v>
      </c>
      <c r="E135" t="s">
        <v>888</v>
      </c>
      <c r="F135" t="s">
        <v>848</v>
      </c>
      <c r="G135" t="s">
        <v>79</v>
      </c>
      <c r="H135" t="s">
        <v>889</v>
      </c>
      <c r="I135" t="e">
        <f>C8+C11</f>
        <v>#VALUE!</v>
      </c>
      <c r="J135">
        <v>2760</v>
      </c>
      <c r="K135">
        <v>0.01</v>
      </c>
      <c r="L135" t="s">
        <v>859</v>
      </c>
      <c r="M135" t="s">
        <v>890</v>
      </c>
      <c r="O135" t="s">
        <v>358</v>
      </c>
      <c r="P135" t="s">
        <v>891</v>
      </c>
      <c r="Q135">
        <v>29</v>
      </c>
      <c r="R135">
        <v>0</v>
      </c>
      <c r="S135" t="s">
        <v>359</v>
      </c>
    </row>
    <row r="136" spans="1:19" x14ac:dyDescent="0.2">
      <c r="A136" t="s">
        <v>892</v>
      </c>
      <c r="B136">
        <v>135</v>
      </c>
      <c r="C136" t="s">
        <v>87</v>
      </c>
      <c r="D136" t="s">
        <v>887</v>
      </c>
      <c r="E136" t="s">
        <v>893</v>
      </c>
      <c r="F136" t="s">
        <v>848</v>
      </c>
      <c r="G136" t="s">
        <v>79</v>
      </c>
      <c r="H136" t="s">
        <v>894</v>
      </c>
      <c r="I136" t="e">
        <f>D8+D11</f>
        <v>#VALUE!</v>
      </c>
      <c r="J136">
        <v>2988</v>
      </c>
      <c r="K136">
        <v>0.01</v>
      </c>
      <c r="L136" t="s">
        <v>863</v>
      </c>
      <c r="M136" t="s">
        <v>890</v>
      </c>
      <c r="O136" t="s">
        <v>358</v>
      </c>
      <c r="P136" t="s">
        <v>891</v>
      </c>
      <c r="Q136">
        <v>29</v>
      </c>
      <c r="R136">
        <v>1</v>
      </c>
      <c r="S136" t="s">
        <v>363</v>
      </c>
    </row>
    <row r="137" spans="1:19" x14ac:dyDescent="0.2">
      <c r="A137" t="s">
        <v>895</v>
      </c>
      <c r="B137">
        <v>136</v>
      </c>
      <c r="C137" t="s">
        <v>87</v>
      </c>
      <c r="D137" t="s">
        <v>887</v>
      </c>
      <c r="E137" t="s">
        <v>896</v>
      </c>
      <c r="F137" t="s">
        <v>848</v>
      </c>
      <c r="G137" t="s">
        <v>79</v>
      </c>
      <c r="H137" t="s">
        <v>897</v>
      </c>
      <c r="I137" t="e">
        <f>E8+E11</f>
        <v>#VALUE!</v>
      </c>
      <c r="J137">
        <v>3449.0176991150438</v>
      </c>
      <c r="K137">
        <v>0.01</v>
      </c>
      <c r="L137" t="s">
        <v>865</v>
      </c>
      <c r="M137" t="s">
        <v>890</v>
      </c>
      <c r="O137" t="s">
        <v>358</v>
      </c>
      <c r="P137" t="s">
        <v>891</v>
      </c>
      <c r="Q137">
        <v>29</v>
      </c>
      <c r="R137">
        <v>2</v>
      </c>
      <c r="S137" t="s">
        <v>367</v>
      </c>
    </row>
    <row r="138" spans="1:19" x14ac:dyDescent="0.2">
      <c r="A138" t="s">
        <v>898</v>
      </c>
      <c r="B138">
        <v>137</v>
      </c>
      <c r="C138" t="s">
        <v>87</v>
      </c>
      <c r="D138" t="s">
        <v>887</v>
      </c>
      <c r="E138" t="s">
        <v>899</v>
      </c>
      <c r="F138" t="s">
        <v>848</v>
      </c>
      <c r="G138" t="s">
        <v>79</v>
      </c>
      <c r="H138" t="s">
        <v>900</v>
      </c>
      <c r="I138" t="e">
        <f>F8+F11</f>
        <v>#VALUE!</v>
      </c>
      <c r="J138">
        <v>3644</v>
      </c>
      <c r="K138">
        <v>0.01</v>
      </c>
      <c r="L138" t="s">
        <v>867</v>
      </c>
      <c r="M138" t="s">
        <v>890</v>
      </c>
      <c r="O138" t="s">
        <v>358</v>
      </c>
      <c r="P138" t="s">
        <v>891</v>
      </c>
      <c r="Q138">
        <v>29</v>
      </c>
      <c r="R138">
        <v>3</v>
      </c>
      <c r="S138" t="s">
        <v>371</v>
      </c>
    </row>
    <row r="139" spans="1:19" x14ac:dyDescent="0.2">
      <c r="A139" t="s">
        <v>901</v>
      </c>
      <c r="B139">
        <v>138</v>
      </c>
      <c r="C139" t="s">
        <v>87</v>
      </c>
      <c r="D139" t="s">
        <v>887</v>
      </c>
      <c r="E139" t="s">
        <v>902</v>
      </c>
      <c r="F139" t="s">
        <v>848</v>
      </c>
      <c r="G139" t="s">
        <v>79</v>
      </c>
      <c r="H139" t="s">
        <v>903</v>
      </c>
      <c r="I139" t="e">
        <f>G8+G11</f>
        <v>#VALUE!</v>
      </c>
      <c r="J139">
        <v>4072</v>
      </c>
      <c r="K139">
        <v>0.01</v>
      </c>
      <c r="L139" t="s">
        <v>869</v>
      </c>
      <c r="M139" t="s">
        <v>890</v>
      </c>
      <c r="O139" t="s">
        <v>358</v>
      </c>
      <c r="P139" t="s">
        <v>891</v>
      </c>
      <c r="Q139">
        <v>29</v>
      </c>
      <c r="R139">
        <v>4</v>
      </c>
      <c r="S139" t="s">
        <v>375</v>
      </c>
    </row>
    <row r="140" spans="1:19" x14ac:dyDescent="0.2">
      <c r="A140" t="s">
        <v>904</v>
      </c>
      <c r="B140">
        <v>139</v>
      </c>
      <c r="C140" t="s">
        <v>89</v>
      </c>
      <c r="D140" t="s">
        <v>905</v>
      </c>
      <c r="E140" t="s">
        <v>906</v>
      </c>
      <c r="F140" t="s">
        <v>907</v>
      </c>
      <c r="G140" t="s">
        <v>90</v>
      </c>
      <c r="H140" t="s">
        <v>908</v>
      </c>
      <c r="I140">
        <f>'Cash Flow Statement'!B9</f>
        <v>1450</v>
      </c>
      <c r="J140">
        <v>1450</v>
      </c>
      <c r="K140">
        <v>0.01</v>
      </c>
      <c r="M140" t="s">
        <v>909</v>
      </c>
      <c r="O140" t="s">
        <v>358</v>
      </c>
      <c r="P140" t="s">
        <v>179</v>
      </c>
      <c r="Q140">
        <v>30</v>
      </c>
      <c r="R140">
        <v>0</v>
      </c>
      <c r="S140" t="s">
        <v>359</v>
      </c>
    </row>
    <row r="141" spans="1:19" x14ac:dyDescent="0.2">
      <c r="A141" t="s">
        <v>910</v>
      </c>
      <c r="B141">
        <v>140</v>
      </c>
      <c r="C141" t="s">
        <v>89</v>
      </c>
      <c r="D141" t="s">
        <v>905</v>
      </c>
      <c r="E141" t="s">
        <v>911</v>
      </c>
      <c r="F141" t="s">
        <v>907</v>
      </c>
      <c r="G141" t="s">
        <v>90</v>
      </c>
      <c r="H141" t="s">
        <v>695</v>
      </c>
      <c r="I141">
        <f>'Cash Flow Statement'!C9</f>
        <v>1600</v>
      </c>
      <c r="J141">
        <v>1600</v>
      </c>
      <c r="K141">
        <v>0.01</v>
      </c>
      <c r="M141" t="s">
        <v>909</v>
      </c>
      <c r="O141" t="s">
        <v>358</v>
      </c>
      <c r="P141" t="s">
        <v>179</v>
      </c>
      <c r="Q141">
        <v>30</v>
      </c>
      <c r="R141">
        <v>1</v>
      </c>
      <c r="S141" t="s">
        <v>363</v>
      </c>
    </row>
    <row r="142" spans="1:19" x14ac:dyDescent="0.2">
      <c r="A142" t="s">
        <v>912</v>
      </c>
      <c r="B142">
        <v>141</v>
      </c>
      <c r="C142" t="s">
        <v>89</v>
      </c>
      <c r="D142" t="s">
        <v>905</v>
      </c>
      <c r="E142" t="s">
        <v>913</v>
      </c>
      <c r="F142" t="s">
        <v>907</v>
      </c>
      <c r="G142" t="s">
        <v>90</v>
      </c>
      <c r="H142" t="s">
        <v>701</v>
      </c>
      <c r="I142">
        <f>'Cash Flow Statement'!D9</f>
        <v>1750</v>
      </c>
      <c r="J142">
        <v>1750</v>
      </c>
      <c r="K142">
        <v>0.01</v>
      </c>
      <c r="M142" t="s">
        <v>909</v>
      </c>
      <c r="O142" t="s">
        <v>358</v>
      </c>
      <c r="P142" t="s">
        <v>179</v>
      </c>
      <c r="Q142">
        <v>30</v>
      </c>
      <c r="R142">
        <v>2</v>
      </c>
      <c r="S142" t="s">
        <v>367</v>
      </c>
    </row>
    <row r="143" spans="1:19" x14ac:dyDescent="0.2">
      <c r="A143" t="s">
        <v>914</v>
      </c>
      <c r="B143">
        <v>142</v>
      </c>
      <c r="C143" t="s">
        <v>89</v>
      </c>
      <c r="D143" t="s">
        <v>905</v>
      </c>
      <c r="E143" t="s">
        <v>915</v>
      </c>
      <c r="F143" t="s">
        <v>907</v>
      </c>
      <c r="G143" t="s">
        <v>90</v>
      </c>
      <c r="H143" t="s">
        <v>705</v>
      </c>
      <c r="I143">
        <f>'Cash Flow Statement'!E9</f>
        <v>1930</v>
      </c>
      <c r="J143">
        <v>1930</v>
      </c>
      <c r="K143">
        <v>0.01</v>
      </c>
      <c r="M143" t="s">
        <v>909</v>
      </c>
      <c r="O143" t="s">
        <v>358</v>
      </c>
      <c r="P143" t="s">
        <v>179</v>
      </c>
      <c r="Q143">
        <v>30</v>
      </c>
      <c r="R143">
        <v>3</v>
      </c>
      <c r="S143" t="s">
        <v>371</v>
      </c>
    </row>
    <row r="144" spans="1:19" x14ac:dyDescent="0.2">
      <c r="A144" t="s">
        <v>916</v>
      </c>
      <c r="B144">
        <v>143</v>
      </c>
      <c r="C144" t="s">
        <v>89</v>
      </c>
      <c r="D144" t="s">
        <v>905</v>
      </c>
      <c r="E144" t="s">
        <v>917</v>
      </c>
      <c r="F144" t="s">
        <v>907</v>
      </c>
      <c r="G144" t="s">
        <v>90</v>
      </c>
      <c r="H144" t="s">
        <v>709</v>
      </c>
      <c r="I144">
        <f>'Cash Flow Statement'!F9</f>
        <v>2070</v>
      </c>
      <c r="J144">
        <v>2070</v>
      </c>
      <c r="K144">
        <v>0.01</v>
      </c>
      <c r="M144" t="s">
        <v>909</v>
      </c>
      <c r="O144" t="s">
        <v>358</v>
      </c>
      <c r="P144" t="s">
        <v>179</v>
      </c>
      <c r="Q144">
        <v>30</v>
      </c>
      <c r="R144">
        <v>4</v>
      </c>
      <c r="S144" t="s">
        <v>375</v>
      </c>
    </row>
    <row r="145" spans="1:19" x14ac:dyDescent="0.2">
      <c r="A145" t="s">
        <v>918</v>
      </c>
      <c r="B145">
        <v>144</v>
      </c>
      <c r="C145" t="s">
        <v>92</v>
      </c>
      <c r="D145" t="s">
        <v>919</v>
      </c>
      <c r="E145" t="s">
        <v>920</v>
      </c>
      <c r="F145" t="s">
        <v>907</v>
      </c>
      <c r="G145" t="s">
        <v>90</v>
      </c>
      <c r="H145" t="s">
        <v>921</v>
      </c>
      <c r="I145">
        <f>IF(B6=0,NA(),B5/B6)</f>
        <v>0.8</v>
      </c>
      <c r="J145">
        <v>0.52536231884057971</v>
      </c>
      <c r="K145">
        <v>0.01</v>
      </c>
      <c r="L145" t="s">
        <v>922</v>
      </c>
      <c r="M145" t="s">
        <v>923</v>
      </c>
      <c r="O145" t="s">
        <v>358</v>
      </c>
      <c r="P145" t="s">
        <v>181</v>
      </c>
      <c r="Q145">
        <v>31</v>
      </c>
      <c r="R145">
        <v>0</v>
      </c>
      <c r="S145" t="s">
        <v>359</v>
      </c>
    </row>
    <row r="146" spans="1:19" x14ac:dyDescent="0.2">
      <c r="A146" t="s">
        <v>924</v>
      </c>
      <c r="B146">
        <v>145</v>
      </c>
      <c r="C146" t="s">
        <v>92</v>
      </c>
      <c r="D146" t="s">
        <v>919</v>
      </c>
      <c r="E146" t="s">
        <v>925</v>
      </c>
      <c r="F146" t="s">
        <v>907</v>
      </c>
      <c r="G146" t="s">
        <v>90</v>
      </c>
      <c r="H146" t="s">
        <v>736</v>
      </c>
      <c r="I146" t="e">
        <f>IF(C6=0,NA(),C5/C6)</f>
        <v>#VALUE!</v>
      </c>
      <c r="J146">
        <v>0.53547523427041499</v>
      </c>
      <c r="K146">
        <v>0.01</v>
      </c>
      <c r="L146" t="s">
        <v>926</v>
      </c>
      <c r="M146" t="s">
        <v>923</v>
      </c>
      <c r="O146" t="s">
        <v>358</v>
      </c>
      <c r="P146" t="s">
        <v>181</v>
      </c>
      <c r="Q146">
        <v>31</v>
      </c>
      <c r="R146">
        <v>1</v>
      </c>
      <c r="S146" t="s">
        <v>363</v>
      </c>
    </row>
    <row r="147" spans="1:19" x14ac:dyDescent="0.2">
      <c r="A147" t="s">
        <v>927</v>
      </c>
      <c r="B147">
        <v>146</v>
      </c>
      <c r="C147" t="s">
        <v>92</v>
      </c>
      <c r="D147" t="s">
        <v>919</v>
      </c>
      <c r="E147" t="s">
        <v>928</v>
      </c>
      <c r="F147" t="s">
        <v>907</v>
      </c>
      <c r="G147" t="s">
        <v>90</v>
      </c>
      <c r="H147" t="s">
        <v>741</v>
      </c>
      <c r="I147" t="e">
        <f>IF(D6=0,NA(),D5/D6)</f>
        <v>#VALUE!</v>
      </c>
      <c r="J147">
        <v>0.53304904051172708</v>
      </c>
      <c r="K147">
        <v>0.01</v>
      </c>
      <c r="L147" t="s">
        <v>929</v>
      </c>
      <c r="M147" t="s">
        <v>923</v>
      </c>
      <c r="O147" t="s">
        <v>358</v>
      </c>
      <c r="P147" t="s">
        <v>181</v>
      </c>
      <c r="Q147">
        <v>31</v>
      </c>
      <c r="R147">
        <v>2</v>
      </c>
      <c r="S147" t="s">
        <v>367</v>
      </c>
    </row>
    <row r="148" spans="1:19" x14ac:dyDescent="0.2">
      <c r="A148" t="s">
        <v>930</v>
      </c>
      <c r="B148">
        <v>147</v>
      </c>
      <c r="C148" t="s">
        <v>92</v>
      </c>
      <c r="D148" t="s">
        <v>919</v>
      </c>
      <c r="E148" t="s">
        <v>931</v>
      </c>
      <c r="F148" t="s">
        <v>907</v>
      </c>
      <c r="G148" t="s">
        <v>90</v>
      </c>
      <c r="H148" t="s">
        <v>745</v>
      </c>
      <c r="I148" t="e">
        <f>IF(E6=0,NA(),E5/E6)</f>
        <v>#VALUE!</v>
      </c>
      <c r="J148">
        <v>0.52963776070252466</v>
      </c>
      <c r="K148">
        <v>0.01</v>
      </c>
      <c r="L148" t="s">
        <v>932</v>
      </c>
      <c r="M148" t="s">
        <v>923</v>
      </c>
      <c r="O148" t="s">
        <v>358</v>
      </c>
      <c r="P148" t="s">
        <v>181</v>
      </c>
      <c r="Q148">
        <v>31</v>
      </c>
      <c r="R148">
        <v>3</v>
      </c>
      <c r="S148" t="s">
        <v>371</v>
      </c>
    </row>
    <row r="149" spans="1:19" x14ac:dyDescent="0.2">
      <c r="A149" t="s">
        <v>933</v>
      </c>
      <c r="B149">
        <v>148</v>
      </c>
      <c r="C149" t="s">
        <v>92</v>
      </c>
      <c r="D149" t="s">
        <v>919</v>
      </c>
      <c r="E149" t="s">
        <v>934</v>
      </c>
      <c r="F149" t="s">
        <v>907</v>
      </c>
      <c r="G149" t="s">
        <v>90</v>
      </c>
      <c r="H149" t="s">
        <v>749</v>
      </c>
      <c r="I149" t="e">
        <f>IF(F6=0,NA(),F5/F6)</f>
        <v>#VALUE!</v>
      </c>
      <c r="J149">
        <v>0.50834970530451862</v>
      </c>
      <c r="K149">
        <v>0.01</v>
      </c>
      <c r="L149" t="s">
        <v>935</v>
      </c>
      <c r="M149" t="s">
        <v>923</v>
      </c>
      <c r="O149" t="s">
        <v>358</v>
      </c>
      <c r="P149" t="s">
        <v>181</v>
      </c>
      <c r="Q149">
        <v>31</v>
      </c>
      <c r="R149">
        <v>4</v>
      </c>
      <c r="S149" t="s">
        <v>375</v>
      </c>
    </row>
    <row r="150" spans="1:19" x14ac:dyDescent="0.2">
      <c r="A150" t="s">
        <v>936</v>
      </c>
      <c r="B150">
        <v>149</v>
      </c>
      <c r="C150" t="s">
        <v>95</v>
      </c>
      <c r="D150" t="s">
        <v>937</v>
      </c>
      <c r="E150" t="s">
        <v>938</v>
      </c>
      <c r="F150" t="s">
        <v>907</v>
      </c>
      <c r="G150" t="s">
        <v>90</v>
      </c>
      <c r="H150" t="s">
        <v>939</v>
      </c>
      <c r="I150">
        <f>B6-B5</f>
        <v>1</v>
      </c>
      <c r="J150">
        <v>1310</v>
      </c>
      <c r="K150">
        <v>0.01</v>
      </c>
      <c r="L150" t="s">
        <v>922</v>
      </c>
      <c r="M150" t="s">
        <v>940</v>
      </c>
      <c r="O150" t="s">
        <v>358</v>
      </c>
      <c r="P150" t="s">
        <v>183</v>
      </c>
      <c r="Q150">
        <v>32</v>
      </c>
      <c r="R150">
        <v>0</v>
      </c>
      <c r="S150" t="s">
        <v>359</v>
      </c>
    </row>
    <row r="151" spans="1:19" x14ac:dyDescent="0.2">
      <c r="A151" t="s">
        <v>941</v>
      </c>
      <c r="B151">
        <v>150</v>
      </c>
      <c r="C151" t="s">
        <v>95</v>
      </c>
      <c r="D151" t="s">
        <v>937</v>
      </c>
      <c r="E151" t="s">
        <v>942</v>
      </c>
      <c r="F151" t="s">
        <v>907</v>
      </c>
      <c r="G151" t="s">
        <v>90</v>
      </c>
      <c r="H151" t="s">
        <v>754</v>
      </c>
      <c r="I151" t="e">
        <f>C6-C5</f>
        <v>#VALUE!</v>
      </c>
      <c r="J151">
        <v>1388</v>
      </c>
      <c r="K151">
        <v>0.01</v>
      </c>
      <c r="L151" t="s">
        <v>926</v>
      </c>
      <c r="M151" t="s">
        <v>940</v>
      </c>
      <c r="O151" t="s">
        <v>358</v>
      </c>
      <c r="P151" t="s">
        <v>183</v>
      </c>
      <c r="Q151">
        <v>32</v>
      </c>
      <c r="R151">
        <v>1</v>
      </c>
      <c r="S151" t="s">
        <v>363</v>
      </c>
    </row>
    <row r="152" spans="1:19" x14ac:dyDescent="0.2">
      <c r="A152" t="s">
        <v>943</v>
      </c>
      <c r="B152">
        <v>151</v>
      </c>
      <c r="C152" t="s">
        <v>95</v>
      </c>
      <c r="D152" t="s">
        <v>937</v>
      </c>
      <c r="E152" t="s">
        <v>944</v>
      </c>
      <c r="F152" t="s">
        <v>907</v>
      </c>
      <c r="G152" t="s">
        <v>90</v>
      </c>
      <c r="H152" t="s">
        <v>760</v>
      </c>
      <c r="I152" t="e">
        <f>D6-D5</f>
        <v>#VALUE!</v>
      </c>
      <c r="J152">
        <v>1533</v>
      </c>
      <c r="K152">
        <v>0.01</v>
      </c>
      <c r="L152" t="s">
        <v>929</v>
      </c>
      <c r="M152" t="s">
        <v>940</v>
      </c>
      <c r="O152" t="s">
        <v>358</v>
      </c>
      <c r="P152" t="s">
        <v>183</v>
      </c>
      <c r="Q152">
        <v>32</v>
      </c>
      <c r="R152">
        <v>2</v>
      </c>
      <c r="S152" t="s">
        <v>367</v>
      </c>
    </row>
    <row r="153" spans="1:19" x14ac:dyDescent="0.2">
      <c r="A153" t="s">
        <v>945</v>
      </c>
      <c r="B153">
        <v>152</v>
      </c>
      <c r="C153" t="s">
        <v>95</v>
      </c>
      <c r="D153" t="s">
        <v>937</v>
      </c>
      <c r="E153" t="s">
        <v>946</v>
      </c>
      <c r="F153" t="s">
        <v>907</v>
      </c>
      <c r="G153" t="s">
        <v>90</v>
      </c>
      <c r="H153" t="s">
        <v>764</v>
      </c>
      <c r="I153" t="e">
        <f>E6-E5</f>
        <v>#VALUE!</v>
      </c>
      <c r="J153">
        <v>1714</v>
      </c>
      <c r="K153">
        <v>0.01</v>
      </c>
      <c r="L153" t="s">
        <v>932</v>
      </c>
      <c r="M153" t="s">
        <v>940</v>
      </c>
      <c r="O153" t="s">
        <v>358</v>
      </c>
      <c r="P153" t="s">
        <v>183</v>
      </c>
      <c r="Q153">
        <v>32</v>
      </c>
      <c r="R153">
        <v>3</v>
      </c>
      <c r="S153" t="s">
        <v>371</v>
      </c>
    </row>
    <row r="154" spans="1:19" x14ac:dyDescent="0.2">
      <c r="A154" t="s">
        <v>947</v>
      </c>
      <c r="B154">
        <v>153</v>
      </c>
      <c r="C154" t="s">
        <v>95</v>
      </c>
      <c r="D154" t="s">
        <v>937</v>
      </c>
      <c r="E154" t="s">
        <v>948</v>
      </c>
      <c r="F154" t="s">
        <v>907</v>
      </c>
      <c r="G154" t="s">
        <v>90</v>
      </c>
      <c r="H154" t="s">
        <v>768</v>
      </c>
      <c r="I154" t="e">
        <f>F6-F5</f>
        <v>#VALUE!</v>
      </c>
      <c r="J154">
        <v>2002</v>
      </c>
      <c r="K154">
        <v>0.01</v>
      </c>
      <c r="L154" t="s">
        <v>935</v>
      </c>
      <c r="M154" t="s">
        <v>940</v>
      </c>
      <c r="O154" t="s">
        <v>358</v>
      </c>
      <c r="P154" t="s">
        <v>183</v>
      </c>
      <c r="Q154">
        <v>32</v>
      </c>
      <c r="R154">
        <v>4</v>
      </c>
      <c r="S154" t="s">
        <v>375</v>
      </c>
    </row>
    <row r="155" spans="1:19" x14ac:dyDescent="0.2">
      <c r="A155" t="s">
        <v>949</v>
      </c>
      <c r="B155">
        <v>154</v>
      </c>
      <c r="C155" t="s">
        <v>97</v>
      </c>
      <c r="D155" t="s">
        <v>950</v>
      </c>
      <c r="E155" t="s">
        <v>951</v>
      </c>
      <c r="F155" t="s">
        <v>907</v>
      </c>
      <c r="G155" t="s">
        <v>90</v>
      </c>
      <c r="H155" t="s">
        <v>811</v>
      </c>
      <c r="I155" t="e">
        <f>(B10+C10)/2</f>
        <v>#VALUE!</v>
      </c>
      <c r="J155">
        <v>8850</v>
      </c>
      <c r="K155">
        <v>0.01</v>
      </c>
      <c r="M155" t="s">
        <v>952</v>
      </c>
      <c r="O155" t="s">
        <v>358</v>
      </c>
      <c r="P155" t="s">
        <v>953</v>
      </c>
      <c r="Q155">
        <v>33</v>
      </c>
      <c r="R155">
        <v>1</v>
      </c>
      <c r="S155" t="s">
        <v>363</v>
      </c>
    </row>
    <row r="156" spans="1:19" x14ac:dyDescent="0.2">
      <c r="A156" t="s">
        <v>954</v>
      </c>
      <c r="B156">
        <v>155</v>
      </c>
      <c r="C156" t="s">
        <v>97</v>
      </c>
      <c r="D156" t="s">
        <v>950</v>
      </c>
      <c r="E156" t="s">
        <v>955</v>
      </c>
      <c r="F156" t="s">
        <v>907</v>
      </c>
      <c r="G156" t="s">
        <v>90</v>
      </c>
      <c r="H156" t="s">
        <v>816</v>
      </c>
      <c r="I156" t="e">
        <f>(C10+D10)/2</f>
        <v>#VALUE!</v>
      </c>
      <c r="J156">
        <v>9650</v>
      </c>
      <c r="K156">
        <v>0.01</v>
      </c>
      <c r="M156" t="s">
        <v>952</v>
      </c>
      <c r="O156" t="s">
        <v>358</v>
      </c>
      <c r="P156" t="s">
        <v>953</v>
      </c>
      <c r="Q156">
        <v>33</v>
      </c>
      <c r="R156">
        <v>2</v>
      </c>
      <c r="S156" t="s">
        <v>367</v>
      </c>
    </row>
    <row r="157" spans="1:19" x14ac:dyDescent="0.2">
      <c r="A157" t="s">
        <v>956</v>
      </c>
      <c r="B157">
        <v>156</v>
      </c>
      <c r="C157" t="s">
        <v>97</v>
      </c>
      <c r="D157" t="s">
        <v>950</v>
      </c>
      <c r="E157" t="s">
        <v>957</v>
      </c>
      <c r="F157" t="s">
        <v>907</v>
      </c>
      <c r="G157" t="s">
        <v>90</v>
      </c>
      <c r="H157" t="s">
        <v>820</v>
      </c>
      <c r="I157" t="e">
        <f>(D10+E10)/2</f>
        <v>#VALUE!</v>
      </c>
      <c r="J157">
        <v>10650</v>
      </c>
      <c r="K157">
        <v>0.01</v>
      </c>
      <c r="M157" t="s">
        <v>952</v>
      </c>
      <c r="O157" t="s">
        <v>358</v>
      </c>
      <c r="P157" t="s">
        <v>953</v>
      </c>
      <c r="Q157">
        <v>33</v>
      </c>
      <c r="R157">
        <v>3</v>
      </c>
      <c r="S157" t="s">
        <v>371</v>
      </c>
    </row>
    <row r="158" spans="1:19" x14ac:dyDescent="0.2">
      <c r="A158" t="s">
        <v>958</v>
      </c>
      <c r="B158">
        <v>157</v>
      </c>
      <c r="C158" t="s">
        <v>97</v>
      </c>
      <c r="D158" t="s">
        <v>950</v>
      </c>
      <c r="E158" t="s">
        <v>959</v>
      </c>
      <c r="F158" t="s">
        <v>907</v>
      </c>
      <c r="G158" t="s">
        <v>90</v>
      </c>
      <c r="H158" t="s">
        <v>824</v>
      </c>
      <c r="I158" t="e">
        <f>(E10+F10)/2</f>
        <v>#VALUE!</v>
      </c>
      <c r="J158">
        <v>11850</v>
      </c>
      <c r="K158">
        <v>0.01</v>
      </c>
      <c r="M158" t="s">
        <v>952</v>
      </c>
      <c r="O158" t="s">
        <v>358</v>
      </c>
      <c r="P158" t="s">
        <v>953</v>
      </c>
      <c r="Q158">
        <v>33</v>
      </c>
      <c r="R158">
        <v>4</v>
      </c>
      <c r="S158" t="s">
        <v>375</v>
      </c>
    </row>
    <row r="159" spans="1:19" x14ac:dyDescent="0.2">
      <c r="A159" t="s">
        <v>960</v>
      </c>
      <c r="B159">
        <v>158</v>
      </c>
      <c r="C159" t="s">
        <v>98</v>
      </c>
      <c r="D159" t="s">
        <v>961</v>
      </c>
      <c r="E159" t="s">
        <v>962</v>
      </c>
      <c r="F159" t="s">
        <v>907</v>
      </c>
      <c r="G159" t="s">
        <v>90</v>
      </c>
      <c r="H159" t="s">
        <v>829</v>
      </c>
      <c r="I159" t="e">
        <f>IF(C11=0,NA(),C8/C11)</f>
        <v>#VALUE!</v>
      </c>
      <c r="J159">
        <v>0.1568361581920904</v>
      </c>
      <c r="K159">
        <v>0.01</v>
      </c>
      <c r="L159" t="s">
        <v>963</v>
      </c>
      <c r="M159" t="s">
        <v>964</v>
      </c>
      <c r="O159" t="s">
        <v>358</v>
      </c>
      <c r="P159" t="s">
        <v>186</v>
      </c>
      <c r="Q159">
        <v>34</v>
      </c>
      <c r="R159">
        <v>1</v>
      </c>
      <c r="S159" t="s">
        <v>363</v>
      </c>
    </row>
    <row r="160" spans="1:19" x14ac:dyDescent="0.2">
      <c r="A160" t="s">
        <v>965</v>
      </c>
      <c r="B160">
        <v>159</v>
      </c>
      <c r="C160" t="s">
        <v>98</v>
      </c>
      <c r="D160" t="s">
        <v>961</v>
      </c>
      <c r="E160" t="s">
        <v>966</v>
      </c>
      <c r="F160" t="s">
        <v>907</v>
      </c>
      <c r="G160" t="s">
        <v>90</v>
      </c>
      <c r="H160" t="s">
        <v>835</v>
      </c>
      <c r="I160" t="e">
        <f>IF(D11=0,NA(),D8/D11)</f>
        <v>#VALUE!</v>
      </c>
      <c r="J160">
        <v>0.158860103626943</v>
      </c>
      <c r="K160">
        <v>0.01</v>
      </c>
      <c r="L160" t="s">
        <v>967</v>
      </c>
      <c r="M160" t="s">
        <v>964</v>
      </c>
      <c r="O160" t="s">
        <v>358</v>
      </c>
      <c r="P160" t="s">
        <v>186</v>
      </c>
      <c r="Q160">
        <v>34</v>
      </c>
      <c r="R160">
        <v>2</v>
      </c>
      <c r="S160" t="s">
        <v>367</v>
      </c>
    </row>
    <row r="161" spans="1:19" x14ac:dyDescent="0.2">
      <c r="A161" t="s">
        <v>968</v>
      </c>
      <c r="B161">
        <v>160</v>
      </c>
      <c r="C161" t="s">
        <v>98</v>
      </c>
      <c r="D161" t="s">
        <v>961</v>
      </c>
      <c r="E161" t="s">
        <v>969</v>
      </c>
      <c r="F161" t="s">
        <v>907</v>
      </c>
      <c r="G161" t="s">
        <v>90</v>
      </c>
      <c r="H161" t="s">
        <v>839</v>
      </c>
      <c r="I161" t="e">
        <f>IF(E11=0,NA(),E8/E11)</f>
        <v>#VALUE!</v>
      </c>
      <c r="J161">
        <v>0.16093896713615019</v>
      </c>
      <c r="K161">
        <v>0.01</v>
      </c>
      <c r="L161" t="s">
        <v>970</v>
      </c>
      <c r="M161" t="s">
        <v>964</v>
      </c>
      <c r="O161" t="s">
        <v>358</v>
      </c>
      <c r="P161" t="s">
        <v>186</v>
      </c>
      <c r="Q161">
        <v>34</v>
      </c>
      <c r="R161">
        <v>3</v>
      </c>
      <c r="S161" t="s">
        <v>371</v>
      </c>
    </row>
    <row r="162" spans="1:19" x14ac:dyDescent="0.2">
      <c r="A162" t="s">
        <v>971</v>
      </c>
      <c r="B162">
        <v>161</v>
      </c>
      <c r="C162" t="s">
        <v>98</v>
      </c>
      <c r="D162" t="s">
        <v>961</v>
      </c>
      <c r="E162" t="s">
        <v>972</v>
      </c>
      <c r="F162" t="s">
        <v>907</v>
      </c>
      <c r="G162" t="s">
        <v>90</v>
      </c>
      <c r="H162" t="s">
        <v>843</v>
      </c>
      <c r="I162" t="e">
        <f>IF(F11=0,NA(),F8/F11)</f>
        <v>#VALUE!</v>
      </c>
      <c r="J162">
        <v>0.16894514767932489</v>
      </c>
      <c r="K162">
        <v>0.01</v>
      </c>
      <c r="L162" t="s">
        <v>973</v>
      </c>
      <c r="M162" t="s">
        <v>964</v>
      </c>
      <c r="O162" t="s">
        <v>358</v>
      </c>
      <c r="P162" t="s">
        <v>186</v>
      </c>
      <c r="Q162">
        <v>34</v>
      </c>
      <c r="R162">
        <v>4</v>
      </c>
      <c r="S162" t="s">
        <v>375</v>
      </c>
    </row>
    <row r="163" spans="1:19" x14ac:dyDescent="0.2">
      <c r="A163" t="s">
        <v>974</v>
      </c>
      <c r="B163">
        <v>162</v>
      </c>
      <c r="C163" t="s">
        <v>100</v>
      </c>
      <c r="D163" t="s">
        <v>975</v>
      </c>
      <c r="E163" t="s">
        <v>976</v>
      </c>
      <c r="F163" t="s">
        <v>977</v>
      </c>
      <c r="G163" t="s">
        <v>101</v>
      </c>
      <c r="H163" t="s">
        <v>978</v>
      </c>
      <c r="I163">
        <f>IF(B6=0,NA(),B7/B6)</f>
        <v>1.2</v>
      </c>
      <c r="J163">
        <v>0.18</v>
      </c>
      <c r="K163">
        <v>0.01</v>
      </c>
      <c r="M163" t="s">
        <v>979</v>
      </c>
      <c r="O163" t="s">
        <v>358</v>
      </c>
      <c r="P163" t="s">
        <v>980</v>
      </c>
      <c r="Q163">
        <v>35</v>
      </c>
      <c r="R163">
        <v>0</v>
      </c>
      <c r="S163" t="s">
        <v>359</v>
      </c>
    </row>
    <row r="164" spans="1:19" x14ac:dyDescent="0.2">
      <c r="A164" t="s">
        <v>981</v>
      </c>
      <c r="B164">
        <v>163</v>
      </c>
      <c r="C164" t="s">
        <v>100</v>
      </c>
      <c r="D164" t="s">
        <v>975</v>
      </c>
      <c r="E164" t="s">
        <v>982</v>
      </c>
      <c r="F164" t="s">
        <v>977</v>
      </c>
      <c r="G164" t="s">
        <v>101</v>
      </c>
      <c r="H164" t="s">
        <v>811</v>
      </c>
      <c r="I164" t="e">
        <f>IF(C6=0,NA(),C7/C6)</f>
        <v>#VALUE!</v>
      </c>
      <c r="J164">
        <v>0.18</v>
      </c>
      <c r="K164">
        <v>0.01</v>
      </c>
      <c r="M164" t="s">
        <v>979</v>
      </c>
      <c r="O164" t="s">
        <v>358</v>
      </c>
      <c r="P164" t="s">
        <v>980</v>
      </c>
      <c r="Q164">
        <v>35</v>
      </c>
      <c r="R164">
        <v>1</v>
      </c>
      <c r="S164" t="s">
        <v>363</v>
      </c>
    </row>
    <row r="165" spans="1:19" x14ac:dyDescent="0.2">
      <c r="A165" t="s">
        <v>983</v>
      </c>
      <c r="B165">
        <v>164</v>
      </c>
      <c r="C165" t="s">
        <v>100</v>
      </c>
      <c r="D165" t="s">
        <v>975</v>
      </c>
      <c r="E165" t="s">
        <v>984</v>
      </c>
      <c r="F165" t="s">
        <v>977</v>
      </c>
      <c r="G165" t="s">
        <v>101</v>
      </c>
      <c r="H165" t="s">
        <v>816</v>
      </c>
      <c r="I165" t="e">
        <f>IF(D6=0,NA(),D7/D6)</f>
        <v>#VALUE!</v>
      </c>
      <c r="J165">
        <v>0.18</v>
      </c>
      <c r="K165">
        <v>0.01</v>
      </c>
      <c r="M165" t="s">
        <v>979</v>
      </c>
      <c r="O165" t="s">
        <v>358</v>
      </c>
      <c r="P165" t="s">
        <v>980</v>
      </c>
      <c r="Q165">
        <v>35</v>
      </c>
      <c r="R165">
        <v>2</v>
      </c>
      <c r="S165" t="s">
        <v>367</v>
      </c>
    </row>
    <row r="166" spans="1:19" x14ac:dyDescent="0.2">
      <c r="A166" t="s">
        <v>985</v>
      </c>
      <c r="B166">
        <v>165</v>
      </c>
      <c r="C166" t="s">
        <v>100</v>
      </c>
      <c r="D166" t="s">
        <v>975</v>
      </c>
      <c r="E166" t="s">
        <v>986</v>
      </c>
      <c r="F166" t="s">
        <v>977</v>
      </c>
      <c r="G166" t="s">
        <v>101</v>
      </c>
      <c r="H166" t="s">
        <v>820</v>
      </c>
      <c r="I166" t="e">
        <f>IF(E6=0,NA(),E7/E6)</f>
        <v>#VALUE!</v>
      </c>
      <c r="J166">
        <v>0.18</v>
      </c>
      <c r="K166">
        <v>0.01</v>
      </c>
      <c r="M166" t="s">
        <v>979</v>
      </c>
      <c r="O166" t="s">
        <v>358</v>
      </c>
      <c r="P166" t="s">
        <v>980</v>
      </c>
      <c r="Q166">
        <v>35</v>
      </c>
      <c r="R166">
        <v>3</v>
      </c>
      <c r="S166" t="s">
        <v>371</v>
      </c>
    </row>
    <row r="167" spans="1:19" x14ac:dyDescent="0.2">
      <c r="A167" t="s">
        <v>987</v>
      </c>
      <c r="B167">
        <v>166</v>
      </c>
      <c r="C167" t="s">
        <v>100</v>
      </c>
      <c r="D167" t="s">
        <v>975</v>
      </c>
      <c r="E167" t="s">
        <v>988</v>
      </c>
      <c r="F167" t="s">
        <v>977</v>
      </c>
      <c r="G167" t="s">
        <v>101</v>
      </c>
      <c r="H167" t="s">
        <v>824</v>
      </c>
      <c r="I167" t="e">
        <f>IF(F6=0,NA(),F7/F6)</f>
        <v>#VALUE!</v>
      </c>
      <c r="J167">
        <v>0.18</v>
      </c>
      <c r="K167">
        <v>0.01</v>
      </c>
      <c r="M167" t="s">
        <v>979</v>
      </c>
      <c r="O167" t="s">
        <v>358</v>
      </c>
      <c r="P167" t="s">
        <v>980</v>
      </c>
      <c r="Q167">
        <v>35</v>
      </c>
      <c r="R167">
        <v>4</v>
      </c>
      <c r="S167" t="s">
        <v>375</v>
      </c>
    </row>
    <row r="168" spans="1:19" x14ac:dyDescent="0.2">
      <c r="A168" t="s">
        <v>989</v>
      </c>
      <c r="B168">
        <v>167</v>
      </c>
      <c r="C168" t="s">
        <v>103</v>
      </c>
      <c r="D168" t="s">
        <v>990</v>
      </c>
      <c r="E168" t="s">
        <v>991</v>
      </c>
      <c r="F168" t="s">
        <v>977</v>
      </c>
      <c r="G168" t="s">
        <v>101</v>
      </c>
      <c r="H168" t="s">
        <v>992</v>
      </c>
      <c r="I168">
        <f>IF(B6=0,NA(),B8/B6)</f>
        <v>1.4</v>
      </c>
      <c r="J168">
        <v>7.0000000000000007E-2</v>
      </c>
      <c r="K168">
        <v>0.01</v>
      </c>
      <c r="M168" t="s">
        <v>993</v>
      </c>
      <c r="O168" t="s">
        <v>358</v>
      </c>
      <c r="P168" t="s">
        <v>994</v>
      </c>
      <c r="Q168">
        <v>36</v>
      </c>
      <c r="R168">
        <v>0</v>
      </c>
      <c r="S168" t="s">
        <v>359</v>
      </c>
    </row>
    <row r="169" spans="1:19" x14ac:dyDescent="0.2">
      <c r="A169" t="s">
        <v>995</v>
      </c>
      <c r="B169">
        <v>168</v>
      </c>
      <c r="C169" t="s">
        <v>103</v>
      </c>
      <c r="D169" t="s">
        <v>990</v>
      </c>
      <c r="E169" t="s">
        <v>996</v>
      </c>
      <c r="F169" t="s">
        <v>977</v>
      </c>
      <c r="G169" t="s">
        <v>101</v>
      </c>
      <c r="H169" t="s">
        <v>829</v>
      </c>
      <c r="I169" t="e">
        <f>IF(C6=0,NA(),C8/C6)</f>
        <v>#VALUE!</v>
      </c>
      <c r="J169">
        <v>7.0000000000000007E-2</v>
      </c>
      <c r="K169">
        <v>0.01</v>
      </c>
      <c r="M169" t="s">
        <v>993</v>
      </c>
      <c r="O169" t="s">
        <v>358</v>
      </c>
      <c r="P169" t="s">
        <v>994</v>
      </c>
      <c r="Q169">
        <v>36</v>
      </c>
      <c r="R169">
        <v>1</v>
      </c>
      <c r="S169" t="s">
        <v>363</v>
      </c>
    </row>
    <row r="170" spans="1:19" x14ac:dyDescent="0.2">
      <c r="A170" t="s">
        <v>997</v>
      </c>
      <c r="B170">
        <v>169</v>
      </c>
      <c r="C170" t="s">
        <v>103</v>
      </c>
      <c r="D170" t="s">
        <v>990</v>
      </c>
      <c r="E170" t="s">
        <v>998</v>
      </c>
      <c r="F170" t="s">
        <v>977</v>
      </c>
      <c r="G170" t="s">
        <v>101</v>
      </c>
      <c r="H170" t="s">
        <v>835</v>
      </c>
      <c r="I170" t="e">
        <f>IF(D6=0,NA(),D8/D6)</f>
        <v>#VALUE!</v>
      </c>
      <c r="J170">
        <v>7.0000000000000007E-2</v>
      </c>
      <c r="K170">
        <v>0.01</v>
      </c>
      <c r="M170" t="s">
        <v>993</v>
      </c>
      <c r="O170" t="s">
        <v>358</v>
      </c>
      <c r="P170" t="s">
        <v>994</v>
      </c>
      <c r="Q170">
        <v>36</v>
      </c>
      <c r="R170">
        <v>2</v>
      </c>
      <c r="S170" t="s">
        <v>367</v>
      </c>
    </row>
    <row r="171" spans="1:19" x14ac:dyDescent="0.2">
      <c r="A171" t="s">
        <v>999</v>
      </c>
      <c r="B171">
        <v>170</v>
      </c>
      <c r="C171" t="s">
        <v>103</v>
      </c>
      <c r="D171" t="s">
        <v>990</v>
      </c>
      <c r="E171" t="s">
        <v>1000</v>
      </c>
      <c r="F171" t="s">
        <v>977</v>
      </c>
      <c r="G171" t="s">
        <v>101</v>
      </c>
      <c r="H171" t="s">
        <v>839</v>
      </c>
      <c r="I171" t="e">
        <f>IF(E6=0,NA(),E8/E6)</f>
        <v>#VALUE!</v>
      </c>
      <c r="J171">
        <v>7.0000000000000007E-2</v>
      </c>
      <c r="K171">
        <v>0.01</v>
      </c>
      <c r="M171" t="s">
        <v>993</v>
      </c>
      <c r="O171" t="s">
        <v>358</v>
      </c>
      <c r="P171" t="s">
        <v>994</v>
      </c>
      <c r="Q171">
        <v>36</v>
      </c>
      <c r="R171">
        <v>3</v>
      </c>
      <c r="S171" t="s">
        <v>371</v>
      </c>
    </row>
    <row r="172" spans="1:19" x14ac:dyDescent="0.2">
      <c r="A172" t="s">
        <v>1001</v>
      </c>
      <c r="B172">
        <v>171</v>
      </c>
      <c r="C172" t="s">
        <v>103</v>
      </c>
      <c r="D172" t="s">
        <v>990</v>
      </c>
      <c r="E172" t="s">
        <v>1002</v>
      </c>
      <c r="F172" t="s">
        <v>977</v>
      </c>
      <c r="G172" t="s">
        <v>101</v>
      </c>
      <c r="H172" t="s">
        <v>843</v>
      </c>
      <c r="I172" t="e">
        <f>IF(F6=0,NA(),F8/F6)</f>
        <v>#VALUE!</v>
      </c>
      <c r="J172">
        <v>7.0000000000000007E-2</v>
      </c>
      <c r="K172">
        <v>0.01</v>
      </c>
      <c r="M172" t="s">
        <v>993</v>
      </c>
      <c r="O172" t="s">
        <v>358</v>
      </c>
      <c r="P172" t="s">
        <v>994</v>
      </c>
      <c r="Q172">
        <v>36</v>
      </c>
      <c r="R172">
        <v>4</v>
      </c>
      <c r="S172" t="s">
        <v>375</v>
      </c>
    </row>
    <row r="173" spans="1:19" x14ac:dyDescent="0.2">
      <c r="A173" t="s">
        <v>1003</v>
      </c>
      <c r="B173">
        <v>172</v>
      </c>
      <c r="C173" t="s">
        <v>105</v>
      </c>
      <c r="D173" t="s">
        <v>1004</v>
      </c>
      <c r="E173" t="s">
        <v>1005</v>
      </c>
      <c r="F173" t="s">
        <v>977</v>
      </c>
      <c r="G173" t="s">
        <v>101</v>
      </c>
      <c r="H173" t="s">
        <v>1006</v>
      </c>
      <c r="I173">
        <f>IF(B6=0,NA(),B9/B6)</f>
        <v>1.6</v>
      </c>
      <c r="J173">
        <v>0.11</v>
      </c>
      <c r="K173">
        <v>0.01</v>
      </c>
      <c r="M173" t="s">
        <v>1007</v>
      </c>
      <c r="O173" t="s">
        <v>358</v>
      </c>
      <c r="P173" t="s">
        <v>1008</v>
      </c>
      <c r="Q173">
        <v>37</v>
      </c>
      <c r="R173">
        <v>0</v>
      </c>
      <c r="S173" t="s">
        <v>359</v>
      </c>
    </row>
    <row r="174" spans="1:19" x14ac:dyDescent="0.2">
      <c r="A174" t="s">
        <v>1009</v>
      </c>
      <c r="B174">
        <v>173</v>
      </c>
      <c r="C174" t="s">
        <v>105</v>
      </c>
      <c r="D174" t="s">
        <v>1004</v>
      </c>
      <c r="E174" t="s">
        <v>1010</v>
      </c>
      <c r="F174" t="s">
        <v>977</v>
      </c>
      <c r="G174" t="s">
        <v>101</v>
      </c>
      <c r="H174" t="s">
        <v>889</v>
      </c>
      <c r="I174" t="e">
        <f>IF(C6=0,NA(),C9/C6)</f>
        <v>#VALUE!</v>
      </c>
      <c r="J174">
        <v>0.11</v>
      </c>
      <c r="K174">
        <v>0.01</v>
      </c>
      <c r="M174" t="s">
        <v>1007</v>
      </c>
      <c r="O174" t="s">
        <v>358</v>
      </c>
      <c r="P174" t="s">
        <v>1008</v>
      </c>
      <c r="Q174">
        <v>37</v>
      </c>
      <c r="R174">
        <v>1</v>
      </c>
      <c r="S174" t="s">
        <v>363</v>
      </c>
    </row>
    <row r="175" spans="1:19" x14ac:dyDescent="0.2">
      <c r="A175" t="s">
        <v>1011</v>
      </c>
      <c r="B175">
        <v>174</v>
      </c>
      <c r="C175" t="s">
        <v>105</v>
      </c>
      <c r="D175" t="s">
        <v>1004</v>
      </c>
      <c r="E175" t="s">
        <v>1012</v>
      </c>
      <c r="F175" t="s">
        <v>977</v>
      </c>
      <c r="G175" t="s">
        <v>101</v>
      </c>
      <c r="H175" t="s">
        <v>894</v>
      </c>
      <c r="I175" t="e">
        <f>IF(D6=0,NA(),D9/D6)</f>
        <v>#VALUE!</v>
      </c>
      <c r="J175">
        <v>0.11</v>
      </c>
      <c r="K175">
        <v>0.01</v>
      </c>
      <c r="M175" t="s">
        <v>1007</v>
      </c>
      <c r="O175" t="s">
        <v>358</v>
      </c>
      <c r="P175" t="s">
        <v>1008</v>
      </c>
      <c r="Q175">
        <v>37</v>
      </c>
      <c r="R175">
        <v>2</v>
      </c>
      <c r="S175" t="s">
        <v>367</v>
      </c>
    </row>
    <row r="176" spans="1:19" x14ac:dyDescent="0.2">
      <c r="A176" t="s">
        <v>1013</v>
      </c>
      <c r="B176">
        <v>175</v>
      </c>
      <c r="C176" t="s">
        <v>105</v>
      </c>
      <c r="D176" t="s">
        <v>1004</v>
      </c>
      <c r="E176" t="s">
        <v>1014</v>
      </c>
      <c r="F176" t="s">
        <v>977</v>
      </c>
      <c r="G176" t="s">
        <v>101</v>
      </c>
      <c r="H176" t="s">
        <v>897</v>
      </c>
      <c r="I176" t="e">
        <f>IF(E6=0,NA(),E9/E6)</f>
        <v>#VALUE!</v>
      </c>
      <c r="J176">
        <v>0.11</v>
      </c>
      <c r="K176">
        <v>0.01</v>
      </c>
      <c r="M176" t="s">
        <v>1007</v>
      </c>
      <c r="O176" t="s">
        <v>358</v>
      </c>
      <c r="P176" t="s">
        <v>1008</v>
      </c>
      <c r="Q176">
        <v>37</v>
      </c>
      <c r="R176">
        <v>3</v>
      </c>
      <c r="S176" t="s">
        <v>371</v>
      </c>
    </row>
    <row r="177" spans="1:19" x14ac:dyDescent="0.2">
      <c r="A177" t="s">
        <v>1015</v>
      </c>
      <c r="B177">
        <v>176</v>
      </c>
      <c r="C177" t="s">
        <v>105</v>
      </c>
      <c r="D177" t="s">
        <v>1004</v>
      </c>
      <c r="E177" t="s">
        <v>1016</v>
      </c>
      <c r="F177" t="s">
        <v>977</v>
      </c>
      <c r="G177" t="s">
        <v>101</v>
      </c>
      <c r="H177" t="s">
        <v>900</v>
      </c>
      <c r="I177" t="e">
        <f>IF(F6=0,NA(),F9/F6)</f>
        <v>#VALUE!</v>
      </c>
      <c r="J177">
        <v>0.11</v>
      </c>
      <c r="K177">
        <v>0.01</v>
      </c>
      <c r="M177" t="s">
        <v>1007</v>
      </c>
      <c r="O177" t="s">
        <v>358</v>
      </c>
      <c r="P177" t="s">
        <v>1008</v>
      </c>
      <c r="Q177">
        <v>37</v>
      </c>
      <c r="R177">
        <v>4</v>
      </c>
      <c r="S177" t="s">
        <v>375</v>
      </c>
    </row>
    <row r="178" spans="1:19" x14ac:dyDescent="0.2">
      <c r="A178" t="s">
        <v>1017</v>
      </c>
      <c r="B178">
        <v>177</v>
      </c>
      <c r="C178" t="s">
        <v>107</v>
      </c>
      <c r="D178" t="s">
        <v>1018</v>
      </c>
      <c r="E178" t="s">
        <v>1019</v>
      </c>
      <c r="F178" t="s">
        <v>977</v>
      </c>
      <c r="G178" t="s">
        <v>101</v>
      </c>
      <c r="H178" t="s">
        <v>1020</v>
      </c>
      <c r="I178" t="e">
        <f>C6-B6</f>
        <v>#VALUE!</v>
      </c>
      <c r="J178">
        <v>700</v>
      </c>
      <c r="K178">
        <v>0.01</v>
      </c>
      <c r="M178" t="s">
        <v>1021</v>
      </c>
      <c r="O178" t="s">
        <v>358</v>
      </c>
      <c r="P178" t="s">
        <v>1022</v>
      </c>
      <c r="Q178">
        <v>38</v>
      </c>
      <c r="R178">
        <v>1</v>
      </c>
      <c r="S178" t="s">
        <v>363</v>
      </c>
    </row>
    <row r="179" spans="1:19" x14ac:dyDescent="0.2">
      <c r="A179" t="s">
        <v>1023</v>
      </c>
      <c r="B179">
        <v>178</v>
      </c>
      <c r="C179" t="s">
        <v>107</v>
      </c>
      <c r="D179" t="s">
        <v>1018</v>
      </c>
      <c r="E179" t="s">
        <v>1024</v>
      </c>
      <c r="F179" t="s">
        <v>977</v>
      </c>
      <c r="G179" t="s">
        <v>101</v>
      </c>
      <c r="H179" t="s">
        <v>1025</v>
      </c>
      <c r="I179" t="e">
        <f>D6-C6</f>
        <v>#VALUE!</v>
      </c>
      <c r="J179">
        <v>900</v>
      </c>
      <c r="K179">
        <v>0.01</v>
      </c>
      <c r="M179" t="s">
        <v>1021</v>
      </c>
      <c r="O179" t="s">
        <v>358</v>
      </c>
      <c r="P179" t="s">
        <v>1022</v>
      </c>
      <c r="Q179">
        <v>38</v>
      </c>
      <c r="R179">
        <v>2</v>
      </c>
      <c r="S179" t="s">
        <v>367</v>
      </c>
    </row>
    <row r="180" spans="1:19" x14ac:dyDescent="0.2">
      <c r="A180" t="s">
        <v>1026</v>
      </c>
      <c r="B180">
        <v>179</v>
      </c>
      <c r="C180" t="s">
        <v>107</v>
      </c>
      <c r="D180" t="s">
        <v>1018</v>
      </c>
      <c r="E180" t="s">
        <v>1027</v>
      </c>
      <c r="F180" t="s">
        <v>977</v>
      </c>
      <c r="G180" t="s">
        <v>101</v>
      </c>
      <c r="H180" t="s">
        <v>1028</v>
      </c>
      <c r="I180" t="e">
        <f>E6-D6</f>
        <v>#VALUE!</v>
      </c>
      <c r="J180">
        <v>1100</v>
      </c>
      <c r="K180">
        <v>0.01</v>
      </c>
      <c r="M180" t="s">
        <v>1021</v>
      </c>
      <c r="O180" t="s">
        <v>358</v>
      </c>
      <c r="P180" t="s">
        <v>1022</v>
      </c>
      <c r="Q180">
        <v>38</v>
      </c>
      <c r="R180">
        <v>3</v>
      </c>
      <c r="S180" t="s">
        <v>371</v>
      </c>
    </row>
    <row r="181" spans="1:19" x14ac:dyDescent="0.2">
      <c r="A181" t="s">
        <v>1029</v>
      </c>
      <c r="B181">
        <v>180</v>
      </c>
      <c r="C181" t="s">
        <v>107</v>
      </c>
      <c r="D181" t="s">
        <v>1018</v>
      </c>
      <c r="E181" t="s">
        <v>1030</v>
      </c>
      <c r="F181" t="s">
        <v>977</v>
      </c>
      <c r="G181" t="s">
        <v>101</v>
      </c>
      <c r="H181" t="s">
        <v>1031</v>
      </c>
      <c r="I181" t="e">
        <f>F6-E6</f>
        <v>#VALUE!</v>
      </c>
      <c r="J181">
        <v>1300</v>
      </c>
      <c r="K181">
        <v>0.01</v>
      </c>
      <c r="M181" t="s">
        <v>1021</v>
      </c>
      <c r="O181" t="s">
        <v>358</v>
      </c>
      <c r="P181" t="s">
        <v>1022</v>
      </c>
      <c r="Q181">
        <v>38</v>
      </c>
      <c r="R181">
        <v>4</v>
      </c>
      <c r="S181" t="s">
        <v>375</v>
      </c>
    </row>
    <row r="182" spans="1:19" x14ac:dyDescent="0.2">
      <c r="A182" t="s">
        <v>1032</v>
      </c>
      <c r="B182">
        <v>181</v>
      </c>
      <c r="C182" t="s">
        <v>109</v>
      </c>
      <c r="D182" t="s">
        <v>1033</v>
      </c>
      <c r="E182" t="s">
        <v>1034</v>
      </c>
      <c r="F182" t="s">
        <v>977</v>
      </c>
      <c r="G182" t="s">
        <v>101</v>
      </c>
      <c r="H182" t="s">
        <v>1035</v>
      </c>
      <c r="I182" t="e">
        <f>C9-B9</f>
        <v>#VALUE!</v>
      </c>
      <c r="J182">
        <v>77</v>
      </c>
      <c r="K182">
        <v>0.01</v>
      </c>
      <c r="M182" t="s">
        <v>1036</v>
      </c>
      <c r="O182" t="s">
        <v>358</v>
      </c>
      <c r="P182" t="s">
        <v>1037</v>
      </c>
      <c r="Q182">
        <v>39</v>
      </c>
      <c r="R182">
        <v>1</v>
      </c>
      <c r="S182" t="s">
        <v>363</v>
      </c>
    </row>
    <row r="183" spans="1:19" x14ac:dyDescent="0.2">
      <c r="A183" t="s">
        <v>1038</v>
      </c>
      <c r="B183">
        <v>182</v>
      </c>
      <c r="C183" t="s">
        <v>109</v>
      </c>
      <c r="D183" t="s">
        <v>1033</v>
      </c>
      <c r="E183" t="s">
        <v>1039</v>
      </c>
      <c r="F183" t="s">
        <v>977</v>
      </c>
      <c r="G183" t="s">
        <v>101</v>
      </c>
      <c r="H183" t="s">
        <v>1040</v>
      </c>
      <c r="I183" t="e">
        <f>D9-C9</f>
        <v>#VALUE!</v>
      </c>
      <c r="J183">
        <v>99</v>
      </c>
      <c r="K183">
        <v>0.01</v>
      </c>
      <c r="M183" t="s">
        <v>1036</v>
      </c>
      <c r="O183" t="s">
        <v>358</v>
      </c>
      <c r="P183" t="s">
        <v>1037</v>
      </c>
      <c r="Q183">
        <v>39</v>
      </c>
      <c r="R183">
        <v>2</v>
      </c>
      <c r="S183" t="s">
        <v>367</v>
      </c>
    </row>
    <row r="184" spans="1:19" x14ac:dyDescent="0.2">
      <c r="A184" t="s">
        <v>1041</v>
      </c>
      <c r="B184">
        <v>183</v>
      </c>
      <c r="C184" t="s">
        <v>109</v>
      </c>
      <c r="D184" t="s">
        <v>1033</v>
      </c>
      <c r="E184" t="s">
        <v>1042</v>
      </c>
      <c r="F184" t="s">
        <v>977</v>
      </c>
      <c r="G184" t="s">
        <v>101</v>
      </c>
      <c r="H184" t="s">
        <v>1043</v>
      </c>
      <c r="I184" t="e">
        <f>E9-D9</f>
        <v>#VALUE!</v>
      </c>
      <c r="J184">
        <v>121</v>
      </c>
      <c r="K184">
        <v>0.01</v>
      </c>
      <c r="M184" t="s">
        <v>1036</v>
      </c>
      <c r="O184" t="s">
        <v>358</v>
      </c>
      <c r="P184" t="s">
        <v>1037</v>
      </c>
      <c r="Q184">
        <v>39</v>
      </c>
      <c r="R184">
        <v>3</v>
      </c>
      <c r="S184" t="s">
        <v>371</v>
      </c>
    </row>
    <row r="185" spans="1:19" x14ac:dyDescent="0.2">
      <c r="A185" t="s">
        <v>1044</v>
      </c>
      <c r="B185">
        <v>184</v>
      </c>
      <c r="C185" t="s">
        <v>109</v>
      </c>
      <c r="D185" t="s">
        <v>1033</v>
      </c>
      <c r="E185" t="s">
        <v>1045</v>
      </c>
      <c r="F185" t="s">
        <v>977</v>
      </c>
      <c r="G185" t="s">
        <v>101</v>
      </c>
      <c r="H185" t="s">
        <v>1046</v>
      </c>
      <c r="I185" t="e">
        <f>F9-E9</f>
        <v>#VALUE!</v>
      </c>
      <c r="J185">
        <v>143</v>
      </c>
      <c r="K185">
        <v>0.01</v>
      </c>
      <c r="M185" t="s">
        <v>1036</v>
      </c>
      <c r="O185" t="s">
        <v>358</v>
      </c>
      <c r="P185" t="s">
        <v>1037</v>
      </c>
      <c r="Q185">
        <v>39</v>
      </c>
      <c r="R185">
        <v>4</v>
      </c>
      <c r="S185" t="s">
        <v>375</v>
      </c>
    </row>
    <row r="186" spans="1:19" x14ac:dyDescent="0.2">
      <c r="A186" t="s">
        <v>1047</v>
      </c>
      <c r="B186">
        <v>185</v>
      </c>
      <c r="C186" t="s">
        <v>111</v>
      </c>
      <c r="D186" t="s">
        <v>1048</v>
      </c>
      <c r="E186" t="s">
        <v>1049</v>
      </c>
      <c r="F186" t="s">
        <v>977</v>
      </c>
      <c r="G186" t="s">
        <v>101</v>
      </c>
      <c r="H186" t="s">
        <v>1050</v>
      </c>
      <c r="I186" t="e">
        <f>IF(C14=0,NA(),C15/C14)</f>
        <v>#VALUE!</v>
      </c>
      <c r="J186">
        <v>0.11</v>
      </c>
      <c r="K186">
        <v>0.01</v>
      </c>
      <c r="L186" t="s">
        <v>1051</v>
      </c>
      <c r="M186" t="s">
        <v>1052</v>
      </c>
      <c r="O186" t="s">
        <v>358</v>
      </c>
      <c r="P186" t="s">
        <v>1053</v>
      </c>
      <c r="Q186">
        <v>40</v>
      </c>
      <c r="R186">
        <v>1</v>
      </c>
      <c r="S186" t="s">
        <v>363</v>
      </c>
    </row>
    <row r="187" spans="1:19" x14ac:dyDescent="0.2">
      <c r="A187" t="s">
        <v>1054</v>
      </c>
      <c r="B187">
        <v>186</v>
      </c>
      <c r="C187" t="s">
        <v>111</v>
      </c>
      <c r="D187" t="s">
        <v>1048</v>
      </c>
      <c r="E187" t="s">
        <v>1055</v>
      </c>
      <c r="F187" t="s">
        <v>977</v>
      </c>
      <c r="G187" t="s">
        <v>101</v>
      </c>
      <c r="H187" t="s">
        <v>1056</v>
      </c>
      <c r="I187" t="e">
        <f>IF(D14=0,NA(),D15/D14)</f>
        <v>#VALUE!</v>
      </c>
      <c r="J187">
        <v>0.11</v>
      </c>
      <c r="K187">
        <v>0.01</v>
      </c>
      <c r="L187" t="s">
        <v>1057</v>
      </c>
      <c r="M187" t="s">
        <v>1052</v>
      </c>
      <c r="O187" t="s">
        <v>358</v>
      </c>
      <c r="P187" t="s">
        <v>1053</v>
      </c>
      <c r="Q187">
        <v>40</v>
      </c>
      <c r="R187">
        <v>2</v>
      </c>
      <c r="S187" t="s">
        <v>367</v>
      </c>
    </row>
    <row r="188" spans="1:19" x14ac:dyDescent="0.2">
      <c r="A188" t="s">
        <v>1058</v>
      </c>
      <c r="B188">
        <v>187</v>
      </c>
      <c r="C188" t="s">
        <v>111</v>
      </c>
      <c r="D188" t="s">
        <v>1048</v>
      </c>
      <c r="E188" t="s">
        <v>1059</v>
      </c>
      <c r="F188" t="s">
        <v>977</v>
      </c>
      <c r="G188" t="s">
        <v>101</v>
      </c>
      <c r="H188" t="s">
        <v>1060</v>
      </c>
      <c r="I188" t="e">
        <f>IF(E14=0,NA(),E15/E14)</f>
        <v>#VALUE!</v>
      </c>
      <c r="J188">
        <v>0.11</v>
      </c>
      <c r="K188">
        <v>0.01</v>
      </c>
      <c r="L188" t="s">
        <v>1061</v>
      </c>
      <c r="M188" t="s">
        <v>1052</v>
      </c>
      <c r="O188" t="s">
        <v>358</v>
      </c>
      <c r="P188" t="s">
        <v>1053</v>
      </c>
      <c r="Q188">
        <v>40</v>
      </c>
      <c r="R188">
        <v>3</v>
      </c>
      <c r="S188" t="s">
        <v>371</v>
      </c>
    </row>
    <row r="189" spans="1:19" x14ac:dyDescent="0.2">
      <c r="A189" t="s">
        <v>1062</v>
      </c>
      <c r="B189">
        <v>188</v>
      </c>
      <c r="C189" t="s">
        <v>111</v>
      </c>
      <c r="D189" t="s">
        <v>1048</v>
      </c>
      <c r="E189" t="s">
        <v>1063</v>
      </c>
      <c r="F189" t="s">
        <v>977</v>
      </c>
      <c r="G189" t="s">
        <v>101</v>
      </c>
      <c r="H189" t="s">
        <v>1064</v>
      </c>
      <c r="I189" t="e">
        <f>IF(F14=0,NA(),F15/F14)</f>
        <v>#VALUE!</v>
      </c>
      <c r="J189">
        <v>0.11</v>
      </c>
      <c r="K189">
        <v>0.01</v>
      </c>
      <c r="L189" t="s">
        <v>1065</v>
      </c>
      <c r="M189" t="s">
        <v>1052</v>
      </c>
      <c r="O189" t="s">
        <v>358</v>
      </c>
      <c r="P189" t="s">
        <v>1053</v>
      </c>
      <c r="Q189">
        <v>40</v>
      </c>
      <c r="R189">
        <v>4</v>
      </c>
      <c r="S189" t="s">
        <v>375</v>
      </c>
    </row>
    <row r="190" spans="1:19" x14ac:dyDescent="0.2">
      <c r="A190" t="s">
        <v>1066</v>
      </c>
      <c r="B190">
        <v>189</v>
      </c>
      <c r="C190" t="s">
        <v>114</v>
      </c>
      <c r="D190" t="s">
        <v>1067</v>
      </c>
      <c r="E190" t="s">
        <v>1068</v>
      </c>
      <c r="F190" t="s">
        <v>977</v>
      </c>
      <c r="G190" t="s">
        <v>101</v>
      </c>
      <c r="H190" t="s">
        <v>362</v>
      </c>
      <c r="I190" t="e">
        <f>C7-B7</f>
        <v>#VALUE!</v>
      </c>
      <c r="J190">
        <v>126</v>
      </c>
      <c r="K190">
        <v>0.01</v>
      </c>
      <c r="L190" t="s">
        <v>1069</v>
      </c>
      <c r="M190" t="s">
        <v>1070</v>
      </c>
      <c r="O190" t="s">
        <v>358</v>
      </c>
      <c r="P190" t="s">
        <v>1071</v>
      </c>
      <c r="Q190">
        <v>41</v>
      </c>
      <c r="R190">
        <v>1</v>
      </c>
      <c r="S190" t="s">
        <v>363</v>
      </c>
    </row>
    <row r="191" spans="1:19" x14ac:dyDescent="0.2">
      <c r="A191" t="s">
        <v>1072</v>
      </c>
      <c r="B191">
        <v>190</v>
      </c>
      <c r="C191" t="s">
        <v>114</v>
      </c>
      <c r="D191" t="s">
        <v>1067</v>
      </c>
      <c r="E191" t="s">
        <v>1073</v>
      </c>
      <c r="F191" t="s">
        <v>977</v>
      </c>
      <c r="G191" t="s">
        <v>101</v>
      </c>
      <c r="H191" t="s">
        <v>366</v>
      </c>
      <c r="I191" t="e">
        <f>D7-C7</f>
        <v>#VALUE!</v>
      </c>
      <c r="J191">
        <v>162</v>
      </c>
      <c r="K191">
        <v>0.01</v>
      </c>
      <c r="L191" t="s">
        <v>1074</v>
      </c>
      <c r="M191" t="s">
        <v>1070</v>
      </c>
      <c r="O191" t="s">
        <v>358</v>
      </c>
      <c r="P191" t="s">
        <v>1071</v>
      </c>
      <c r="Q191">
        <v>41</v>
      </c>
      <c r="R191">
        <v>2</v>
      </c>
      <c r="S191" t="s">
        <v>367</v>
      </c>
    </row>
    <row r="192" spans="1:19" x14ac:dyDescent="0.2">
      <c r="A192" t="s">
        <v>1075</v>
      </c>
      <c r="B192">
        <v>191</v>
      </c>
      <c r="C192" t="s">
        <v>114</v>
      </c>
      <c r="D192" t="s">
        <v>1067</v>
      </c>
      <c r="E192" t="s">
        <v>1076</v>
      </c>
      <c r="F192" t="s">
        <v>977</v>
      </c>
      <c r="G192" t="s">
        <v>101</v>
      </c>
      <c r="H192" t="s">
        <v>370</v>
      </c>
      <c r="I192" t="e">
        <f>E7-D7</f>
        <v>#VALUE!</v>
      </c>
      <c r="J192">
        <v>198</v>
      </c>
      <c r="K192">
        <v>0.01</v>
      </c>
      <c r="L192" t="s">
        <v>1077</v>
      </c>
      <c r="M192" t="s">
        <v>1070</v>
      </c>
      <c r="O192" t="s">
        <v>358</v>
      </c>
      <c r="P192" t="s">
        <v>1071</v>
      </c>
      <c r="Q192">
        <v>41</v>
      </c>
      <c r="R192">
        <v>3</v>
      </c>
      <c r="S192" t="s">
        <v>371</v>
      </c>
    </row>
    <row r="193" spans="1:19" x14ac:dyDescent="0.2">
      <c r="A193" t="s">
        <v>1078</v>
      </c>
      <c r="B193">
        <v>192</v>
      </c>
      <c r="C193" t="s">
        <v>114</v>
      </c>
      <c r="D193" t="s">
        <v>1067</v>
      </c>
      <c r="E193" t="s">
        <v>1079</v>
      </c>
      <c r="F193" t="s">
        <v>977</v>
      </c>
      <c r="G193" t="s">
        <v>101</v>
      </c>
      <c r="H193" t="s">
        <v>374</v>
      </c>
      <c r="I193" t="e">
        <f>F7-E7</f>
        <v>#VALUE!</v>
      </c>
      <c r="J193">
        <v>234</v>
      </c>
      <c r="K193">
        <v>0.01</v>
      </c>
      <c r="L193" t="s">
        <v>1080</v>
      </c>
      <c r="M193" t="s">
        <v>1070</v>
      </c>
      <c r="O193" t="s">
        <v>358</v>
      </c>
      <c r="P193" t="s">
        <v>1071</v>
      </c>
      <c r="Q193">
        <v>41</v>
      </c>
      <c r="R193">
        <v>4</v>
      </c>
      <c r="S193" t="s">
        <v>375</v>
      </c>
    </row>
    <row r="194" spans="1:19" x14ac:dyDescent="0.2">
      <c r="A194" t="s">
        <v>1081</v>
      </c>
      <c r="B194">
        <v>193</v>
      </c>
      <c r="C194" t="s">
        <v>117</v>
      </c>
      <c r="D194" t="s">
        <v>1082</v>
      </c>
      <c r="E194" t="s">
        <v>1083</v>
      </c>
      <c r="F194" t="s">
        <v>977</v>
      </c>
      <c r="G194" t="s">
        <v>101</v>
      </c>
      <c r="H194" t="s">
        <v>384</v>
      </c>
      <c r="I194" t="e">
        <f>C8-B8</f>
        <v>#VALUE!</v>
      </c>
      <c r="J194">
        <v>49</v>
      </c>
      <c r="K194">
        <v>0.01</v>
      </c>
      <c r="L194" t="s">
        <v>1084</v>
      </c>
      <c r="M194" t="s">
        <v>1085</v>
      </c>
      <c r="O194" t="s">
        <v>358</v>
      </c>
      <c r="P194" t="s">
        <v>1086</v>
      </c>
      <c r="Q194">
        <v>42</v>
      </c>
      <c r="R194">
        <v>1</v>
      </c>
      <c r="S194" t="s">
        <v>363</v>
      </c>
    </row>
    <row r="195" spans="1:19" x14ac:dyDescent="0.2">
      <c r="A195" t="s">
        <v>1087</v>
      </c>
      <c r="B195">
        <v>194</v>
      </c>
      <c r="C195" t="s">
        <v>117</v>
      </c>
      <c r="D195" t="s">
        <v>1082</v>
      </c>
      <c r="E195" t="s">
        <v>1088</v>
      </c>
      <c r="F195" t="s">
        <v>977</v>
      </c>
      <c r="G195" t="s">
        <v>101</v>
      </c>
      <c r="H195" t="s">
        <v>387</v>
      </c>
      <c r="I195" t="e">
        <f>D8-C8</f>
        <v>#VALUE!</v>
      </c>
      <c r="J195">
        <v>63</v>
      </c>
      <c r="K195">
        <v>0.01</v>
      </c>
      <c r="L195" t="s">
        <v>1089</v>
      </c>
      <c r="M195" t="s">
        <v>1085</v>
      </c>
      <c r="O195" t="s">
        <v>358</v>
      </c>
      <c r="P195" t="s">
        <v>1086</v>
      </c>
      <c r="Q195">
        <v>42</v>
      </c>
      <c r="R195">
        <v>2</v>
      </c>
      <c r="S195" t="s">
        <v>367</v>
      </c>
    </row>
    <row r="196" spans="1:19" x14ac:dyDescent="0.2">
      <c r="A196" t="s">
        <v>1090</v>
      </c>
      <c r="B196">
        <v>195</v>
      </c>
      <c r="C196" t="s">
        <v>117</v>
      </c>
      <c r="D196" t="s">
        <v>1082</v>
      </c>
      <c r="E196" t="s">
        <v>1091</v>
      </c>
      <c r="F196" t="s">
        <v>977</v>
      </c>
      <c r="G196" t="s">
        <v>101</v>
      </c>
      <c r="H196" t="s">
        <v>390</v>
      </c>
      <c r="I196" t="e">
        <f>E8-D8</f>
        <v>#VALUE!</v>
      </c>
      <c r="J196">
        <v>77</v>
      </c>
      <c r="K196">
        <v>0.01</v>
      </c>
      <c r="L196" t="s">
        <v>1092</v>
      </c>
      <c r="M196" t="s">
        <v>1085</v>
      </c>
      <c r="O196" t="s">
        <v>358</v>
      </c>
      <c r="P196" t="s">
        <v>1086</v>
      </c>
      <c r="Q196">
        <v>42</v>
      </c>
      <c r="R196">
        <v>3</v>
      </c>
      <c r="S196" t="s">
        <v>371</v>
      </c>
    </row>
    <row r="197" spans="1:19" x14ac:dyDescent="0.2">
      <c r="A197" t="s">
        <v>1093</v>
      </c>
      <c r="B197">
        <v>196</v>
      </c>
      <c r="C197" t="s">
        <v>117</v>
      </c>
      <c r="D197" t="s">
        <v>1082</v>
      </c>
      <c r="E197" t="s">
        <v>1094</v>
      </c>
      <c r="F197" t="s">
        <v>977</v>
      </c>
      <c r="G197" t="s">
        <v>101</v>
      </c>
      <c r="H197" t="s">
        <v>393</v>
      </c>
      <c r="I197" t="e">
        <f>F8-E8</f>
        <v>#VALUE!</v>
      </c>
      <c r="J197">
        <v>91</v>
      </c>
      <c r="K197">
        <v>0.01</v>
      </c>
      <c r="L197" t="s">
        <v>1095</v>
      </c>
      <c r="M197" t="s">
        <v>1085</v>
      </c>
      <c r="O197" t="s">
        <v>358</v>
      </c>
      <c r="P197" t="s">
        <v>1086</v>
      </c>
      <c r="Q197">
        <v>42</v>
      </c>
      <c r="R197">
        <v>4</v>
      </c>
      <c r="S197" t="s">
        <v>375</v>
      </c>
    </row>
    <row r="198" spans="1:19" x14ac:dyDescent="0.2">
      <c r="A198" t="s">
        <v>1096</v>
      </c>
      <c r="B198">
        <v>197</v>
      </c>
      <c r="C198" t="s">
        <v>120</v>
      </c>
      <c r="D198" t="s">
        <v>1097</v>
      </c>
      <c r="E198" t="s">
        <v>1098</v>
      </c>
      <c r="F198" t="s">
        <v>977</v>
      </c>
      <c r="G198" t="s">
        <v>101</v>
      </c>
      <c r="H198" t="s">
        <v>1099</v>
      </c>
      <c r="I198" t="e">
        <f>C19-C20</f>
        <v>#VALUE!</v>
      </c>
      <c r="J198">
        <v>77</v>
      </c>
      <c r="K198">
        <v>0.01</v>
      </c>
      <c r="L198" t="s">
        <v>1100</v>
      </c>
      <c r="M198" t="s">
        <v>1101</v>
      </c>
      <c r="O198" t="s">
        <v>358</v>
      </c>
      <c r="P198" t="s">
        <v>1102</v>
      </c>
      <c r="Q198">
        <v>43</v>
      </c>
      <c r="R198">
        <v>1</v>
      </c>
      <c r="S198" t="s">
        <v>363</v>
      </c>
    </row>
    <row r="199" spans="1:19" x14ac:dyDescent="0.2">
      <c r="A199" t="s">
        <v>1103</v>
      </c>
      <c r="B199">
        <v>198</v>
      </c>
      <c r="C199" t="s">
        <v>120</v>
      </c>
      <c r="D199" t="s">
        <v>1097</v>
      </c>
      <c r="E199" t="s">
        <v>1104</v>
      </c>
      <c r="F199" t="s">
        <v>977</v>
      </c>
      <c r="G199" t="s">
        <v>101</v>
      </c>
      <c r="H199" t="s">
        <v>1105</v>
      </c>
      <c r="I199" t="e">
        <f>D19-D20</f>
        <v>#VALUE!</v>
      </c>
      <c r="J199">
        <v>99</v>
      </c>
      <c r="K199">
        <v>0.01</v>
      </c>
      <c r="L199" t="s">
        <v>1106</v>
      </c>
      <c r="M199" t="s">
        <v>1101</v>
      </c>
      <c r="O199" t="s">
        <v>358</v>
      </c>
      <c r="P199" t="s">
        <v>1102</v>
      </c>
      <c r="Q199">
        <v>43</v>
      </c>
      <c r="R199">
        <v>2</v>
      </c>
      <c r="S199" t="s">
        <v>367</v>
      </c>
    </row>
    <row r="200" spans="1:19" x14ac:dyDescent="0.2">
      <c r="A200" t="s">
        <v>1107</v>
      </c>
      <c r="B200">
        <v>199</v>
      </c>
      <c r="C200" t="s">
        <v>120</v>
      </c>
      <c r="D200" t="s">
        <v>1097</v>
      </c>
      <c r="E200" t="s">
        <v>1108</v>
      </c>
      <c r="F200" t="s">
        <v>977</v>
      </c>
      <c r="G200" t="s">
        <v>101</v>
      </c>
      <c r="H200" t="s">
        <v>1109</v>
      </c>
      <c r="I200" t="e">
        <f>E19-E20</f>
        <v>#VALUE!</v>
      </c>
      <c r="J200">
        <v>121</v>
      </c>
      <c r="K200">
        <v>0.01</v>
      </c>
      <c r="L200" t="s">
        <v>1110</v>
      </c>
      <c r="M200" t="s">
        <v>1101</v>
      </c>
      <c r="O200" t="s">
        <v>358</v>
      </c>
      <c r="P200" t="s">
        <v>1102</v>
      </c>
      <c r="Q200">
        <v>43</v>
      </c>
      <c r="R200">
        <v>3</v>
      </c>
      <c r="S200" t="s">
        <v>371</v>
      </c>
    </row>
    <row r="201" spans="1:19" x14ac:dyDescent="0.2">
      <c r="A201" t="s">
        <v>1111</v>
      </c>
      <c r="B201">
        <v>200</v>
      </c>
      <c r="C201" t="s">
        <v>120</v>
      </c>
      <c r="D201" t="s">
        <v>1097</v>
      </c>
      <c r="E201" t="s">
        <v>1112</v>
      </c>
      <c r="F201" t="s">
        <v>977</v>
      </c>
      <c r="G201" t="s">
        <v>101</v>
      </c>
      <c r="H201" t="s">
        <v>1113</v>
      </c>
      <c r="I201" t="e">
        <f>F19-F20</f>
        <v>#VALUE!</v>
      </c>
      <c r="J201">
        <v>143</v>
      </c>
      <c r="K201">
        <v>0.01</v>
      </c>
      <c r="L201" t="s">
        <v>1114</v>
      </c>
      <c r="M201" t="s">
        <v>1101</v>
      </c>
      <c r="O201" t="s">
        <v>358</v>
      </c>
      <c r="P201" t="s">
        <v>1102</v>
      </c>
      <c r="Q201">
        <v>43</v>
      </c>
      <c r="R201">
        <v>4</v>
      </c>
      <c r="S201" t="s">
        <v>375</v>
      </c>
    </row>
    <row r="202" spans="1:19" x14ac:dyDescent="0.2">
      <c r="A202" t="s">
        <v>1115</v>
      </c>
      <c r="B202">
        <v>201</v>
      </c>
      <c r="C202" t="s">
        <v>123</v>
      </c>
      <c r="D202" t="s">
        <v>1116</v>
      </c>
      <c r="E202" t="s">
        <v>1117</v>
      </c>
      <c r="F202" t="s">
        <v>977</v>
      </c>
      <c r="G202" t="s">
        <v>101</v>
      </c>
      <c r="H202" t="s">
        <v>1118</v>
      </c>
      <c r="I202" t="e">
        <f>IF(C14=0,NA(),C19/C14)</f>
        <v>#VALUE!</v>
      </c>
      <c r="J202">
        <v>0.18</v>
      </c>
      <c r="K202">
        <v>0.01</v>
      </c>
      <c r="L202" t="s">
        <v>1119</v>
      </c>
      <c r="M202" t="s">
        <v>1120</v>
      </c>
      <c r="O202" t="s">
        <v>358</v>
      </c>
      <c r="P202" t="s">
        <v>1121</v>
      </c>
      <c r="Q202">
        <v>44</v>
      </c>
      <c r="R202">
        <v>1</v>
      </c>
      <c r="S202" t="s">
        <v>363</v>
      </c>
    </row>
    <row r="203" spans="1:19" x14ac:dyDescent="0.2">
      <c r="A203" t="s">
        <v>1122</v>
      </c>
      <c r="B203">
        <v>202</v>
      </c>
      <c r="C203" t="s">
        <v>123</v>
      </c>
      <c r="D203" t="s">
        <v>1116</v>
      </c>
      <c r="E203" t="s">
        <v>1123</v>
      </c>
      <c r="F203" t="s">
        <v>977</v>
      </c>
      <c r="G203" t="s">
        <v>101</v>
      </c>
      <c r="H203" t="s">
        <v>1124</v>
      </c>
      <c r="I203" t="e">
        <f>IF(D14=0,NA(),D19/D14)</f>
        <v>#VALUE!</v>
      </c>
      <c r="J203">
        <v>0.18</v>
      </c>
      <c r="K203">
        <v>0.01</v>
      </c>
      <c r="L203" t="s">
        <v>1125</v>
      </c>
      <c r="M203" t="s">
        <v>1120</v>
      </c>
      <c r="O203" t="s">
        <v>358</v>
      </c>
      <c r="P203" t="s">
        <v>1121</v>
      </c>
      <c r="Q203">
        <v>44</v>
      </c>
      <c r="R203">
        <v>2</v>
      </c>
      <c r="S203" t="s">
        <v>367</v>
      </c>
    </row>
    <row r="204" spans="1:19" x14ac:dyDescent="0.2">
      <c r="A204" t="s">
        <v>1126</v>
      </c>
      <c r="B204">
        <v>203</v>
      </c>
      <c r="C204" t="s">
        <v>123</v>
      </c>
      <c r="D204" t="s">
        <v>1116</v>
      </c>
      <c r="E204" t="s">
        <v>1127</v>
      </c>
      <c r="F204" t="s">
        <v>977</v>
      </c>
      <c r="G204" t="s">
        <v>101</v>
      </c>
      <c r="H204" t="s">
        <v>1128</v>
      </c>
      <c r="I204" t="e">
        <f>IF(E14=0,NA(),E19/E14)</f>
        <v>#VALUE!</v>
      </c>
      <c r="J204">
        <v>0.18</v>
      </c>
      <c r="K204">
        <v>0.01</v>
      </c>
      <c r="L204" t="s">
        <v>1129</v>
      </c>
      <c r="M204" t="s">
        <v>1120</v>
      </c>
      <c r="O204" t="s">
        <v>358</v>
      </c>
      <c r="P204" t="s">
        <v>1121</v>
      </c>
      <c r="Q204">
        <v>44</v>
      </c>
      <c r="R204">
        <v>3</v>
      </c>
      <c r="S204" t="s">
        <v>371</v>
      </c>
    </row>
    <row r="205" spans="1:19" x14ac:dyDescent="0.2">
      <c r="A205" t="s">
        <v>1130</v>
      </c>
      <c r="B205">
        <v>204</v>
      </c>
      <c r="C205" t="s">
        <v>123</v>
      </c>
      <c r="D205" t="s">
        <v>1116</v>
      </c>
      <c r="E205" t="s">
        <v>1131</v>
      </c>
      <c r="F205" t="s">
        <v>977</v>
      </c>
      <c r="G205" t="s">
        <v>101</v>
      </c>
      <c r="H205" t="s">
        <v>1132</v>
      </c>
      <c r="I205" t="e">
        <f>IF(F14=0,NA(),F19/F14)</f>
        <v>#VALUE!</v>
      </c>
      <c r="J205">
        <v>0.18</v>
      </c>
      <c r="K205">
        <v>0.01</v>
      </c>
      <c r="L205" t="s">
        <v>1133</v>
      </c>
      <c r="M205" t="s">
        <v>1120</v>
      </c>
      <c r="O205" t="s">
        <v>358</v>
      </c>
      <c r="P205" t="s">
        <v>1121</v>
      </c>
      <c r="Q205">
        <v>44</v>
      </c>
      <c r="R205">
        <v>4</v>
      </c>
      <c r="S205" t="s">
        <v>375</v>
      </c>
    </row>
    <row r="206" spans="1:19" x14ac:dyDescent="0.2">
      <c r="A206" t="s">
        <v>1134</v>
      </c>
      <c r="B206">
        <v>205</v>
      </c>
      <c r="C206" t="s">
        <v>126</v>
      </c>
      <c r="D206" t="s">
        <v>1135</v>
      </c>
      <c r="E206" t="s">
        <v>1136</v>
      </c>
      <c r="F206" t="s">
        <v>977</v>
      </c>
      <c r="G206" t="s">
        <v>101</v>
      </c>
      <c r="H206" t="s">
        <v>1137</v>
      </c>
      <c r="I206" t="e">
        <f>IF(C14=0,NA(),C20/C14)</f>
        <v>#VALUE!</v>
      </c>
      <c r="J206">
        <v>7.0000000000000007E-2</v>
      </c>
      <c r="K206">
        <v>0.01</v>
      </c>
      <c r="L206" t="s">
        <v>1138</v>
      </c>
      <c r="M206" t="s">
        <v>1139</v>
      </c>
      <c r="O206" t="s">
        <v>358</v>
      </c>
      <c r="P206" t="s">
        <v>1140</v>
      </c>
      <c r="Q206">
        <v>45</v>
      </c>
      <c r="R206">
        <v>1</v>
      </c>
      <c r="S206" t="s">
        <v>363</v>
      </c>
    </row>
    <row r="207" spans="1:19" x14ac:dyDescent="0.2">
      <c r="A207" t="s">
        <v>1141</v>
      </c>
      <c r="B207">
        <v>206</v>
      </c>
      <c r="C207" t="s">
        <v>126</v>
      </c>
      <c r="D207" t="s">
        <v>1135</v>
      </c>
      <c r="E207" t="s">
        <v>1142</v>
      </c>
      <c r="F207" t="s">
        <v>977</v>
      </c>
      <c r="G207" t="s">
        <v>101</v>
      </c>
      <c r="H207" t="s">
        <v>1143</v>
      </c>
      <c r="I207" t="e">
        <f>IF(D14=0,NA(),D20/D14)</f>
        <v>#VALUE!</v>
      </c>
      <c r="J207">
        <v>7.0000000000000007E-2</v>
      </c>
      <c r="K207">
        <v>0.01</v>
      </c>
      <c r="L207" t="s">
        <v>1144</v>
      </c>
      <c r="M207" t="s">
        <v>1139</v>
      </c>
      <c r="O207" t="s">
        <v>358</v>
      </c>
      <c r="P207" t="s">
        <v>1140</v>
      </c>
      <c r="Q207">
        <v>45</v>
      </c>
      <c r="R207">
        <v>2</v>
      </c>
      <c r="S207" t="s">
        <v>367</v>
      </c>
    </row>
    <row r="208" spans="1:19" x14ac:dyDescent="0.2">
      <c r="A208" t="s">
        <v>1145</v>
      </c>
      <c r="B208">
        <v>207</v>
      </c>
      <c r="C208" t="s">
        <v>126</v>
      </c>
      <c r="D208" t="s">
        <v>1135</v>
      </c>
      <c r="E208" t="s">
        <v>1146</v>
      </c>
      <c r="F208" t="s">
        <v>977</v>
      </c>
      <c r="G208" t="s">
        <v>101</v>
      </c>
      <c r="H208" t="s">
        <v>1147</v>
      </c>
      <c r="I208" t="e">
        <f>IF(E14=0,NA(),E20/E14)</f>
        <v>#VALUE!</v>
      </c>
      <c r="J208">
        <v>7.0000000000000007E-2</v>
      </c>
      <c r="K208">
        <v>0.01</v>
      </c>
      <c r="L208" t="s">
        <v>1148</v>
      </c>
      <c r="M208" t="s">
        <v>1139</v>
      </c>
      <c r="O208" t="s">
        <v>358</v>
      </c>
      <c r="P208" t="s">
        <v>1140</v>
      </c>
      <c r="Q208">
        <v>45</v>
      </c>
      <c r="R208">
        <v>3</v>
      </c>
      <c r="S208" t="s">
        <v>371</v>
      </c>
    </row>
    <row r="209" spans="1:19" x14ac:dyDescent="0.2">
      <c r="A209" t="s">
        <v>1149</v>
      </c>
      <c r="B209">
        <v>208</v>
      </c>
      <c r="C209" t="s">
        <v>126</v>
      </c>
      <c r="D209" t="s">
        <v>1135</v>
      </c>
      <c r="E209" t="s">
        <v>1150</v>
      </c>
      <c r="F209" t="s">
        <v>977</v>
      </c>
      <c r="G209" t="s">
        <v>101</v>
      </c>
      <c r="H209" t="s">
        <v>1151</v>
      </c>
      <c r="I209" t="e">
        <f>IF(F14=0,NA(),F20/F14)</f>
        <v>#VALUE!</v>
      </c>
      <c r="J209">
        <v>7.0000000000000007E-2</v>
      </c>
      <c r="K209">
        <v>0.01</v>
      </c>
      <c r="L209" t="s">
        <v>1152</v>
      </c>
      <c r="M209" t="s">
        <v>1139</v>
      </c>
      <c r="O209" t="s">
        <v>358</v>
      </c>
      <c r="P209" t="s">
        <v>1140</v>
      </c>
      <c r="Q209">
        <v>45</v>
      </c>
      <c r="R209">
        <v>4</v>
      </c>
      <c r="S209" t="s">
        <v>375</v>
      </c>
    </row>
    <row r="210" spans="1:19" x14ac:dyDescent="0.2">
      <c r="A210" t="s">
        <v>1153</v>
      </c>
      <c r="B210">
        <v>209</v>
      </c>
      <c r="C210" t="s">
        <v>129</v>
      </c>
      <c r="D210" t="s">
        <v>1154</v>
      </c>
      <c r="E210" t="s">
        <v>1155</v>
      </c>
      <c r="F210" t="s">
        <v>1156</v>
      </c>
      <c r="G210" t="s">
        <v>54</v>
      </c>
      <c r="H210" t="s">
        <v>1035</v>
      </c>
      <c r="I210">
        <f>('Condensed Financials'!B37+'Condensed Financials'!C37)/2</f>
        <v>5575</v>
      </c>
      <c r="J210">
        <v>5575</v>
      </c>
      <c r="K210">
        <v>0.01</v>
      </c>
      <c r="L210" t="s">
        <v>1157</v>
      </c>
      <c r="M210" t="s">
        <v>1158</v>
      </c>
      <c r="O210" t="s">
        <v>358</v>
      </c>
      <c r="P210" t="s">
        <v>1159</v>
      </c>
      <c r="Q210">
        <v>46</v>
      </c>
      <c r="R210">
        <v>1</v>
      </c>
      <c r="S210" t="s">
        <v>363</v>
      </c>
    </row>
    <row r="211" spans="1:19" x14ac:dyDescent="0.2">
      <c r="A211" t="s">
        <v>1160</v>
      </c>
      <c r="B211">
        <v>210</v>
      </c>
      <c r="C211" t="s">
        <v>129</v>
      </c>
      <c r="D211" t="s">
        <v>1154</v>
      </c>
      <c r="E211" t="s">
        <v>1161</v>
      </c>
      <c r="F211" t="s">
        <v>1156</v>
      </c>
      <c r="G211" t="s">
        <v>54</v>
      </c>
      <c r="H211" t="s">
        <v>1040</v>
      </c>
      <c r="I211">
        <f>('Condensed Financials'!C37+'Condensed Financials'!D37)/2</f>
        <v>6025</v>
      </c>
      <c r="J211">
        <v>6025</v>
      </c>
      <c r="K211">
        <v>0.01</v>
      </c>
      <c r="L211" t="s">
        <v>1162</v>
      </c>
      <c r="M211" t="s">
        <v>1158</v>
      </c>
      <c r="O211" t="s">
        <v>358</v>
      </c>
      <c r="P211" t="s">
        <v>1159</v>
      </c>
      <c r="Q211">
        <v>46</v>
      </c>
      <c r="R211">
        <v>2</v>
      </c>
      <c r="S211" t="s">
        <v>367</v>
      </c>
    </row>
    <row r="212" spans="1:19" x14ac:dyDescent="0.2">
      <c r="A212" t="s">
        <v>1163</v>
      </c>
      <c r="B212">
        <v>211</v>
      </c>
      <c r="C212" t="s">
        <v>129</v>
      </c>
      <c r="D212" t="s">
        <v>1154</v>
      </c>
      <c r="E212" t="s">
        <v>1164</v>
      </c>
      <c r="F212" t="s">
        <v>1156</v>
      </c>
      <c r="G212" t="s">
        <v>54</v>
      </c>
      <c r="H212" t="s">
        <v>1043</v>
      </c>
      <c r="I212">
        <f>('Condensed Financials'!D37+'Condensed Financials'!E37)/2</f>
        <v>6660</v>
      </c>
      <c r="J212">
        <v>6660</v>
      </c>
      <c r="K212">
        <v>0.01</v>
      </c>
      <c r="L212" t="s">
        <v>1165</v>
      </c>
      <c r="M212" t="s">
        <v>1158</v>
      </c>
      <c r="O212" t="s">
        <v>358</v>
      </c>
      <c r="P212" t="s">
        <v>1159</v>
      </c>
      <c r="Q212">
        <v>46</v>
      </c>
      <c r="R212">
        <v>3</v>
      </c>
      <c r="S212" t="s">
        <v>371</v>
      </c>
    </row>
    <row r="213" spans="1:19" x14ac:dyDescent="0.2">
      <c r="A213" t="s">
        <v>1166</v>
      </c>
      <c r="B213">
        <v>212</v>
      </c>
      <c r="C213" t="s">
        <v>129</v>
      </c>
      <c r="D213" t="s">
        <v>1154</v>
      </c>
      <c r="E213" t="s">
        <v>1167</v>
      </c>
      <c r="F213" t="s">
        <v>1156</v>
      </c>
      <c r="G213" t="s">
        <v>54</v>
      </c>
      <c r="H213" t="s">
        <v>1046</v>
      </c>
      <c r="I213">
        <f>('Condensed Financials'!E37+'Condensed Financials'!F37)/2</f>
        <v>7485</v>
      </c>
      <c r="J213">
        <v>7485</v>
      </c>
      <c r="K213">
        <v>0.01</v>
      </c>
      <c r="L213" t="s">
        <v>1168</v>
      </c>
      <c r="M213" t="s">
        <v>1158</v>
      </c>
      <c r="O213" t="s">
        <v>358</v>
      </c>
      <c r="P213" t="s">
        <v>1159</v>
      </c>
      <c r="Q213">
        <v>46</v>
      </c>
      <c r="R213">
        <v>4</v>
      </c>
      <c r="S213" t="s">
        <v>375</v>
      </c>
    </row>
    <row r="214" spans="1:19" x14ac:dyDescent="0.2">
      <c r="A214" t="s">
        <v>1169</v>
      </c>
      <c r="B214">
        <v>213</v>
      </c>
      <c r="C214" t="s">
        <v>131</v>
      </c>
      <c r="D214" t="s">
        <v>1170</v>
      </c>
      <c r="E214" t="s">
        <v>1171</v>
      </c>
      <c r="F214" t="s">
        <v>1156</v>
      </c>
      <c r="G214" t="s">
        <v>54</v>
      </c>
      <c r="H214" t="s">
        <v>1050</v>
      </c>
      <c r="I214" t="e">
        <f>IF(C15=0,NA(),'Condensed Financials'!C19/C15)</f>
        <v>#VALUE!</v>
      </c>
      <c r="J214">
        <v>1.6502242152466371</v>
      </c>
      <c r="K214">
        <v>0.01</v>
      </c>
      <c r="L214" t="s">
        <v>1172</v>
      </c>
      <c r="M214" t="s">
        <v>1173</v>
      </c>
      <c r="O214" t="s">
        <v>358</v>
      </c>
      <c r="P214" t="s">
        <v>145</v>
      </c>
      <c r="Q214">
        <v>47</v>
      </c>
      <c r="R214">
        <v>1</v>
      </c>
      <c r="S214" t="s">
        <v>363</v>
      </c>
    </row>
    <row r="215" spans="1:19" x14ac:dyDescent="0.2">
      <c r="A215" t="s">
        <v>1174</v>
      </c>
      <c r="B215">
        <v>214</v>
      </c>
      <c r="C215" t="s">
        <v>131</v>
      </c>
      <c r="D215" t="s">
        <v>1170</v>
      </c>
      <c r="E215" t="s">
        <v>1175</v>
      </c>
      <c r="F215" t="s">
        <v>1156</v>
      </c>
      <c r="G215" t="s">
        <v>54</v>
      </c>
      <c r="H215" t="s">
        <v>1056</v>
      </c>
      <c r="I215" t="e">
        <f>IF(D15=0,NA(),'Condensed Financials'!D19/D15)</f>
        <v>#VALUE!</v>
      </c>
      <c r="J215">
        <v>1.6763485477178419</v>
      </c>
      <c r="K215">
        <v>0.01</v>
      </c>
      <c r="L215" t="s">
        <v>1176</v>
      </c>
      <c r="M215" t="s">
        <v>1173</v>
      </c>
      <c r="O215" t="s">
        <v>358</v>
      </c>
      <c r="P215" t="s">
        <v>145</v>
      </c>
      <c r="Q215">
        <v>47</v>
      </c>
      <c r="R215">
        <v>2</v>
      </c>
      <c r="S215" t="s">
        <v>367</v>
      </c>
    </row>
    <row r="216" spans="1:19" x14ac:dyDescent="0.2">
      <c r="A216" t="s">
        <v>1177</v>
      </c>
      <c r="B216">
        <v>215</v>
      </c>
      <c r="C216" t="s">
        <v>131</v>
      </c>
      <c r="D216" t="s">
        <v>1170</v>
      </c>
      <c r="E216" t="s">
        <v>1178</v>
      </c>
      <c r="F216" t="s">
        <v>1156</v>
      </c>
      <c r="G216" t="s">
        <v>54</v>
      </c>
      <c r="H216" t="s">
        <v>1060</v>
      </c>
      <c r="I216" t="e">
        <f>IF(E15=0,NA(),'Condensed Financials'!E19/E15)</f>
        <v>#VALUE!</v>
      </c>
      <c r="J216">
        <v>1.681681681681682</v>
      </c>
      <c r="K216">
        <v>0.01</v>
      </c>
      <c r="L216" t="s">
        <v>1179</v>
      </c>
      <c r="M216" t="s">
        <v>1173</v>
      </c>
      <c r="O216" t="s">
        <v>358</v>
      </c>
      <c r="P216" t="s">
        <v>145</v>
      </c>
      <c r="Q216">
        <v>47</v>
      </c>
      <c r="R216">
        <v>3</v>
      </c>
      <c r="S216" t="s">
        <v>371</v>
      </c>
    </row>
    <row r="217" spans="1:19" x14ac:dyDescent="0.2">
      <c r="A217" t="s">
        <v>1180</v>
      </c>
      <c r="B217">
        <v>216</v>
      </c>
      <c r="C217" t="s">
        <v>131</v>
      </c>
      <c r="D217" t="s">
        <v>1170</v>
      </c>
      <c r="E217" t="s">
        <v>1181</v>
      </c>
      <c r="F217" t="s">
        <v>1156</v>
      </c>
      <c r="G217" t="s">
        <v>54</v>
      </c>
      <c r="H217" t="s">
        <v>1064</v>
      </c>
      <c r="I217" t="e">
        <f>IF(F15=0,NA(),'Condensed Financials'!F19/F15)</f>
        <v>#VALUE!</v>
      </c>
      <c r="J217">
        <v>1.6700066800267199</v>
      </c>
      <c r="K217">
        <v>0.01</v>
      </c>
      <c r="L217" t="s">
        <v>1182</v>
      </c>
      <c r="M217" t="s">
        <v>1173</v>
      </c>
      <c r="O217" t="s">
        <v>358</v>
      </c>
      <c r="P217" t="s">
        <v>145</v>
      </c>
      <c r="Q217">
        <v>47</v>
      </c>
      <c r="R217">
        <v>4</v>
      </c>
      <c r="S217" t="s">
        <v>375</v>
      </c>
    </row>
    <row r="218" spans="1:19" x14ac:dyDescent="0.2">
      <c r="A218" t="s">
        <v>1183</v>
      </c>
      <c r="B218">
        <v>217</v>
      </c>
      <c r="C218" t="s">
        <v>133</v>
      </c>
      <c r="D218" t="s">
        <v>1184</v>
      </c>
      <c r="E218" t="s">
        <v>1185</v>
      </c>
      <c r="F218" t="s">
        <v>1156</v>
      </c>
      <c r="G218" t="s">
        <v>54</v>
      </c>
      <c r="H218" t="s">
        <v>1186</v>
      </c>
      <c r="I218" t="e">
        <f>IF('Condensed Financials'!C19=0,NA(),C15/'Condensed Financials'!C19)</f>
        <v>#VALUE!</v>
      </c>
      <c r="J218">
        <v>0.60597826086956519</v>
      </c>
      <c r="K218">
        <v>0.01</v>
      </c>
      <c r="L218" t="s">
        <v>1187</v>
      </c>
      <c r="M218" t="s">
        <v>1188</v>
      </c>
      <c r="O218" t="s">
        <v>358</v>
      </c>
      <c r="P218" t="s">
        <v>1189</v>
      </c>
      <c r="Q218">
        <v>48</v>
      </c>
      <c r="R218">
        <v>1</v>
      </c>
      <c r="S218" t="s">
        <v>363</v>
      </c>
    </row>
    <row r="219" spans="1:19" x14ac:dyDescent="0.2">
      <c r="A219" t="s">
        <v>1190</v>
      </c>
      <c r="B219">
        <v>218</v>
      </c>
      <c r="C219" t="s">
        <v>133</v>
      </c>
      <c r="D219" t="s">
        <v>1184</v>
      </c>
      <c r="E219" t="s">
        <v>1191</v>
      </c>
      <c r="F219" t="s">
        <v>1156</v>
      </c>
      <c r="G219" t="s">
        <v>54</v>
      </c>
      <c r="H219" t="s">
        <v>1192</v>
      </c>
      <c r="I219" t="e">
        <f>IF('Condensed Financials'!D19=0,NA(),D15/'Condensed Financials'!D19)</f>
        <v>#VALUE!</v>
      </c>
      <c r="J219">
        <v>0.59653465346534651</v>
      </c>
      <c r="K219">
        <v>0.01</v>
      </c>
      <c r="L219" t="s">
        <v>1193</v>
      </c>
      <c r="M219" t="s">
        <v>1188</v>
      </c>
      <c r="O219" t="s">
        <v>358</v>
      </c>
      <c r="P219" t="s">
        <v>1189</v>
      </c>
      <c r="Q219">
        <v>48</v>
      </c>
      <c r="R219">
        <v>2</v>
      </c>
      <c r="S219" t="s">
        <v>367</v>
      </c>
    </row>
    <row r="220" spans="1:19" x14ac:dyDescent="0.2">
      <c r="A220" t="s">
        <v>1194</v>
      </c>
      <c r="B220">
        <v>219</v>
      </c>
      <c r="C220" t="s">
        <v>133</v>
      </c>
      <c r="D220" t="s">
        <v>1184</v>
      </c>
      <c r="E220" t="s">
        <v>1195</v>
      </c>
      <c r="F220" t="s">
        <v>1156</v>
      </c>
      <c r="G220" t="s">
        <v>54</v>
      </c>
      <c r="H220" t="s">
        <v>1196</v>
      </c>
      <c r="I220" t="e">
        <f>IF('Condensed Financials'!E19=0,NA(),E15/'Condensed Financials'!E19)</f>
        <v>#VALUE!</v>
      </c>
      <c r="J220">
        <v>0.59464285714285714</v>
      </c>
      <c r="K220">
        <v>0.01</v>
      </c>
      <c r="L220" t="s">
        <v>1197</v>
      </c>
      <c r="M220" t="s">
        <v>1188</v>
      </c>
      <c r="O220" t="s">
        <v>358</v>
      </c>
      <c r="P220" t="s">
        <v>1189</v>
      </c>
      <c r="Q220">
        <v>48</v>
      </c>
      <c r="R220">
        <v>3</v>
      </c>
      <c r="S220" t="s">
        <v>371</v>
      </c>
    </row>
    <row r="221" spans="1:19" x14ac:dyDescent="0.2">
      <c r="A221" t="s">
        <v>1198</v>
      </c>
      <c r="B221">
        <v>220</v>
      </c>
      <c r="C221" t="s">
        <v>133</v>
      </c>
      <c r="D221" t="s">
        <v>1184</v>
      </c>
      <c r="E221" t="s">
        <v>1199</v>
      </c>
      <c r="F221" t="s">
        <v>1156</v>
      </c>
      <c r="G221" t="s">
        <v>54</v>
      </c>
      <c r="H221" t="s">
        <v>1200</v>
      </c>
      <c r="I221" t="e">
        <f>IF('Condensed Financials'!F19=0,NA(),F15/'Condensed Financials'!F19)</f>
        <v>#VALUE!</v>
      </c>
      <c r="J221">
        <v>0.5988</v>
      </c>
      <c r="K221">
        <v>0.01</v>
      </c>
      <c r="L221" t="s">
        <v>1201</v>
      </c>
      <c r="M221" t="s">
        <v>1188</v>
      </c>
      <c r="O221" t="s">
        <v>358</v>
      </c>
      <c r="P221" t="s">
        <v>1189</v>
      </c>
      <c r="Q221">
        <v>48</v>
      </c>
      <c r="R221">
        <v>4</v>
      </c>
      <c r="S221" t="s">
        <v>375</v>
      </c>
    </row>
    <row r="222" spans="1:19" x14ac:dyDescent="0.2">
      <c r="A222" t="s">
        <v>1202</v>
      </c>
      <c r="B222">
        <v>221</v>
      </c>
      <c r="C222" t="s">
        <v>136</v>
      </c>
      <c r="D222" t="s">
        <v>1203</v>
      </c>
      <c r="E222" t="s">
        <v>1204</v>
      </c>
      <c r="F222" t="s">
        <v>1156</v>
      </c>
      <c r="G222" t="s">
        <v>54</v>
      </c>
      <c r="H222" t="s">
        <v>1205</v>
      </c>
      <c r="I222" t="e">
        <f>C6*C16</f>
        <v>#VALUE!</v>
      </c>
      <c r="J222">
        <v>0.54787443946188352</v>
      </c>
      <c r="K222">
        <v>0.01</v>
      </c>
      <c r="L222" t="s">
        <v>1206</v>
      </c>
      <c r="M222" t="s">
        <v>1207</v>
      </c>
      <c r="O222" t="s">
        <v>358</v>
      </c>
      <c r="P222" t="s">
        <v>1208</v>
      </c>
      <c r="Q222">
        <v>49</v>
      </c>
      <c r="R222">
        <v>1</v>
      </c>
      <c r="S222" t="s">
        <v>363</v>
      </c>
    </row>
    <row r="223" spans="1:19" x14ac:dyDescent="0.2">
      <c r="A223" t="s">
        <v>1209</v>
      </c>
      <c r="B223">
        <v>222</v>
      </c>
      <c r="C223" t="s">
        <v>136</v>
      </c>
      <c r="D223" t="s">
        <v>1203</v>
      </c>
      <c r="E223" t="s">
        <v>1210</v>
      </c>
      <c r="F223" t="s">
        <v>1156</v>
      </c>
      <c r="G223" t="s">
        <v>54</v>
      </c>
      <c r="H223" t="s">
        <v>1211</v>
      </c>
      <c r="I223" t="e">
        <f>D6*D16</f>
        <v>#VALUE!</v>
      </c>
      <c r="J223">
        <v>0.55660705761392426</v>
      </c>
      <c r="K223">
        <v>0.01</v>
      </c>
      <c r="L223" t="s">
        <v>1212</v>
      </c>
      <c r="M223" t="s">
        <v>1207</v>
      </c>
      <c r="O223" t="s">
        <v>358</v>
      </c>
      <c r="P223" t="s">
        <v>1208</v>
      </c>
      <c r="Q223">
        <v>49</v>
      </c>
      <c r="R223">
        <v>2</v>
      </c>
      <c r="S223" t="s">
        <v>367</v>
      </c>
    </row>
    <row r="224" spans="1:19" x14ac:dyDescent="0.2">
      <c r="A224" t="s">
        <v>1213</v>
      </c>
      <c r="B224">
        <v>223</v>
      </c>
      <c r="C224" t="s">
        <v>136</v>
      </c>
      <c r="D224" t="s">
        <v>1203</v>
      </c>
      <c r="E224" t="s">
        <v>1214</v>
      </c>
      <c r="F224" t="s">
        <v>1156</v>
      </c>
      <c r="G224" t="s">
        <v>54</v>
      </c>
      <c r="H224" t="s">
        <v>1215</v>
      </c>
      <c r="I224" t="e">
        <f>E6*E16</f>
        <v>#VALUE!</v>
      </c>
      <c r="J224">
        <v>0.55836428683809103</v>
      </c>
      <c r="K224">
        <v>0.01</v>
      </c>
      <c r="L224" t="s">
        <v>1216</v>
      </c>
      <c r="M224" t="s">
        <v>1207</v>
      </c>
      <c r="O224" t="s">
        <v>358</v>
      </c>
      <c r="P224" t="s">
        <v>1208</v>
      </c>
      <c r="Q224">
        <v>49</v>
      </c>
      <c r="R224">
        <v>3</v>
      </c>
      <c r="S224" t="s">
        <v>371</v>
      </c>
    </row>
    <row r="225" spans="1:19" x14ac:dyDescent="0.2">
      <c r="A225" t="s">
        <v>1217</v>
      </c>
      <c r="B225">
        <v>224</v>
      </c>
      <c r="C225" t="s">
        <v>136</v>
      </c>
      <c r="D225" t="s">
        <v>1203</v>
      </c>
      <c r="E225" t="s">
        <v>1218</v>
      </c>
      <c r="F225" t="s">
        <v>1156</v>
      </c>
      <c r="G225" t="s">
        <v>54</v>
      </c>
      <c r="H225" t="s">
        <v>1219</v>
      </c>
      <c r="I225" t="e">
        <f>F6*F16</f>
        <v>#VALUE!</v>
      </c>
      <c r="J225">
        <v>0.55455797766106463</v>
      </c>
      <c r="K225">
        <v>0.01</v>
      </c>
      <c r="L225" t="s">
        <v>1220</v>
      </c>
      <c r="M225" t="s">
        <v>1207</v>
      </c>
      <c r="O225" t="s">
        <v>358</v>
      </c>
      <c r="P225" t="s">
        <v>1208</v>
      </c>
      <c r="Q225">
        <v>49</v>
      </c>
      <c r="R225">
        <v>4</v>
      </c>
      <c r="S225" t="s">
        <v>375</v>
      </c>
    </row>
    <row r="226" spans="1:19" x14ac:dyDescent="0.2">
      <c r="A226" t="s">
        <v>1221</v>
      </c>
      <c r="B226">
        <v>225</v>
      </c>
      <c r="C226" t="s">
        <v>139</v>
      </c>
      <c r="D226" t="s">
        <v>1222</v>
      </c>
      <c r="E226" t="s">
        <v>1223</v>
      </c>
      <c r="F226" t="s">
        <v>1224</v>
      </c>
      <c r="G226" t="s">
        <v>54</v>
      </c>
      <c r="H226" t="s">
        <v>1124</v>
      </c>
      <c r="I226" t="e">
        <f>D6-C6</f>
        <v>#VALUE!</v>
      </c>
      <c r="J226">
        <v>3.5398230088468097E-5</v>
      </c>
      <c r="K226">
        <v>0.01</v>
      </c>
      <c r="L226" t="s">
        <v>1225</v>
      </c>
      <c r="M226" t="s">
        <v>1226</v>
      </c>
      <c r="O226" t="s">
        <v>358</v>
      </c>
      <c r="P226" t="s">
        <v>1227</v>
      </c>
      <c r="Q226">
        <v>50</v>
      </c>
      <c r="R226">
        <v>2</v>
      </c>
      <c r="S226" t="s">
        <v>367</v>
      </c>
    </row>
    <row r="227" spans="1:19" x14ac:dyDescent="0.2">
      <c r="A227" t="s">
        <v>1228</v>
      </c>
      <c r="B227">
        <v>226</v>
      </c>
      <c r="C227" t="s">
        <v>139</v>
      </c>
      <c r="D227" t="s">
        <v>1222</v>
      </c>
      <c r="E227" t="s">
        <v>1229</v>
      </c>
      <c r="F227" t="s">
        <v>1224</v>
      </c>
      <c r="G227" t="s">
        <v>54</v>
      </c>
      <c r="H227" t="s">
        <v>1128</v>
      </c>
      <c r="I227" t="e">
        <f>E6-D6</f>
        <v>#VALUE!</v>
      </c>
      <c r="J227">
        <v>-8.0633781522343462E-6</v>
      </c>
      <c r="K227">
        <v>0.01</v>
      </c>
      <c r="L227" t="s">
        <v>1230</v>
      </c>
      <c r="M227" t="s">
        <v>1226</v>
      </c>
      <c r="O227" t="s">
        <v>358</v>
      </c>
      <c r="P227" t="s">
        <v>1227</v>
      </c>
      <c r="Q227">
        <v>50</v>
      </c>
      <c r="R227">
        <v>3</v>
      </c>
      <c r="S227" t="s">
        <v>371</v>
      </c>
    </row>
    <row r="228" spans="1:19" x14ac:dyDescent="0.2">
      <c r="A228" t="s">
        <v>1231</v>
      </c>
      <c r="B228">
        <v>227</v>
      </c>
      <c r="C228" t="s">
        <v>139</v>
      </c>
      <c r="D228" t="s">
        <v>1222</v>
      </c>
      <c r="E228" t="s">
        <v>1232</v>
      </c>
      <c r="F228" t="s">
        <v>1224</v>
      </c>
      <c r="G228" t="s">
        <v>54</v>
      </c>
      <c r="H228" t="s">
        <v>1132</v>
      </c>
      <c r="I228" t="e">
        <f>F6-E6</f>
        <v>#VALUE!</v>
      </c>
      <c r="J228">
        <v>4.1982171509247213E-5</v>
      </c>
      <c r="K228">
        <v>0.01</v>
      </c>
      <c r="L228" t="s">
        <v>1233</v>
      </c>
      <c r="M228" t="s">
        <v>1226</v>
      </c>
      <c r="O228" t="s">
        <v>358</v>
      </c>
      <c r="P228" t="s">
        <v>1227</v>
      </c>
      <c r="Q228">
        <v>50</v>
      </c>
      <c r="R228">
        <v>4</v>
      </c>
      <c r="S228" t="s">
        <v>375</v>
      </c>
    </row>
    <row r="229" spans="1:19" x14ac:dyDescent="0.2">
      <c r="A229" t="s">
        <v>1234</v>
      </c>
      <c r="B229">
        <v>228</v>
      </c>
      <c r="C229" t="s">
        <v>143</v>
      </c>
      <c r="D229" t="s">
        <v>1235</v>
      </c>
      <c r="E229" t="s">
        <v>1236</v>
      </c>
      <c r="F229" t="s">
        <v>1224</v>
      </c>
      <c r="G229" t="s">
        <v>54</v>
      </c>
      <c r="H229" t="s">
        <v>1143</v>
      </c>
      <c r="I229" t="e">
        <f>D16-C16</f>
        <v>#VALUE!</v>
      </c>
      <c r="J229">
        <v>2.6124332471205491E-2</v>
      </c>
      <c r="K229">
        <v>0.01</v>
      </c>
      <c r="L229" t="s">
        <v>1237</v>
      </c>
      <c r="M229" t="s">
        <v>1238</v>
      </c>
      <c r="O229" t="s">
        <v>358</v>
      </c>
      <c r="P229" t="s">
        <v>1239</v>
      </c>
      <c r="Q229">
        <v>51</v>
      </c>
      <c r="R229">
        <v>2</v>
      </c>
      <c r="S229" t="s">
        <v>367</v>
      </c>
    </row>
    <row r="230" spans="1:19" x14ac:dyDescent="0.2">
      <c r="A230" t="s">
        <v>1240</v>
      </c>
      <c r="B230">
        <v>229</v>
      </c>
      <c r="C230" t="s">
        <v>143</v>
      </c>
      <c r="D230" t="s">
        <v>1235</v>
      </c>
      <c r="E230" t="s">
        <v>1241</v>
      </c>
      <c r="F230" t="s">
        <v>1224</v>
      </c>
      <c r="G230" t="s">
        <v>54</v>
      </c>
      <c r="H230" t="s">
        <v>1147</v>
      </c>
      <c r="I230" t="e">
        <f>E16-D16</f>
        <v>#VALUE!</v>
      </c>
      <c r="J230">
        <v>5.3331339638393871E-3</v>
      </c>
      <c r="K230">
        <v>0.01</v>
      </c>
      <c r="L230" t="s">
        <v>1242</v>
      </c>
      <c r="M230" t="s">
        <v>1238</v>
      </c>
      <c r="O230" t="s">
        <v>358</v>
      </c>
      <c r="P230" t="s">
        <v>1239</v>
      </c>
      <c r="Q230">
        <v>51</v>
      </c>
      <c r="R230">
        <v>3</v>
      </c>
      <c r="S230" t="s">
        <v>371</v>
      </c>
    </row>
    <row r="231" spans="1:19" x14ac:dyDescent="0.2">
      <c r="A231" t="s">
        <v>1243</v>
      </c>
      <c r="B231">
        <v>230</v>
      </c>
      <c r="C231" t="s">
        <v>143</v>
      </c>
      <c r="D231" t="s">
        <v>1235</v>
      </c>
      <c r="E231" t="s">
        <v>1244</v>
      </c>
      <c r="F231" t="s">
        <v>1224</v>
      </c>
      <c r="G231" t="s">
        <v>54</v>
      </c>
      <c r="H231" t="s">
        <v>1151</v>
      </c>
      <c r="I231" t="e">
        <f>F16-E16</f>
        <v>#VALUE!</v>
      </c>
      <c r="J231">
        <v>-1.16750016549616E-2</v>
      </c>
      <c r="K231">
        <v>0.01</v>
      </c>
      <c r="L231" t="s">
        <v>1245</v>
      </c>
      <c r="M231" t="s">
        <v>1238</v>
      </c>
      <c r="O231" t="s">
        <v>358</v>
      </c>
      <c r="P231" t="s">
        <v>1239</v>
      </c>
      <c r="Q231">
        <v>51</v>
      </c>
      <c r="R231">
        <v>4</v>
      </c>
      <c r="S231" t="s">
        <v>375</v>
      </c>
    </row>
    <row r="232" spans="1:19" x14ac:dyDescent="0.2">
      <c r="A232" t="s">
        <v>1246</v>
      </c>
      <c r="B232">
        <v>231</v>
      </c>
      <c r="C232" t="s">
        <v>146</v>
      </c>
      <c r="D232" t="s">
        <v>1247</v>
      </c>
      <c r="E232" t="s">
        <v>1248</v>
      </c>
      <c r="F232" t="s">
        <v>1224</v>
      </c>
      <c r="G232" t="s">
        <v>54</v>
      </c>
      <c r="H232" t="s">
        <v>1249</v>
      </c>
      <c r="I232" t="e">
        <f>D7-C7</f>
        <v>#VALUE!</v>
      </c>
      <c r="J232">
        <v>8.7326181520408497E-3</v>
      </c>
      <c r="K232">
        <v>0.01</v>
      </c>
      <c r="L232" t="s">
        <v>1250</v>
      </c>
      <c r="M232" t="s">
        <v>1251</v>
      </c>
      <c r="O232" t="s">
        <v>358</v>
      </c>
      <c r="P232" t="s">
        <v>166</v>
      </c>
      <c r="Q232">
        <v>52</v>
      </c>
      <c r="R232">
        <v>2</v>
      </c>
      <c r="S232" t="s">
        <v>367</v>
      </c>
    </row>
    <row r="233" spans="1:19" x14ac:dyDescent="0.2">
      <c r="A233" t="s">
        <v>1252</v>
      </c>
      <c r="B233">
        <v>232</v>
      </c>
      <c r="C233" t="s">
        <v>146</v>
      </c>
      <c r="D233" t="s">
        <v>1247</v>
      </c>
      <c r="E233" t="s">
        <v>1253</v>
      </c>
      <c r="F233" t="s">
        <v>1224</v>
      </c>
      <c r="G233" t="s">
        <v>54</v>
      </c>
      <c r="H233" t="s">
        <v>1254</v>
      </c>
      <c r="I233" t="e">
        <f>E7-D7</f>
        <v>#VALUE!</v>
      </c>
      <c r="J233">
        <v>1.7572292241666569E-3</v>
      </c>
      <c r="K233">
        <v>0.01</v>
      </c>
      <c r="L233" t="s">
        <v>1255</v>
      </c>
      <c r="M233" t="s">
        <v>1251</v>
      </c>
      <c r="O233" t="s">
        <v>358</v>
      </c>
      <c r="P233" t="s">
        <v>166</v>
      </c>
      <c r="Q233">
        <v>52</v>
      </c>
      <c r="R233">
        <v>3</v>
      </c>
      <c r="S233" t="s">
        <v>371</v>
      </c>
    </row>
    <row r="234" spans="1:19" x14ac:dyDescent="0.2">
      <c r="A234" t="s">
        <v>1256</v>
      </c>
      <c r="B234">
        <v>233</v>
      </c>
      <c r="C234" t="s">
        <v>146</v>
      </c>
      <c r="D234" t="s">
        <v>1247</v>
      </c>
      <c r="E234" t="s">
        <v>1257</v>
      </c>
      <c r="F234" t="s">
        <v>1224</v>
      </c>
      <c r="G234" t="s">
        <v>54</v>
      </c>
      <c r="H234" t="s">
        <v>1258</v>
      </c>
      <c r="I234" t="e">
        <f>F7-E7</f>
        <v>#VALUE!</v>
      </c>
      <c r="J234">
        <v>-3.8063091770262898E-3</v>
      </c>
      <c r="K234">
        <v>0.01</v>
      </c>
      <c r="L234" t="s">
        <v>1259</v>
      </c>
      <c r="M234" t="s">
        <v>1251</v>
      </c>
      <c r="O234" t="s">
        <v>358</v>
      </c>
      <c r="P234" t="s">
        <v>166</v>
      </c>
      <c r="Q234">
        <v>52</v>
      </c>
      <c r="R234">
        <v>4</v>
      </c>
      <c r="S234" t="s">
        <v>375</v>
      </c>
    </row>
    <row r="235" spans="1:19" x14ac:dyDescent="0.2">
      <c r="A235" t="s">
        <v>1260</v>
      </c>
      <c r="B235">
        <v>234</v>
      </c>
      <c r="C235" t="s">
        <v>149</v>
      </c>
      <c r="D235" t="s">
        <v>1261</v>
      </c>
      <c r="E235" t="s">
        <v>1262</v>
      </c>
      <c r="F235" t="s">
        <v>1224</v>
      </c>
      <c r="G235" t="s">
        <v>54</v>
      </c>
      <c r="H235" t="s">
        <v>405</v>
      </c>
      <c r="I235" t="e">
        <f>D22*((D16+C16)/2)</f>
        <v>#VALUE!</v>
      </c>
      <c r="J235">
        <v>5.8877394034723841E-5</v>
      </c>
      <c r="K235">
        <v>0.01</v>
      </c>
      <c r="L235" t="s">
        <v>1263</v>
      </c>
      <c r="M235" t="s">
        <v>1264</v>
      </c>
      <c r="O235" t="s">
        <v>358</v>
      </c>
      <c r="P235" t="s">
        <v>1265</v>
      </c>
      <c r="Q235">
        <v>53</v>
      </c>
      <c r="R235">
        <v>2</v>
      </c>
      <c r="S235" t="s">
        <v>367</v>
      </c>
    </row>
    <row r="236" spans="1:19" x14ac:dyDescent="0.2">
      <c r="A236" t="s">
        <v>1266</v>
      </c>
      <c r="B236">
        <v>235</v>
      </c>
      <c r="C236" t="s">
        <v>149</v>
      </c>
      <c r="D236" t="s">
        <v>1261</v>
      </c>
      <c r="E236" t="s">
        <v>1267</v>
      </c>
      <c r="F236" t="s">
        <v>1224</v>
      </c>
      <c r="G236" t="s">
        <v>54</v>
      </c>
      <c r="H236" t="s">
        <v>408</v>
      </c>
      <c r="I236" t="e">
        <f>E22*((E16+D16)/2)</f>
        <v>#VALUE!</v>
      </c>
      <c r="J236">
        <v>-1.3538533793141311E-5</v>
      </c>
      <c r="K236">
        <v>0.01</v>
      </c>
      <c r="L236" t="s">
        <v>1268</v>
      </c>
      <c r="M236" t="s">
        <v>1264</v>
      </c>
      <c r="O236" t="s">
        <v>358</v>
      </c>
      <c r="P236" t="s">
        <v>1265</v>
      </c>
      <c r="Q236">
        <v>53</v>
      </c>
      <c r="R236">
        <v>3</v>
      </c>
      <c r="S236" t="s">
        <v>371</v>
      </c>
    </row>
    <row r="237" spans="1:19" x14ac:dyDescent="0.2">
      <c r="A237" t="s">
        <v>1269</v>
      </c>
      <c r="B237">
        <v>236</v>
      </c>
      <c r="C237" t="s">
        <v>149</v>
      </c>
      <c r="D237" t="s">
        <v>1261</v>
      </c>
      <c r="E237" t="s">
        <v>1270</v>
      </c>
      <c r="F237" t="s">
        <v>1224</v>
      </c>
      <c r="G237" t="s">
        <v>54</v>
      </c>
      <c r="H237" t="s">
        <v>411</v>
      </c>
      <c r="I237" t="e">
        <f>F22*((F16+E16)/2)</f>
        <v>#VALUE!</v>
      </c>
      <c r="J237">
        <v>7.0355577823394966E-5</v>
      </c>
      <c r="K237">
        <v>0.01</v>
      </c>
      <c r="L237" t="s">
        <v>1271</v>
      </c>
      <c r="M237" t="s">
        <v>1264</v>
      </c>
      <c r="O237" t="s">
        <v>358</v>
      </c>
      <c r="P237" t="s">
        <v>1265</v>
      </c>
      <c r="Q237">
        <v>53</v>
      </c>
      <c r="R237">
        <v>4</v>
      </c>
      <c r="S237" t="s">
        <v>375</v>
      </c>
    </row>
    <row r="238" spans="1:19" x14ac:dyDescent="0.2">
      <c r="A238" t="s">
        <v>1272</v>
      </c>
      <c r="B238">
        <v>237</v>
      </c>
      <c r="C238" t="s">
        <v>152</v>
      </c>
      <c r="D238" t="s">
        <v>1273</v>
      </c>
      <c r="E238" t="s">
        <v>1274</v>
      </c>
      <c r="F238" t="s">
        <v>1224</v>
      </c>
      <c r="G238" t="s">
        <v>54</v>
      </c>
      <c r="H238" t="s">
        <v>423</v>
      </c>
      <c r="I238" t="e">
        <f>D23*((D6+C6)/2)</f>
        <v>#VALUE!</v>
      </c>
      <c r="J238">
        <v>8.6737407580060859E-3</v>
      </c>
      <c r="K238">
        <v>0.01</v>
      </c>
      <c r="L238" t="s">
        <v>1275</v>
      </c>
      <c r="M238" t="s">
        <v>1276</v>
      </c>
      <c r="O238" t="s">
        <v>358</v>
      </c>
      <c r="P238" t="s">
        <v>1277</v>
      </c>
      <c r="Q238">
        <v>54</v>
      </c>
      <c r="R238">
        <v>2</v>
      </c>
      <c r="S238" t="s">
        <v>367</v>
      </c>
    </row>
    <row r="239" spans="1:19" x14ac:dyDescent="0.2">
      <c r="A239" t="s">
        <v>1278</v>
      </c>
      <c r="B239">
        <v>238</v>
      </c>
      <c r="C239" t="s">
        <v>152</v>
      </c>
      <c r="D239" t="s">
        <v>1273</v>
      </c>
      <c r="E239" t="s">
        <v>1279</v>
      </c>
      <c r="F239" t="s">
        <v>1224</v>
      </c>
      <c r="G239" t="s">
        <v>54</v>
      </c>
      <c r="H239" t="s">
        <v>426</v>
      </c>
      <c r="I239" t="e">
        <f>E23*((E6+D6)/2)</f>
        <v>#VALUE!</v>
      </c>
      <c r="J239">
        <v>1.7707677579598779E-3</v>
      </c>
      <c r="K239">
        <v>0.01</v>
      </c>
      <c r="L239" t="s">
        <v>1280</v>
      </c>
      <c r="M239" t="s">
        <v>1276</v>
      </c>
      <c r="O239" t="s">
        <v>358</v>
      </c>
      <c r="P239" t="s">
        <v>1277</v>
      </c>
      <c r="Q239">
        <v>54</v>
      </c>
      <c r="R239">
        <v>3</v>
      </c>
      <c r="S239" t="s">
        <v>371</v>
      </c>
    </row>
    <row r="240" spans="1:19" x14ac:dyDescent="0.2">
      <c r="A240" t="s">
        <v>1281</v>
      </c>
      <c r="B240">
        <v>239</v>
      </c>
      <c r="C240" t="s">
        <v>152</v>
      </c>
      <c r="D240" t="s">
        <v>1273</v>
      </c>
      <c r="E240" t="s">
        <v>1282</v>
      </c>
      <c r="F240" t="s">
        <v>1224</v>
      </c>
      <c r="G240" t="s">
        <v>54</v>
      </c>
      <c r="H240" t="s">
        <v>429</v>
      </c>
      <c r="I240" t="e">
        <f>F23*((F6+E6)/2)</f>
        <v>#VALUE!</v>
      </c>
      <c r="J240">
        <v>-3.8766647548497709E-3</v>
      </c>
      <c r="K240">
        <v>0.01</v>
      </c>
      <c r="L240" t="s">
        <v>1283</v>
      </c>
      <c r="M240" t="s">
        <v>1276</v>
      </c>
      <c r="O240" t="s">
        <v>358</v>
      </c>
      <c r="P240" t="s">
        <v>1277</v>
      </c>
      <c r="Q240">
        <v>54</v>
      </c>
      <c r="R240">
        <v>4</v>
      </c>
      <c r="S240" t="s">
        <v>375</v>
      </c>
    </row>
    <row r="241" spans="1:19" x14ac:dyDescent="0.2">
      <c r="A241" t="s">
        <v>1284</v>
      </c>
      <c r="B241">
        <v>240</v>
      </c>
      <c r="C241" t="s">
        <v>155</v>
      </c>
      <c r="D241" t="s">
        <v>1285</v>
      </c>
      <c r="E241" t="s">
        <v>1286</v>
      </c>
      <c r="F241" t="s">
        <v>1224</v>
      </c>
      <c r="G241" t="s">
        <v>54</v>
      </c>
      <c r="H241" t="s">
        <v>443</v>
      </c>
      <c r="I241" t="e">
        <f>D25+D26</f>
        <v>#VALUE!</v>
      </c>
      <c r="J241">
        <v>8.7326181520408098E-3</v>
      </c>
      <c r="K241">
        <v>0.01</v>
      </c>
      <c r="L241" t="s">
        <v>1287</v>
      </c>
      <c r="M241" t="s">
        <v>1288</v>
      </c>
      <c r="O241" t="s">
        <v>358</v>
      </c>
      <c r="P241" t="s">
        <v>1289</v>
      </c>
      <c r="Q241">
        <v>55</v>
      </c>
      <c r="R241">
        <v>2</v>
      </c>
      <c r="S241" t="s">
        <v>367</v>
      </c>
    </row>
    <row r="242" spans="1:19" x14ac:dyDescent="0.2">
      <c r="A242" t="s">
        <v>1290</v>
      </c>
      <c r="B242">
        <v>241</v>
      </c>
      <c r="C242" t="s">
        <v>155</v>
      </c>
      <c r="D242" t="s">
        <v>1285</v>
      </c>
      <c r="E242" t="s">
        <v>1291</v>
      </c>
      <c r="F242" t="s">
        <v>1224</v>
      </c>
      <c r="G242" t="s">
        <v>54</v>
      </c>
      <c r="H242" t="s">
        <v>447</v>
      </c>
      <c r="I242" t="e">
        <f>E25+E26</f>
        <v>#VALUE!</v>
      </c>
      <c r="J242">
        <v>1.7572292241667369E-3</v>
      </c>
      <c r="K242">
        <v>0.01</v>
      </c>
      <c r="L242" t="s">
        <v>1292</v>
      </c>
      <c r="M242" t="s">
        <v>1288</v>
      </c>
      <c r="O242" t="s">
        <v>358</v>
      </c>
      <c r="P242" t="s">
        <v>1289</v>
      </c>
      <c r="Q242">
        <v>55</v>
      </c>
      <c r="R242">
        <v>3</v>
      </c>
      <c r="S242" t="s">
        <v>371</v>
      </c>
    </row>
    <row r="243" spans="1:19" x14ac:dyDescent="0.2">
      <c r="A243" t="s">
        <v>1293</v>
      </c>
      <c r="B243">
        <v>242</v>
      </c>
      <c r="C243" t="s">
        <v>155</v>
      </c>
      <c r="D243" t="s">
        <v>1285</v>
      </c>
      <c r="E243" t="s">
        <v>1294</v>
      </c>
      <c r="F243" t="s">
        <v>1224</v>
      </c>
      <c r="G243" t="s">
        <v>54</v>
      </c>
      <c r="H243" t="s">
        <v>451</v>
      </c>
      <c r="I243" t="e">
        <f>F25+F26</f>
        <v>#VALUE!</v>
      </c>
      <c r="J243">
        <v>-3.8063091770263761E-3</v>
      </c>
      <c r="K243">
        <v>0.01</v>
      </c>
      <c r="L243" t="s">
        <v>1295</v>
      </c>
      <c r="M243" t="s">
        <v>1288</v>
      </c>
      <c r="O243" t="s">
        <v>358</v>
      </c>
      <c r="P243" t="s">
        <v>1289</v>
      </c>
      <c r="Q243">
        <v>55</v>
      </c>
      <c r="R243">
        <v>4</v>
      </c>
      <c r="S243" t="s">
        <v>375</v>
      </c>
    </row>
    <row r="244" spans="1:19" x14ac:dyDescent="0.2">
      <c r="A244" t="s">
        <v>1296</v>
      </c>
      <c r="B244">
        <v>243</v>
      </c>
      <c r="C244" t="s">
        <v>158</v>
      </c>
      <c r="D244" t="s">
        <v>1297</v>
      </c>
      <c r="E244" t="s">
        <v>1298</v>
      </c>
      <c r="F244" t="s">
        <v>1299</v>
      </c>
      <c r="G244" t="s">
        <v>54</v>
      </c>
      <c r="H244" t="s">
        <v>483</v>
      </c>
      <c r="I244" t="e">
        <f>C10*C9</f>
        <v>#VALUE!</v>
      </c>
      <c r="J244">
        <v>5.4588938714499264E-3</v>
      </c>
      <c r="K244">
        <v>0.01</v>
      </c>
      <c r="L244" t="s">
        <v>1300</v>
      </c>
      <c r="M244" t="s">
        <v>1301</v>
      </c>
      <c r="O244" t="s">
        <v>358</v>
      </c>
      <c r="P244" t="s">
        <v>1302</v>
      </c>
      <c r="Q244">
        <v>56</v>
      </c>
      <c r="R244">
        <v>1</v>
      </c>
      <c r="S244" t="s">
        <v>363</v>
      </c>
    </row>
    <row r="245" spans="1:19" x14ac:dyDescent="0.2">
      <c r="A245" t="s">
        <v>1303</v>
      </c>
      <c r="B245">
        <v>244</v>
      </c>
      <c r="C245" t="s">
        <v>158</v>
      </c>
      <c r="D245" t="s">
        <v>1297</v>
      </c>
      <c r="E245" t="s">
        <v>1304</v>
      </c>
      <c r="F245" t="s">
        <v>1299</v>
      </c>
      <c r="G245" t="s">
        <v>54</v>
      </c>
      <c r="H245" t="s">
        <v>486</v>
      </c>
      <c r="I245" t="e">
        <f>D10*D9</f>
        <v>#VALUE!</v>
      </c>
      <c r="J245">
        <v>-1.8410336302448871E-2</v>
      </c>
      <c r="K245">
        <v>0.01</v>
      </c>
      <c r="L245" t="s">
        <v>1305</v>
      </c>
      <c r="M245" t="s">
        <v>1301</v>
      </c>
      <c r="O245" t="s">
        <v>358</v>
      </c>
      <c r="P245" t="s">
        <v>1302</v>
      </c>
      <c r="Q245">
        <v>56</v>
      </c>
      <c r="R245">
        <v>2</v>
      </c>
      <c r="S245" t="s">
        <v>367</v>
      </c>
    </row>
    <row r="246" spans="1:19" x14ac:dyDescent="0.2">
      <c r="A246" t="s">
        <v>1306</v>
      </c>
      <c r="B246">
        <v>245</v>
      </c>
      <c r="C246" t="s">
        <v>158</v>
      </c>
      <c r="D246" t="s">
        <v>1297</v>
      </c>
      <c r="E246" t="s">
        <v>1307</v>
      </c>
      <c r="F246" t="s">
        <v>1299</v>
      </c>
      <c r="G246" t="s">
        <v>54</v>
      </c>
      <c r="H246" t="s">
        <v>489</v>
      </c>
      <c r="I246" t="e">
        <f>E10*E9</f>
        <v>#VALUE!</v>
      </c>
      <c r="J246">
        <v>-3.7792858266662357E-2</v>
      </c>
      <c r="K246">
        <v>0.01</v>
      </c>
      <c r="L246" t="s">
        <v>1308</v>
      </c>
      <c r="M246" t="s">
        <v>1301</v>
      </c>
      <c r="O246" t="s">
        <v>358</v>
      </c>
      <c r="P246" t="s">
        <v>1302</v>
      </c>
      <c r="Q246">
        <v>56</v>
      </c>
      <c r="R246">
        <v>3</v>
      </c>
      <c r="S246" t="s">
        <v>371</v>
      </c>
    </row>
    <row r="247" spans="1:19" x14ac:dyDescent="0.2">
      <c r="A247" t="s">
        <v>1309</v>
      </c>
      <c r="B247">
        <v>246</v>
      </c>
      <c r="C247" t="s">
        <v>158</v>
      </c>
      <c r="D247" t="s">
        <v>1297</v>
      </c>
      <c r="E247" t="s">
        <v>1310</v>
      </c>
      <c r="F247" t="s">
        <v>1299</v>
      </c>
      <c r="G247" t="s">
        <v>54</v>
      </c>
      <c r="H247" t="s">
        <v>492</v>
      </c>
      <c r="I247" t="e">
        <f>F10*F9</f>
        <v>#VALUE!</v>
      </c>
      <c r="J247">
        <v>-5.1841928278348527E-2</v>
      </c>
      <c r="K247">
        <v>0.01</v>
      </c>
      <c r="L247" t="s">
        <v>1311</v>
      </c>
      <c r="M247" t="s">
        <v>1301</v>
      </c>
      <c r="O247" t="s">
        <v>358</v>
      </c>
      <c r="P247" t="s">
        <v>1302</v>
      </c>
      <c r="Q247">
        <v>56</v>
      </c>
      <c r="R247">
        <v>4</v>
      </c>
      <c r="S247" t="s">
        <v>375</v>
      </c>
    </row>
    <row r="248" spans="1:19" x14ac:dyDescent="0.2">
      <c r="A248" t="s">
        <v>1312</v>
      </c>
      <c r="B248">
        <v>247</v>
      </c>
      <c r="C248" t="s">
        <v>161</v>
      </c>
      <c r="D248" t="s">
        <v>1313</v>
      </c>
      <c r="E248" t="s">
        <v>1314</v>
      </c>
      <c r="F248" t="s">
        <v>1299</v>
      </c>
      <c r="G248" t="s">
        <v>54</v>
      </c>
      <c r="H248" t="s">
        <v>559</v>
      </c>
      <c r="I248" t="e">
        <f>D11-C11</f>
        <v>#VALUE!</v>
      </c>
      <c r="J248">
        <v>-1.5136612021858009E-2</v>
      </c>
      <c r="K248">
        <v>0.01</v>
      </c>
      <c r="L248" t="s">
        <v>1315</v>
      </c>
      <c r="M248" t="s">
        <v>1316</v>
      </c>
      <c r="O248" t="s">
        <v>358</v>
      </c>
      <c r="P248" t="s">
        <v>1317</v>
      </c>
      <c r="Q248">
        <v>57</v>
      </c>
      <c r="R248">
        <v>2</v>
      </c>
      <c r="S248" t="s">
        <v>367</v>
      </c>
    </row>
    <row r="249" spans="1:19" x14ac:dyDescent="0.2">
      <c r="A249" t="s">
        <v>1318</v>
      </c>
      <c r="B249">
        <v>248</v>
      </c>
      <c r="C249" t="s">
        <v>161</v>
      </c>
      <c r="D249" t="s">
        <v>1313</v>
      </c>
      <c r="E249" t="s">
        <v>1319</v>
      </c>
      <c r="F249" t="s">
        <v>1299</v>
      </c>
      <c r="G249" t="s">
        <v>54</v>
      </c>
      <c r="H249" t="s">
        <v>562</v>
      </c>
      <c r="I249" t="e">
        <f>E11-D11</f>
        <v>#VALUE!</v>
      </c>
      <c r="J249">
        <v>-1.7625292740046761E-2</v>
      </c>
      <c r="K249">
        <v>0.01</v>
      </c>
      <c r="L249" t="s">
        <v>1320</v>
      </c>
      <c r="M249" t="s">
        <v>1316</v>
      </c>
      <c r="O249" t="s">
        <v>358</v>
      </c>
      <c r="P249" t="s">
        <v>1317</v>
      </c>
      <c r="Q249">
        <v>57</v>
      </c>
      <c r="R249">
        <v>3</v>
      </c>
      <c r="S249" t="s">
        <v>371</v>
      </c>
    </row>
    <row r="250" spans="1:19" x14ac:dyDescent="0.2">
      <c r="A250" t="s">
        <v>1321</v>
      </c>
      <c r="B250">
        <v>249</v>
      </c>
      <c r="C250" t="s">
        <v>161</v>
      </c>
      <c r="D250" t="s">
        <v>1313</v>
      </c>
      <c r="E250" t="s">
        <v>1322</v>
      </c>
      <c r="F250" t="s">
        <v>1299</v>
      </c>
      <c r="G250" t="s">
        <v>54</v>
      </c>
      <c r="H250" t="s">
        <v>565</v>
      </c>
      <c r="I250" t="e">
        <f>F11-E11</f>
        <v>#VALUE!</v>
      </c>
      <c r="J250">
        <v>-1.7855379188712491E-2</v>
      </c>
      <c r="K250">
        <v>0.01</v>
      </c>
      <c r="L250" t="s">
        <v>1323</v>
      </c>
      <c r="M250" t="s">
        <v>1316</v>
      </c>
      <c r="O250" t="s">
        <v>358</v>
      </c>
      <c r="P250" t="s">
        <v>1317</v>
      </c>
      <c r="Q250">
        <v>57</v>
      </c>
      <c r="R250">
        <v>4</v>
      </c>
      <c r="S250" t="s">
        <v>375</v>
      </c>
    </row>
    <row r="251" spans="1:19" x14ac:dyDescent="0.2">
      <c r="A251" t="s">
        <v>1324</v>
      </c>
      <c r="B251">
        <v>250</v>
      </c>
      <c r="C251" t="s">
        <v>164</v>
      </c>
      <c r="D251" t="s">
        <v>1325</v>
      </c>
      <c r="E251" t="s">
        <v>1326</v>
      </c>
      <c r="F251" t="s">
        <v>1299</v>
      </c>
      <c r="G251" t="s">
        <v>54</v>
      </c>
      <c r="H251" t="s">
        <v>579</v>
      </c>
      <c r="I251" t="str">
        <f>D24</f>
        <v>Apply the effective tax rate once to net interest.</v>
      </c>
      <c r="J251">
        <v>8.7326181520408497E-3</v>
      </c>
      <c r="K251">
        <v>0.01</v>
      </c>
      <c r="L251" t="s">
        <v>1246</v>
      </c>
      <c r="M251" t="s">
        <v>1327</v>
      </c>
      <c r="O251" t="s">
        <v>358</v>
      </c>
      <c r="P251" t="s">
        <v>1328</v>
      </c>
      <c r="Q251">
        <v>58</v>
      </c>
      <c r="R251">
        <v>2</v>
      </c>
      <c r="S251" t="s">
        <v>367</v>
      </c>
    </row>
    <row r="252" spans="1:19" x14ac:dyDescent="0.2">
      <c r="A252" t="s">
        <v>1329</v>
      </c>
      <c r="B252">
        <v>251</v>
      </c>
      <c r="C252" t="s">
        <v>164</v>
      </c>
      <c r="D252" t="s">
        <v>1325</v>
      </c>
      <c r="E252" t="s">
        <v>1330</v>
      </c>
      <c r="F252" t="s">
        <v>1299</v>
      </c>
      <c r="G252" t="s">
        <v>54</v>
      </c>
      <c r="H252" t="s">
        <v>583</v>
      </c>
      <c r="I252" t="str">
        <f>E24</f>
        <v>condensed.net_interest_after_tax.2023-12-31</v>
      </c>
      <c r="J252">
        <v>1.7572292241666569E-3</v>
      </c>
      <c r="K252">
        <v>0.01</v>
      </c>
      <c r="L252" t="s">
        <v>1252</v>
      </c>
      <c r="M252" t="s">
        <v>1327</v>
      </c>
      <c r="O252" t="s">
        <v>358</v>
      </c>
      <c r="P252" t="s">
        <v>1328</v>
      </c>
      <c r="Q252">
        <v>58</v>
      </c>
      <c r="R252">
        <v>3</v>
      </c>
      <c r="S252" t="s">
        <v>371</v>
      </c>
    </row>
    <row r="253" spans="1:19" x14ac:dyDescent="0.2">
      <c r="A253" t="s">
        <v>1331</v>
      </c>
      <c r="B253">
        <v>252</v>
      </c>
      <c r="C253" t="s">
        <v>164</v>
      </c>
      <c r="D253" t="s">
        <v>1325</v>
      </c>
      <c r="E253" t="s">
        <v>1332</v>
      </c>
      <c r="F253" t="s">
        <v>1299</v>
      </c>
      <c r="G253" t="s">
        <v>54</v>
      </c>
      <c r="H253" t="s">
        <v>587</v>
      </c>
      <c r="I253" t="str">
        <f>F24</f>
        <v>accounting</v>
      </c>
      <c r="J253">
        <v>-3.8063091770262898E-3</v>
      </c>
      <c r="K253">
        <v>0.01</v>
      </c>
      <c r="L253" t="s">
        <v>1256</v>
      </c>
      <c r="M253" t="s">
        <v>1327</v>
      </c>
      <c r="O253" t="s">
        <v>358</v>
      </c>
      <c r="P253" t="s">
        <v>1328</v>
      </c>
      <c r="Q253">
        <v>58</v>
      </c>
      <c r="R253">
        <v>4</v>
      </c>
      <c r="S253" t="s">
        <v>375</v>
      </c>
    </row>
    <row r="254" spans="1:19" x14ac:dyDescent="0.2">
      <c r="A254" t="s">
        <v>1333</v>
      </c>
      <c r="B254">
        <v>253</v>
      </c>
      <c r="C254" t="s">
        <v>167</v>
      </c>
      <c r="D254" t="s">
        <v>1334</v>
      </c>
      <c r="E254" t="s">
        <v>1335</v>
      </c>
      <c r="F254" t="s">
        <v>1299</v>
      </c>
      <c r="G254" t="s">
        <v>54</v>
      </c>
      <c r="H254" t="s">
        <v>601</v>
      </c>
      <c r="I254" t="e">
        <f>(D10-C10)*((D9+C9)/2)</f>
        <v>#VALUE!</v>
      </c>
      <c r="J254">
        <v>-3.7233147906010983E-2</v>
      </c>
      <c r="K254">
        <v>0.01</v>
      </c>
      <c r="L254" t="s">
        <v>1336</v>
      </c>
      <c r="M254" t="s">
        <v>1337</v>
      </c>
      <c r="O254" t="s">
        <v>358</v>
      </c>
      <c r="P254" t="s">
        <v>1338</v>
      </c>
      <c r="Q254">
        <v>59</v>
      </c>
      <c r="R254">
        <v>2</v>
      </c>
      <c r="S254" t="s">
        <v>367</v>
      </c>
    </row>
    <row r="255" spans="1:19" x14ac:dyDescent="0.2">
      <c r="A255" t="s">
        <v>1339</v>
      </c>
      <c r="B255">
        <v>254</v>
      </c>
      <c r="C255" t="s">
        <v>167</v>
      </c>
      <c r="D255" t="s">
        <v>1334</v>
      </c>
      <c r="E255" t="s">
        <v>1340</v>
      </c>
      <c r="F255" t="s">
        <v>1299</v>
      </c>
      <c r="G255" t="s">
        <v>54</v>
      </c>
      <c r="H255" t="s">
        <v>605</v>
      </c>
      <c r="I255" t="e">
        <f>(E10-D10)*((E9+D9)/2)</f>
        <v>#VALUE!</v>
      </c>
      <c r="J255">
        <v>-4.1272729135279247E-2</v>
      </c>
      <c r="K255">
        <v>0.01</v>
      </c>
      <c r="L255" t="s">
        <v>1341</v>
      </c>
      <c r="M255" t="s">
        <v>1337</v>
      </c>
      <c r="O255" t="s">
        <v>358</v>
      </c>
      <c r="P255" t="s">
        <v>1338</v>
      </c>
      <c r="Q255">
        <v>59</v>
      </c>
      <c r="R255">
        <v>3</v>
      </c>
      <c r="S255" t="s">
        <v>371</v>
      </c>
    </row>
    <row r="256" spans="1:19" x14ac:dyDescent="0.2">
      <c r="A256" t="s">
        <v>1342</v>
      </c>
      <c r="B256">
        <v>255</v>
      </c>
      <c r="C256" t="s">
        <v>167</v>
      </c>
      <c r="D256" t="s">
        <v>1334</v>
      </c>
      <c r="E256" t="s">
        <v>1343</v>
      </c>
      <c r="F256" t="s">
        <v>1299</v>
      </c>
      <c r="G256" t="s">
        <v>54</v>
      </c>
      <c r="H256" t="s">
        <v>609</v>
      </c>
      <c r="I256" t="e">
        <f>(F10-E10)*((F9+E9)/2)</f>
        <v>#VALUE!</v>
      </c>
      <c r="J256">
        <v>-1.998087904937235E-2</v>
      </c>
      <c r="K256">
        <v>0.01</v>
      </c>
      <c r="L256" t="s">
        <v>1344</v>
      </c>
      <c r="M256" t="s">
        <v>1337</v>
      </c>
      <c r="O256" t="s">
        <v>358</v>
      </c>
      <c r="P256" t="s">
        <v>1338</v>
      </c>
      <c r="Q256">
        <v>59</v>
      </c>
      <c r="R256">
        <v>4</v>
      </c>
      <c r="S256" t="s">
        <v>375</v>
      </c>
    </row>
    <row r="257" spans="1:19" x14ac:dyDescent="0.2">
      <c r="A257" t="s">
        <v>1345</v>
      </c>
      <c r="B257">
        <v>256</v>
      </c>
      <c r="C257" t="s">
        <v>169</v>
      </c>
      <c r="D257" t="s">
        <v>1346</v>
      </c>
      <c r="E257" t="s">
        <v>1347</v>
      </c>
      <c r="F257" t="s">
        <v>1299</v>
      </c>
      <c r="G257" t="s">
        <v>54</v>
      </c>
      <c r="H257" t="s">
        <v>621</v>
      </c>
      <c r="I257" t="e">
        <f>(D9-C9)*((D10+C10)/2)</f>
        <v>#VALUE!</v>
      </c>
      <c r="J257">
        <v>1.3363917732112179E-2</v>
      </c>
      <c r="K257">
        <v>0.01</v>
      </c>
      <c r="L257" t="s">
        <v>1348</v>
      </c>
      <c r="M257" t="s">
        <v>1349</v>
      </c>
      <c r="O257" t="s">
        <v>358</v>
      </c>
      <c r="P257" t="s">
        <v>1350</v>
      </c>
      <c r="Q257">
        <v>60</v>
      </c>
      <c r="R257">
        <v>2</v>
      </c>
      <c r="S257" t="s">
        <v>367</v>
      </c>
    </row>
    <row r="258" spans="1:19" x14ac:dyDescent="0.2">
      <c r="A258" t="s">
        <v>1351</v>
      </c>
      <c r="B258">
        <v>257</v>
      </c>
      <c r="C258" t="s">
        <v>169</v>
      </c>
      <c r="D258" t="s">
        <v>1346</v>
      </c>
      <c r="E258" t="s">
        <v>1352</v>
      </c>
      <c r="F258" t="s">
        <v>1299</v>
      </c>
      <c r="G258" t="s">
        <v>54</v>
      </c>
      <c r="H258" t="s">
        <v>624</v>
      </c>
      <c r="I258" t="e">
        <f>(E9-D9)*((E10+D10)/2)</f>
        <v>#VALUE!</v>
      </c>
      <c r="J258">
        <v>2.189020717106575E-2</v>
      </c>
      <c r="K258">
        <v>0.01</v>
      </c>
      <c r="L258" t="s">
        <v>1353</v>
      </c>
      <c r="M258" t="s">
        <v>1349</v>
      </c>
      <c r="O258" t="s">
        <v>358</v>
      </c>
      <c r="P258" t="s">
        <v>1350</v>
      </c>
      <c r="Q258">
        <v>60</v>
      </c>
      <c r="R258">
        <v>3</v>
      </c>
      <c r="S258" t="s">
        <v>371</v>
      </c>
    </row>
    <row r="259" spans="1:19" x14ac:dyDescent="0.2">
      <c r="A259" t="s">
        <v>1354</v>
      </c>
      <c r="B259">
        <v>258</v>
      </c>
      <c r="C259" t="s">
        <v>169</v>
      </c>
      <c r="D259" t="s">
        <v>1346</v>
      </c>
      <c r="E259" t="s">
        <v>1355</v>
      </c>
      <c r="F259" t="s">
        <v>1299</v>
      </c>
      <c r="G259" t="s">
        <v>54</v>
      </c>
      <c r="H259" t="s">
        <v>627</v>
      </c>
      <c r="I259" t="e">
        <f>(F9-E9)*((F10+E10)/2)</f>
        <v>#VALUE!</v>
      </c>
      <c r="J259">
        <v>5.9318090376861924E-3</v>
      </c>
      <c r="K259">
        <v>0.01</v>
      </c>
      <c r="L259" t="s">
        <v>1356</v>
      </c>
      <c r="M259" t="s">
        <v>1349</v>
      </c>
      <c r="O259" t="s">
        <v>358</v>
      </c>
      <c r="P259" t="s">
        <v>1350</v>
      </c>
      <c r="Q259">
        <v>60</v>
      </c>
      <c r="R259">
        <v>4</v>
      </c>
      <c r="S259" t="s">
        <v>375</v>
      </c>
    </row>
    <row r="260" spans="1:19" x14ac:dyDescent="0.2">
      <c r="A260" t="s">
        <v>1357</v>
      </c>
      <c r="B260">
        <v>259</v>
      </c>
      <c r="C260" t="s">
        <v>172</v>
      </c>
      <c r="D260" t="s">
        <v>1358</v>
      </c>
      <c r="E260" t="s">
        <v>1359</v>
      </c>
      <c r="F260" t="s">
        <v>1299</v>
      </c>
      <c r="G260" t="s">
        <v>54</v>
      </c>
      <c r="H260" t="s">
        <v>638</v>
      </c>
      <c r="I260" t="e">
        <f>D37+D38</f>
        <v>#VALUE!</v>
      </c>
      <c r="J260">
        <v>-2.38692301738988E-2</v>
      </c>
      <c r="K260">
        <v>0.01</v>
      </c>
      <c r="L260" t="s">
        <v>1360</v>
      </c>
      <c r="M260" t="s">
        <v>1361</v>
      </c>
      <c r="O260" t="s">
        <v>358</v>
      </c>
      <c r="P260" t="s">
        <v>1362</v>
      </c>
      <c r="Q260">
        <v>61</v>
      </c>
      <c r="R260">
        <v>2</v>
      </c>
      <c r="S260" t="s">
        <v>367</v>
      </c>
    </row>
    <row r="261" spans="1:19" x14ac:dyDescent="0.2">
      <c r="A261" t="s">
        <v>1363</v>
      </c>
      <c r="B261">
        <v>260</v>
      </c>
      <c r="C261" t="s">
        <v>172</v>
      </c>
      <c r="D261" t="s">
        <v>1358</v>
      </c>
      <c r="E261" t="s">
        <v>1364</v>
      </c>
      <c r="F261" t="s">
        <v>1299</v>
      </c>
      <c r="G261" t="s">
        <v>54</v>
      </c>
      <c r="H261" t="s">
        <v>641</v>
      </c>
      <c r="I261" t="e">
        <f>E37+E38</f>
        <v>#VALUE!</v>
      </c>
      <c r="J261">
        <v>-1.93825219642135E-2</v>
      </c>
      <c r="K261">
        <v>0.01</v>
      </c>
      <c r="L261" t="s">
        <v>1365</v>
      </c>
      <c r="M261" t="s">
        <v>1361</v>
      </c>
      <c r="O261" t="s">
        <v>358</v>
      </c>
      <c r="P261" t="s">
        <v>1362</v>
      </c>
      <c r="Q261">
        <v>61</v>
      </c>
      <c r="R261">
        <v>3</v>
      </c>
      <c r="S261" t="s">
        <v>371</v>
      </c>
    </row>
    <row r="262" spans="1:19" x14ac:dyDescent="0.2">
      <c r="A262" t="s">
        <v>1366</v>
      </c>
      <c r="B262">
        <v>261</v>
      </c>
      <c r="C262" t="s">
        <v>172</v>
      </c>
      <c r="D262" t="s">
        <v>1358</v>
      </c>
      <c r="E262" t="s">
        <v>1367</v>
      </c>
      <c r="F262" t="s">
        <v>1299</v>
      </c>
      <c r="G262" t="s">
        <v>54</v>
      </c>
      <c r="H262" t="s">
        <v>644</v>
      </c>
      <c r="I262" t="e">
        <f>F37+F38</f>
        <v>#VALUE!</v>
      </c>
      <c r="J262">
        <v>-1.4049070011686159E-2</v>
      </c>
      <c r="K262">
        <v>0.01</v>
      </c>
      <c r="L262" t="s">
        <v>1368</v>
      </c>
      <c r="M262" t="s">
        <v>1361</v>
      </c>
      <c r="O262" t="s">
        <v>358</v>
      </c>
      <c r="P262" t="s">
        <v>1362</v>
      </c>
      <c r="Q262">
        <v>61</v>
      </c>
      <c r="R262">
        <v>4</v>
      </c>
      <c r="S262" t="s">
        <v>375</v>
      </c>
    </row>
    <row r="263" spans="1:19" x14ac:dyDescent="0.2">
      <c r="A263" t="s">
        <v>1369</v>
      </c>
      <c r="B263">
        <v>262</v>
      </c>
      <c r="C263" t="s">
        <v>175</v>
      </c>
      <c r="D263" t="s">
        <v>1370</v>
      </c>
      <c r="E263" t="s">
        <v>1371</v>
      </c>
      <c r="F263" t="s">
        <v>1299</v>
      </c>
      <c r="G263" t="s">
        <v>54</v>
      </c>
      <c r="H263" t="s">
        <v>658</v>
      </c>
      <c r="I263" t="e">
        <f>D36+D39</f>
        <v>#VALUE!</v>
      </c>
      <c r="J263">
        <v>-1.513661202185795E-2</v>
      </c>
      <c r="K263">
        <v>0.01</v>
      </c>
      <c r="L263" t="s">
        <v>1372</v>
      </c>
      <c r="M263" t="s">
        <v>1373</v>
      </c>
      <c r="O263" t="s">
        <v>358</v>
      </c>
      <c r="P263" t="s">
        <v>1374</v>
      </c>
      <c r="Q263">
        <v>62</v>
      </c>
      <c r="R263">
        <v>2</v>
      </c>
      <c r="S263" t="s">
        <v>367</v>
      </c>
    </row>
    <row r="264" spans="1:19" x14ac:dyDescent="0.2">
      <c r="A264" t="s">
        <v>1375</v>
      </c>
      <c r="B264">
        <v>263</v>
      </c>
      <c r="C264" t="s">
        <v>175</v>
      </c>
      <c r="D264" t="s">
        <v>1370</v>
      </c>
      <c r="E264" t="s">
        <v>1376</v>
      </c>
      <c r="F264" t="s">
        <v>1299</v>
      </c>
      <c r="G264" t="s">
        <v>54</v>
      </c>
      <c r="H264" t="s">
        <v>662</v>
      </c>
      <c r="I264" t="e">
        <f>E36+E39</f>
        <v>#VALUE!</v>
      </c>
      <c r="J264">
        <v>-1.7625292740046841E-2</v>
      </c>
      <c r="K264">
        <v>0.01</v>
      </c>
      <c r="L264" t="s">
        <v>1377</v>
      </c>
      <c r="M264" t="s">
        <v>1373</v>
      </c>
      <c r="O264" t="s">
        <v>358</v>
      </c>
      <c r="P264" t="s">
        <v>1374</v>
      </c>
      <c r="Q264">
        <v>62</v>
      </c>
      <c r="R264">
        <v>3</v>
      </c>
      <c r="S264" t="s">
        <v>371</v>
      </c>
    </row>
    <row r="265" spans="1:19" x14ac:dyDescent="0.2">
      <c r="A265" t="s">
        <v>1378</v>
      </c>
      <c r="B265">
        <v>264</v>
      </c>
      <c r="C265" t="s">
        <v>175</v>
      </c>
      <c r="D265" t="s">
        <v>1370</v>
      </c>
      <c r="E265" t="s">
        <v>1379</v>
      </c>
      <c r="F265" t="s">
        <v>1299</v>
      </c>
      <c r="G265" t="s">
        <v>54</v>
      </c>
      <c r="H265" t="s">
        <v>666</v>
      </c>
      <c r="I265" t="e">
        <f>F36+F39</f>
        <v>#VALUE!</v>
      </c>
      <c r="J265">
        <v>-1.785537918871245E-2</v>
      </c>
      <c r="K265">
        <v>0.01</v>
      </c>
      <c r="L265" t="s">
        <v>1380</v>
      </c>
      <c r="M265" t="s">
        <v>1373</v>
      </c>
      <c r="O265" t="s">
        <v>358</v>
      </c>
      <c r="P265" t="s">
        <v>1374</v>
      </c>
      <c r="Q265">
        <v>62</v>
      </c>
      <c r="R265">
        <v>4</v>
      </c>
      <c r="S265" t="s">
        <v>375</v>
      </c>
    </row>
    <row r="266" spans="1:19" x14ac:dyDescent="0.2">
      <c r="A266" t="s">
        <v>1381</v>
      </c>
      <c r="B266">
        <v>265</v>
      </c>
      <c r="C266" t="s">
        <v>178</v>
      </c>
      <c r="D266" t="s">
        <v>1382</v>
      </c>
      <c r="E266" t="s">
        <v>1383</v>
      </c>
      <c r="F266" t="s">
        <v>1384</v>
      </c>
      <c r="G266" t="s">
        <v>90</v>
      </c>
      <c r="H266" t="s">
        <v>1035</v>
      </c>
      <c r="I266" t="e">
        <f>C5-B5</f>
        <v>#VALUE!</v>
      </c>
      <c r="J266">
        <v>150</v>
      </c>
      <c r="K266">
        <v>0.01</v>
      </c>
      <c r="L266" t="s">
        <v>1385</v>
      </c>
      <c r="M266" t="s">
        <v>1386</v>
      </c>
      <c r="O266" t="s">
        <v>358</v>
      </c>
      <c r="P266" t="s">
        <v>1387</v>
      </c>
      <c r="Q266">
        <v>63</v>
      </c>
      <c r="R266">
        <v>1</v>
      </c>
      <c r="S266" t="s">
        <v>363</v>
      </c>
    </row>
    <row r="267" spans="1:19" x14ac:dyDescent="0.2">
      <c r="A267" t="s">
        <v>1388</v>
      </c>
      <c r="B267">
        <v>266</v>
      </c>
      <c r="C267" t="s">
        <v>178</v>
      </c>
      <c r="D267" t="s">
        <v>1382</v>
      </c>
      <c r="E267" t="s">
        <v>1389</v>
      </c>
      <c r="F267" t="s">
        <v>1384</v>
      </c>
      <c r="G267" t="s">
        <v>90</v>
      </c>
      <c r="H267" t="s">
        <v>1040</v>
      </c>
      <c r="I267" t="e">
        <f>D5-C5</f>
        <v>#VALUE!</v>
      </c>
      <c r="J267">
        <v>150</v>
      </c>
      <c r="K267">
        <v>0.01</v>
      </c>
      <c r="L267" t="s">
        <v>1390</v>
      </c>
      <c r="M267" t="s">
        <v>1386</v>
      </c>
      <c r="O267" t="s">
        <v>358</v>
      </c>
      <c r="P267" t="s">
        <v>1387</v>
      </c>
      <c r="Q267">
        <v>63</v>
      </c>
      <c r="R267">
        <v>2</v>
      </c>
      <c r="S267" t="s">
        <v>367</v>
      </c>
    </row>
    <row r="268" spans="1:19" x14ac:dyDescent="0.2">
      <c r="A268" t="s">
        <v>1391</v>
      </c>
      <c r="B268">
        <v>267</v>
      </c>
      <c r="C268" t="s">
        <v>178</v>
      </c>
      <c r="D268" t="s">
        <v>1382</v>
      </c>
      <c r="E268" t="s">
        <v>1392</v>
      </c>
      <c r="F268" t="s">
        <v>1384</v>
      </c>
      <c r="G268" t="s">
        <v>90</v>
      </c>
      <c r="H268" t="s">
        <v>1043</v>
      </c>
      <c r="I268" t="e">
        <f>E5-D5</f>
        <v>#VALUE!</v>
      </c>
      <c r="J268">
        <v>180</v>
      </c>
      <c r="K268">
        <v>0.01</v>
      </c>
      <c r="L268" t="s">
        <v>1393</v>
      </c>
      <c r="M268" t="s">
        <v>1386</v>
      </c>
      <c r="O268" t="s">
        <v>358</v>
      </c>
      <c r="P268" t="s">
        <v>1387</v>
      </c>
      <c r="Q268">
        <v>63</v>
      </c>
      <c r="R268">
        <v>3</v>
      </c>
      <c r="S268" t="s">
        <v>371</v>
      </c>
    </row>
    <row r="269" spans="1:19" x14ac:dyDescent="0.2">
      <c r="A269" t="s">
        <v>1394</v>
      </c>
      <c r="B269">
        <v>268</v>
      </c>
      <c r="C269" t="s">
        <v>178</v>
      </c>
      <c r="D269" t="s">
        <v>1382</v>
      </c>
      <c r="E269" t="s">
        <v>1395</v>
      </c>
      <c r="F269" t="s">
        <v>1384</v>
      </c>
      <c r="G269" t="s">
        <v>90</v>
      </c>
      <c r="H269" t="s">
        <v>1046</v>
      </c>
      <c r="I269" t="e">
        <f>F5-E5</f>
        <v>#VALUE!</v>
      </c>
      <c r="J269">
        <v>140</v>
      </c>
      <c r="K269">
        <v>0.01</v>
      </c>
      <c r="L269" t="s">
        <v>1396</v>
      </c>
      <c r="M269" t="s">
        <v>1386</v>
      </c>
      <c r="O269" t="s">
        <v>358</v>
      </c>
      <c r="P269" t="s">
        <v>1387</v>
      </c>
      <c r="Q269">
        <v>63</v>
      </c>
      <c r="R269">
        <v>4</v>
      </c>
      <c r="S269" t="s">
        <v>375</v>
      </c>
    </row>
    <row r="270" spans="1:19" x14ac:dyDescent="0.2">
      <c r="A270" t="s">
        <v>1397</v>
      </c>
      <c r="B270">
        <v>269</v>
      </c>
      <c r="C270" t="s">
        <v>180</v>
      </c>
      <c r="D270" t="s">
        <v>1398</v>
      </c>
      <c r="E270" t="s">
        <v>1399</v>
      </c>
      <c r="F270" t="s">
        <v>1384</v>
      </c>
      <c r="G270" t="s">
        <v>90</v>
      </c>
      <c r="H270" t="s">
        <v>1050</v>
      </c>
      <c r="I270" t="e">
        <f>C7-B7</f>
        <v>#VALUE!</v>
      </c>
      <c r="J270">
        <v>1.011291542983528E-2</v>
      </c>
      <c r="K270">
        <v>0.01</v>
      </c>
      <c r="L270" t="s">
        <v>1400</v>
      </c>
      <c r="M270" t="s">
        <v>1401</v>
      </c>
      <c r="O270" t="s">
        <v>358</v>
      </c>
      <c r="P270" t="s">
        <v>1402</v>
      </c>
      <c r="Q270">
        <v>64</v>
      </c>
      <c r="R270">
        <v>1</v>
      </c>
      <c r="S270" t="s">
        <v>363</v>
      </c>
    </row>
    <row r="271" spans="1:19" x14ac:dyDescent="0.2">
      <c r="A271" t="s">
        <v>1403</v>
      </c>
      <c r="B271">
        <v>270</v>
      </c>
      <c r="C271" t="s">
        <v>180</v>
      </c>
      <c r="D271" t="s">
        <v>1398</v>
      </c>
      <c r="E271" t="s">
        <v>1404</v>
      </c>
      <c r="F271" t="s">
        <v>1384</v>
      </c>
      <c r="G271" t="s">
        <v>90</v>
      </c>
      <c r="H271" t="s">
        <v>1056</v>
      </c>
      <c r="I271" t="e">
        <f>D7-C7</f>
        <v>#VALUE!</v>
      </c>
      <c r="J271">
        <v>-2.4261937586879112E-3</v>
      </c>
      <c r="K271">
        <v>0.01</v>
      </c>
      <c r="L271" t="s">
        <v>1405</v>
      </c>
      <c r="M271" t="s">
        <v>1401</v>
      </c>
      <c r="O271" t="s">
        <v>358</v>
      </c>
      <c r="P271" t="s">
        <v>1402</v>
      </c>
      <c r="Q271">
        <v>64</v>
      </c>
      <c r="R271">
        <v>2</v>
      </c>
      <c r="S271" t="s">
        <v>367</v>
      </c>
    </row>
    <row r="272" spans="1:19" x14ac:dyDescent="0.2">
      <c r="A272" t="s">
        <v>1406</v>
      </c>
      <c r="B272">
        <v>271</v>
      </c>
      <c r="C272" t="s">
        <v>180</v>
      </c>
      <c r="D272" t="s">
        <v>1398</v>
      </c>
      <c r="E272" t="s">
        <v>1407</v>
      </c>
      <c r="F272" t="s">
        <v>1384</v>
      </c>
      <c r="G272" t="s">
        <v>90</v>
      </c>
      <c r="H272" t="s">
        <v>1060</v>
      </c>
      <c r="I272" t="e">
        <f>E7-D7</f>
        <v>#VALUE!</v>
      </c>
      <c r="J272">
        <v>-3.411279809202417E-3</v>
      </c>
      <c r="K272">
        <v>0.01</v>
      </c>
      <c r="L272" t="s">
        <v>1408</v>
      </c>
      <c r="M272" t="s">
        <v>1401</v>
      </c>
      <c r="O272" t="s">
        <v>358</v>
      </c>
      <c r="P272" t="s">
        <v>1402</v>
      </c>
      <c r="Q272">
        <v>64</v>
      </c>
      <c r="R272">
        <v>3</v>
      </c>
      <c r="S272" t="s">
        <v>371</v>
      </c>
    </row>
    <row r="273" spans="1:19" x14ac:dyDescent="0.2">
      <c r="A273" t="s">
        <v>1409</v>
      </c>
      <c r="B273">
        <v>272</v>
      </c>
      <c r="C273" t="s">
        <v>180</v>
      </c>
      <c r="D273" t="s">
        <v>1398</v>
      </c>
      <c r="E273" t="s">
        <v>1410</v>
      </c>
      <c r="F273" t="s">
        <v>1384</v>
      </c>
      <c r="G273" t="s">
        <v>90</v>
      </c>
      <c r="H273" t="s">
        <v>1064</v>
      </c>
      <c r="I273" t="e">
        <f>F7-E7</f>
        <v>#VALUE!</v>
      </c>
      <c r="J273">
        <v>-2.1288055398006041E-2</v>
      </c>
      <c r="K273">
        <v>0.01</v>
      </c>
      <c r="L273" t="s">
        <v>1411</v>
      </c>
      <c r="M273" t="s">
        <v>1401</v>
      </c>
      <c r="O273" t="s">
        <v>358</v>
      </c>
      <c r="P273" t="s">
        <v>1402</v>
      </c>
      <c r="Q273">
        <v>64</v>
      </c>
      <c r="R273">
        <v>4</v>
      </c>
      <c r="S273" t="s">
        <v>375</v>
      </c>
    </row>
    <row r="274" spans="1:19" x14ac:dyDescent="0.2">
      <c r="A274" t="s">
        <v>1412</v>
      </c>
      <c r="B274">
        <v>273</v>
      </c>
      <c r="C274" t="s">
        <v>182</v>
      </c>
      <c r="D274" t="s">
        <v>1413</v>
      </c>
      <c r="E274" t="s">
        <v>1414</v>
      </c>
      <c r="F274" t="s">
        <v>1384</v>
      </c>
      <c r="G274" t="s">
        <v>90</v>
      </c>
      <c r="H274" t="s">
        <v>1186</v>
      </c>
      <c r="I274" t="e">
        <f>C8-B8</f>
        <v>#VALUE!</v>
      </c>
      <c r="J274">
        <v>78</v>
      </c>
      <c r="K274">
        <v>0.01</v>
      </c>
      <c r="L274" t="s">
        <v>1415</v>
      </c>
      <c r="M274" t="s">
        <v>1416</v>
      </c>
      <c r="O274" t="s">
        <v>358</v>
      </c>
      <c r="P274" t="s">
        <v>1417</v>
      </c>
      <c r="Q274">
        <v>65</v>
      </c>
      <c r="R274">
        <v>1</v>
      </c>
      <c r="S274" t="s">
        <v>363</v>
      </c>
    </row>
    <row r="275" spans="1:19" x14ac:dyDescent="0.2">
      <c r="A275" t="s">
        <v>1418</v>
      </c>
      <c r="B275">
        <v>274</v>
      </c>
      <c r="C275" t="s">
        <v>182</v>
      </c>
      <c r="D275" t="s">
        <v>1413</v>
      </c>
      <c r="E275" t="s">
        <v>1419</v>
      </c>
      <c r="F275" t="s">
        <v>1384</v>
      </c>
      <c r="G275" t="s">
        <v>90</v>
      </c>
      <c r="H275" t="s">
        <v>1192</v>
      </c>
      <c r="I275" t="e">
        <f>D8-C8</f>
        <v>#VALUE!</v>
      </c>
      <c r="J275">
        <v>145</v>
      </c>
      <c r="K275">
        <v>0.01</v>
      </c>
      <c r="L275" t="s">
        <v>1420</v>
      </c>
      <c r="M275" t="s">
        <v>1416</v>
      </c>
      <c r="O275" t="s">
        <v>358</v>
      </c>
      <c r="P275" t="s">
        <v>1417</v>
      </c>
      <c r="Q275">
        <v>65</v>
      </c>
      <c r="R275">
        <v>2</v>
      </c>
      <c r="S275" t="s">
        <v>367</v>
      </c>
    </row>
    <row r="276" spans="1:19" x14ac:dyDescent="0.2">
      <c r="A276" t="s">
        <v>1421</v>
      </c>
      <c r="B276">
        <v>275</v>
      </c>
      <c r="C276" t="s">
        <v>182</v>
      </c>
      <c r="D276" t="s">
        <v>1413</v>
      </c>
      <c r="E276" t="s">
        <v>1422</v>
      </c>
      <c r="F276" t="s">
        <v>1384</v>
      </c>
      <c r="G276" t="s">
        <v>90</v>
      </c>
      <c r="H276" t="s">
        <v>1196</v>
      </c>
      <c r="I276" t="e">
        <f>E8-D8</f>
        <v>#VALUE!</v>
      </c>
      <c r="J276">
        <v>181</v>
      </c>
      <c r="K276">
        <v>0.01</v>
      </c>
      <c r="L276" t="s">
        <v>1423</v>
      </c>
      <c r="M276" t="s">
        <v>1416</v>
      </c>
      <c r="O276" t="s">
        <v>358</v>
      </c>
      <c r="P276" t="s">
        <v>1417</v>
      </c>
      <c r="Q276">
        <v>65</v>
      </c>
      <c r="R276">
        <v>3</v>
      </c>
      <c r="S276" t="s">
        <v>371</v>
      </c>
    </row>
    <row r="277" spans="1:19" x14ac:dyDescent="0.2">
      <c r="A277" t="s">
        <v>1424</v>
      </c>
      <c r="B277">
        <v>276</v>
      </c>
      <c r="C277" t="s">
        <v>182</v>
      </c>
      <c r="D277" t="s">
        <v>1413</v>
      </c>
      <c r="E277" t="s">
        <v>1425</v>
      </c>
      <c r="F277" t="s">
        <v>1384</v>
      </c>
      <c r="G277" t="s">
        <v>90</v>
      </c>
      <c r="H277" t="s">
        <v>1200</v>
      </c>
      <c r="I277" t="e">
        <f>F8-E8</f>
        <v>#VALUE!</v>
      </c>
      <c r="J277">
        <v>288</v>
      </c>
      <c r="K277">
        <v>0.01</v>
      </c>
      <c r="L277" t="s">
        <v>1426</v>
      </c>
      <c r="M277" t="s">
        <v>1416</v>
      </c>
      <c r="O277" t="s">
        <v>358</v>
      </c>
      <c r="P277" t="s">
        <v>1417</v>
      </c>
      <c r="Q277">
        <v>65</v>
      </c>
      <c r="R277">
        <v>4</v>
      </c>
      <c r="S277" t="s">
        <v>375</v>
      </c>
    </row>
    <row r="278" spans="1:19" x14ac:dyDescent="0.2">
      <c r="A278" t="s">
        <v>1427</v>
      </c>
      <c r="B278">
        <v>277</v>
      </c>
      <c r="C278" t="s">
        <v>184</v>
      </c>
      <c r="D278" t="s">
        <v>1428</v>
      </c>
      <c r="E278" t="s">
        <v>1429</v>
      </c>
      <c r="F278" t="s">
        <v>1384</v>
      </c>
      <c r="G278" t="s">
        <v>90</v>
      </c>
      <c r="H278" t="s">
        <v>1211</v>
      </c>
      <c r="I278" t="e">
        <f>D12-C12</f>
        <v>#VALUE!</v>
      </c>
      <c r="J278">
        <v>2.023945434852598E-3</v>
      </c>
      <c r="K278">
        <v>0.01</v>
      </c>
      <c r="L278" t="s">
        <v>1430</v>
      </c>
      <c r="M278" t="s">
        <v>1431</v>
      </c>
      <c r="O278" t="s">
        <v>358</v>
      </c>
      <c r="P278" t="s">
        <v>1432</v>
      </c>
      <c r="Q278">
        <v>66</v>
      </c>
      <c r="R278">
        <v>2</v>
      </c>
      <c r="S278" t="s">
        <v>367</v>
      </c>
    </row>
    <row r="279" spans="1:19" x14ac:dyDescent="0.2">
      <c r="A279" t="s">
        <v>1433</v>
      </c>
      <c r="B279">
        <v>278</v>
      </c>
      <c r="C279" t="s">
        <v>184</v>
      </c>
      <c r="D279" t="s">
        <v>1428</v>
      </c>
      <c r="E279" t="s">
        <v>1434</v>
      </c>
      <c r="F279" t="s">
        <v>1384</v>
      </c>
      <c r="G279" t="s">
        <v>90</v>
      </c>
      <c r="H279" t="s">
        <v>1215</v>
      </c>
      <c r="I279" t="e">
        <f>E12-D12</f>
        <v>#VALUE!</v>
      </c>
      <c r="J279">
        <v>2.0788635092072461E-3</v>
      </c>
      <c r="K279">
        <v>0.01</v>
      </c>
      <c r="L279" t="s">
        <v>1435</v>
      </c>
      <c r="M279" t="s">
        <v>1431</v>
      </c>
      <c r="O279" t="s">
        <v>358</v>
      </c>
      <c r="P279" t="s">
        <v>1432</v>
      </c>
      <c r="Q279">
        <v>66</v>
      </c>
      <c r="R279">
        <v>3</v>
      </c>
      <c r="S279" t="s">
        <v>371</v>
      </c>
    </row>
    <row r="280" spans="1:19" x14ac:dyDescent="0.2">
      <c r="A280" t="s">
        <v>1436</v>
      </c>
      <c r="B280">
        <v>279</v>
      </c>
      <c r="C280" t="s">
        <v>184</v>
      </c>
      <c r="D280" t="s">
        <v>1428</v>
      </c>
      <c r="E280" t="s">
        <v>1437</v>
      </c>
      <c r="F280" t="s">
        <v>1384</v>
      </c>
      <c r="G280" t="s">
        <v>90</v>
      </c>
      <c r="H280" t="s">
        <v>1219</v>
      </c>
      <c r="I280" t="e">
        <f>F12-E12</f>
        <v>#VALUE!</v>
      </c>
      <c r="J280">
        <v>8.0061805431746458E-3</v>
      </c>
      <c r="K280">
        <v>0.01</v>
      </c>
      <c r="L280" t="s">
        <v>1438</v>
      </c>
      <c r="M280" t="s">
        <v>1431</v>
      </c>
      <c r="O280" t="s">
        <v>358</v>
      </c>
      <c r="P280" t="s">
        <v>1432</v>
      </c>
      <c r="Q280">
        <v>66</v>
      </c>
      <c r="R280">
        <v>4</v>
      </c>
      <c r="S280" t="s">
        <v>375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1439</v>
      </c>
    </row>
    <row r="2" spans="1:1" x14ac:dyDescent="0.2">
      <c r="A2" t="s">
        <v>1440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Trainer</vt:lpstr>
      <vt:lpstr>Income Statement</vt:lpstr>
      <vt:lpstr>Balance Sheet</vt:lpstr>
      <vt:lpstr>Cash Flow Statement</vt:lpstr>
      <vt:lpstr>Condensed Financials</vt:lpstr>
      <vt:lpstr>ALT DuPont</vt:lpstr>
      <vt:lpstr>Accounting Judgment</vt:lpstr>
      <vt:lpstr>Normalization Judgment</vt:lpstr>
      <vt:lpstr>Earnings Normalization</vt:lpstr>
      <vt:lpstr>Earnings Quality</vt:lpstr>
      <vt:lpstr>Working Capital Analysis</vt:lpstr>
      <vt:lpstr>Model_Bear</vt:lpstr>
      <vt:lpstr>Model_Base</vt:lpstr>
      <vt:lpstr>Model_Bull</vt:lpstr>
      <vt:lpstr>Scenario_Summary</vt:lpstr>
      <vt:lpstr>_ComponentMap</vt:lpstr>
      <vt:lpstr>_CheckContext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Lizhi Guo</cp:lastModifiedBy>
  <dcterms:created xsi:type="dcterms:W3CDTF">2026-09-12T20:27:40Z</dcterms:created>
  <dcterms:modified xsi:type="dcterms:W3CDTF">2026-09-12T20:39:43Z</dcterms:modified>
</cp:coreProperties>
</file>