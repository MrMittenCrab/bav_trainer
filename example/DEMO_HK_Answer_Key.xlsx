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er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Condensed Financials" sheetId="5" state="visible" r:id="rId5"/>
    <sheet xmlns:r="http://schemas.openxmlformats.org/officeDocument/2006/relationships" name="ALT DuPont" sheetId="6" state="visible" r:id="rId6"/>
    <sheet xmlns:r="http://schemas.openxmlformats.org/officeDocument/2006/relationships" name="Accounting Judgment" sheetId="7" state="visible" r:id="rId7"/>
    <sheet xmlns:r="http://schemas.openxmlformats.org/officeDocument/2006/relationships" name="Normalization Judgment" sheetId="8" state="visible" r:id="rId8"/>
    <sheet xmlns:r="http://schemas.openxmlformats.org/officeDocument/2006/relationships" name="Earnings Normalization" sheetId="9" state="visible" r:id="rId9"/>
    <sheet xmlns:r="http://schemas.openxmlformats.org/officeDocument/2006/relationships" name="Earnings Quality" sheetId="10" state="visible" r:id="rId10"/>
    <sheet xmlns:r="http://schemas.openxmlformats.org/officeDocument/2006/relationships" name="Working Capital Analysis" sheetId="11" state="visible" r:id="rId11"/>
    <sheet xmlns:r="http://schemas.openxmlformats.org/officeDocument/2006/relationships" name="Model_Bear" sheetId="12" state="hidden" r:id="rId12"/>
    <sheet xmlns:r="http://schemas.openxmlformats.org/officeDocument/2006/relationships" name="Model_Base" sheetId="13" state="hidden" r:id="rId13"/>
    <sheet xmlns:r="http://schemas.openxmlformats.org/officeDocument/2006/relationships" name="Model_Bull" sheetId="14" state="hidden" r:id="rId14"/>
    <sheet xmlns:r="http://schemas.openxmlformats.org/officeDocument/2006/relationships" name="Scenario_Summary" sheetId="15" state="hidden" r:id="rId15"/>
    <sheet xmlns:r="http://schemas.openxmlformats.org/officeDocument/2006/relationships" name="_ComponentMap" sheetId="16" state="hidden" r:id="rId16"/>
    <sheet xmlns:r="http://schemas.openxmlformats.org/officeDocument/2006/relationships" name="_CheckContext" sheetId="17" state="hidden" r:id="rId1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mmm dd, yyyy"/>
    <numFmt numFmtId="165" formatCode="#,##0;(#,##0)"/>
    <numFmt numFmtId="166" formatCode="0.0%"/>
    <numFmt numFmtId="167" formatCode="0.00x"/>
  </numFmts>
  <fonts count="6">
    <font>
      <name val="Calibri"/>
      <family val="2"/>
      <color theme="1"/>
      <sz val="11"/>
      <scheme val="minor"/>
    </font>
    <font>
      <b val="1"/>
    </font>
    <font/>
    <font>
      <name val="Aptos Narrow"/>
      <b val="1"/>
      <color rgb="00000000"/>
      <sz val="20"/>
    </font>
    <font>
      <name val="Aptos Narrow"/>
      <color rgb="00000000"/>
      <sz val="11"/>
    </font>
    <font>
      <name val="Aptos Narrow"/>
      <b val="1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167" fontId="0" fillId="0" borderId="0" pivotButton="0" quotePrefix="0" xfId="0"/>
    <xf numFmtId="0" fontId="0" fillId="3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4" fillId="0" borderId="1" pivotButton="0" quotePrefix="0" xfId="0"/>
    <xf numFmtId="164" fontId="5" fillId="0" borderId="1" pivotButton="0" quotePrefix="0" xfId="0"/>
    <xf numFmtId="165" fontId="4" fillId="0" borderId="0" pivotButton="0" quotePrefix="0" xfId="0"/>
    <xf numFmtId="165" fontId="4" fillId="0" borderId="1" pivotButton="0" quotePrefix="0" xfId="0"/>
    <xf numFmtId="0" fontId="4" fillId="3" borderId="0" pivotButton="0" quotePrefix="0" xfId="0"/>
    <xf numFmtId="0" fontId="4" fillId="3" borderId="1" pivotButton="0" quotePrefix="0" xfId="0"/>
    <xf numFmtId="166" fontId="4" fillId="3" borderId="1" pivotButton="0" quotePrefix="0" xfId="0"/>
    <xf numFmtId="165" fontId="4" fillId="3" borderId="1" pivotButton="0" quotePrefix="0" xfId="0"/>
    <xf numFmtId="0" fontId="5" fillId="0" borderId="0" pivotButton="0" quotePrefix="0" xfId="0"/>
    <xf numFmtId="165" fontId="4" fillId="3" borderId="0" pivotButton="0" quotePrefix="0" xfId="0"/>
    <xf numFmtId="166" fontId="4" fillId="3" borderId="0" pivotButton="0" quotePrefix="0" xfId="0"/>
    <xf numFmtId="167" fontId="4" fillId="3" borderId="1" pivotButton="0" quotePrefix="0" xfId="0"/>
    <xf numFmtId="0" fontId="4" fillId="3" borderId="0" applyAlignment="1" pivotButton="0" quotePrefix="0" xfId="0">
      <alignment vertical="top" wrapText="1"/>
    </xf>
    <xf numFmtId="166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BAV Trainer</author>
  </authors>
  <commentList>
    <comment ref="B19" authorId="0" shapeId="0">
      <text>
        <t>Link Revenue from the Income Statement into Condensed Financials.</t>
      </text>
    </comment>
    <comment ref="C19" authorId="0" shapeId="0">
      <text>
        <t>Link Revenue from the Income Statement into Condensed Financials.</t>
      </text>
    </comment>
    <comment ref="D19" authorId="0" shapeId="0">
      <text>
        <t>Link Revenue from the Income Statement into Condensed Financials.</t>
      </text>
    </comment>
    <comment ref="E19" authorId="0" shapeId="0">
      <text>
        <t>Link Revenue from the Income Statement into Condensed Financials.</t>
      </text>
    </comment>
    <comment ref="F19" authorId="0" shapeId="0">
      <text>
        <t>Link Revenue from the Income Statement into Condensed Financials.</t>
      </text>
    </comment>
    <comment ref="B20" authorId="0" shapeId="0">
      <text>
        <t>Link Net Income from the Income Statement into Condensed Financials.</t>
      </text>
    </comment>
    <comment ref="C20" authorId="0" shapeId="0">
      <text>
        <t>Link Net Income from the Income Statement into Condensed Financials.</t>
      </text>
    </comment>
    <comment ref="D20" authorId="0" shapeId="0">
      <text>
        <t>Link Net Income from the Income Statement into Condensed Financials.</t>
      </text>
    </comment>
    <comment ref="E20" authorId="0" shapeId="0">
      <text>
        <t>Link Net Income from the Income Statement into Condensed Financials.</t>
      </text>
    </comment>
    <comment ref="F20" authorId="0" shapeId="0">
      <text>
        <t>Link Net Income from the Income Statement into Condensed Financials.</t>
      </text>
    </comment>
    <comment ref="B25" authorId="0" shapeId="0">
      <text>
        <t>Relate tax expense to pretax income using the model's sign convention.</t>
      </text>
    </comment>
    <comment ref="C25" authorId="0" shapeId="0">
      <text>
        <t>Relate tax expense to pretax income using the model's sign convention.</t>
      </text>
    </comment>
    <comment ref="D25" authorId="0" shapeId="0">
      <text>
        <t>Relate tax expense to pretax income using the model's sign convention.</t>
      </text>
    </comment>
    <comment ref="E25" authorId="0" shapeId="0">
      <text>
        <t>Relate tax expense to pretax income using the model's sign convention.</t>
      </text>
    </comment>
    <comment ref="F25" authorId="0" shapeId="0">
      <text>
        <t>Relate tax expense to pretax income using the model's sign convention.</t>
      </text>
    </comment>
    <comment ref="B26" authorId="0" shapeId="0">
      <text>
        <t>Combine interest expense and interest income into the financing result.</t>
      </text>
    </comment>
    <comment ref="C26" authorId="0" shapeId="0">
      <text>
        <t>Combine interest expense and interest income into the financing result.</t>
      </text>
    </comment>
    <comment ref="D26" authorId="0" shapeId="0">
      <text>
        <t>Combine interest expense and interest income into the financing result.</t>
      </text>
    </comment>
    <comment ref="E26" authorId="0" shapeId="0">
      <text>
        <t>Combine interest expense and interest income into the financing result.</t>
      </text>
    </comment>
    <comment ref="F26" authorId="0" shapeId="0">
      <text>
        <t>Combine interest expense and interest income into the financing result.</t>
      </text>
    </comment>
    <comment ref="B27" authorId="0" shapeId="0">
      <text>
        <t>Apply the effective tax rate once to net interest.</t>
      </text>
    </comment>
    <comment ref="C27" authorId="0" shapeId="0">
      <text>
        <t>Apply the effective tax rate once to net interest.</t>
      </text>
    </comment>
    <comment ref="D27" authorId="0" shapeId="0">
      <text>
        <t>Apply the effective tax rate once to net interest.</t>
      </text>
    </comment>
    <comment ref="E27" authorId="0" shapeId="0">
      <text>
        <t>Apply the effective tax rate once to net interest.</t>
      </text>
    </comment>
    <comment ref="F27" authorId="0" shapeId="0">
      <text>
        <t>Apply the effective tax rate once to net interest.</t>
      </text>
    </comment>
    <comment ref="B28" authorId="0" shapeId="0">
      <text>
        <t>Reformulate net income to operating profit after tax.</t>
      </text>
    </comment>
    <comment ref="C28" authorId="0" shapeId="0">
      <text>
        <t>Reformulate net income to operating profit after tax.</t>
      </text>
    </comment>
    <comment ref="D28" authorId="0" shapeId="0">
      <text>
        <t>Reformulate net income to operating profit after tax.</t>
      </text>
    </comment>
    <comment ref="E28" authorId="0" shapeId="0">
      <text>
        <t>Reformulate net income to operating profit after tax.</t>
      </text>
    </comment>
    <comment ref="F28" authorId="0" shapeId="0">
      <text>
        <t>Reformulate net income to operating profit after tax.</t>
      </text>
    </comment>
    <comment ref="B31" authorId="0" shapeId="0">
      <text>
        <t>Aggregate the classified balance-sheet detail with the classification column.</t>
      </text>
    </comment>
    <comment ref="C31" authorId="0" shapeId="0">
      <text>
        <t>Aggregate the classified balance-sheet detail with the classification column.</t>
      </text>
    </comment>
    <comment ref="D31" authorId="0" shapeId="0">
      <text>
        <t>Aggregate the classified balance-sheet detail with the classification column.</t>
      </text>
    </comment>
    <comment ref="E31" authorId="0" shapeId="0">
      <text>
        <t>Aggregate the classified balance-sheet detail with the classification column.</t>
      </text>
    </comment>
    <comment ref="F31" authorId="0" shapeId="0">
      <text>
        <t>Aggregate the classified balance-sheet detail with the classification column.</t>
      </text>
    </comment>
    <comment ref="B32" authorId="0" shapeId="0">
      <text>
        <t>Aggregate the classified balance-sheet detail with the classification column.</t>
      </text>
    </comment>
    <comment ref="C32" authorId="0" shapeId="0">
      <text>
        <t>Aggregate the classified balance-sheet detail with the classification column.</t>
      </text>
    </comment>
    <comment ref="D32" authorId="0" shapeId="0">
      <text>
        <t>Aggregate the classified balance-sheet detail with the classification column.</t>
      </text>
    </comment>
    <comment ref="E32" authorId="0" shapeId="0">
      <text>
        <t>Aggregate the classified balance-sheet detail with the classification column.</t>
      </text>
    </comment>
    <comment ref="F32" authorId="0" shapeId="0">
      <text>
        <t>Aggregate the classified balance-sheet detail with the classification column.</t>
      </text>
    </comment>
    <comment ref="B33" authorId="0" shapeId="0">
      <text>
        <t>Sum operating WC assets minus operating WC liabilities.</t>
      </text>
    </comment>
    <comment ref="C33" authorId="0" shapeId="0">
      <text>
        <t>Sum operating WC assets minus operating WC liabilities.</t>
      </text>
    </comment>
    <comment ref="D33" authorId="0" shapeId="0">
      <text>
        <t>Sum operating WC assets minus operating WC liabilities.</t>
      </text>
    </comment>
    <comment ref="E33" authorId="0" shapeId="0">
      <text>
        <t>Sum operating WC assets minus operating WC liabilities.</t>
      </text>
    </comment>
    <comment ref="F33" authorId="0" shapeId="0">
      <text>
        <t>Sum operating WC assets minus operating WC liabilities.</t>
      </text>
    </comment>
    <comment ref="B34" authorId="0" shapeId="0">
      <text>
        <t>Aggregate the classified balance-sheet detail with the classification column.</t>
      </text>
    </comment>
    <comment ref="C34" authorId="0" shapeId="0">
      <text>
        <t>Aggregate the classified balance-sheet detail with the classification column.</t>
      </text>
    </comment>
    <comment ref="D34" authorId="0" shapeId="0">
      <text>
        <t>Aggregate the classified balance-sheet detail with the classification column.</t>
      </text>
    </comment>
    <comment ref="E34" authorId="0" shapeId="0">
      <text>
        <t>Aggregate the classified balance-sheet detail with the classification column.</t>
      </text>
    </comment>
    <comment ref="F34" authorId="0" shapeId="0">
      <text>
        <t>Aggregate the classified balance-sheet detail with the classification column.</t>
      </text>
    </comment>
    <comment ref="B35" authorId="0" shapeId="0">
      <text>
        <t>Aggregate the classified balance-sheet detail with the classification column.</t>
      </text>
    </comment>
    <comment ref="C35" authorId="0" shapeId="0">
      <text>
        <t>Aggregate the classified balance-sheet detail with the classification column.</t>
      </text>
    </comment>
    <comment ref="D35" authorId="0" shapeId="0">
      <text>
        <t>Aggregate the classified balance-sheet detail with the classification column.</t>
      </text>
    </comment>
    <comment ref="E35" authorId="0" shapeId="0">
      <text>
        <t>Aggregate the classified balance-sheet detail with the classification column.</t>
      </text>
    </comment>
    <comment ref="F35" authorId="0" shapeId="0">
      <text>
        <t>Aggregate the classified balance-sheet detail with the classification column.</t>
      </text>
    </comment>
    <comment ref="B36" authorId="0" shapeId="0">
      <text>
        <t>Operating long-term assets less operating long-term liabilities.</t>
      </text>
    </comment>
    <comment ref="C36" authorId="0" shapeId="0">
      <text>
        <t>Operating long-term assets less operating long-term liabilities.</t>
      </text>
    </comment>
    <comment ref="D36" authorId="0" shapeId="0">
      <text>
        <t>Operating long-term assets less operating long-term liabilities.</t>
      </text>
    </comment>
    <comment ref="E36" authorId="0" shapeId="0">
      <text>
        <t>Operating long-term assets less operating long-term liabilities.</t>
      </text>
    </comment>
    <comment ref="F36" authorId="0" shapeId="0">
      <text>
        <t>Operating long-term assets less operating long-term liabilities.</t>
      </text>
    </comment>
    <comment ref="B37" authorId="0" shapeId="0">
      <text>
        <t>NOWC plus net operating long-term assets.</t>
      </text>
    </comment>
    <comment ref="C37" authorId="0" shapeId="0">
      <text>
        <t>NOWC plus net operating long-term assets.</t>
      </text>
    </comment>
    <comment ref="D37" authorId="0" shapeId="0">
      <text>
        <t>NOWC plus net operating long-term assets.</t>
      </text>
    </comment>
    <comment ref="E37" authorId="0" shapeId="0">
      <text>
        <t>NOWC plus net operating long-term assets.</t>
      </text>
    </comment>
    <comment ref="F37" authorId="0" shapeId="0">
      <text>
        <t>NOWC plus net operating long-term assets.</t>
      </text>
    </comment>
    <comment ref="B38" authorId="0" shapeId="0">
      <text>
        <t>Aggregate the classified balance-sheet detail with the classification column.</t>
      </text>
    </comment>
    <comment ref="C38" authorId="0" shapeId="0">
      <text>
        <t>Aggregate the classified balance-sheet detail with the classification column.</t>
      </text>
    </comment>
    <comment ref="D38" authorId="0" shapeId="0">
      <text>
        <t>Aggregate the classified balance-sheet detail with the classification column.</t>
      </text>
    </comment>
    <comment ref="E38" authorId="0" shapeId="0">
      <text>
        <t>Aggregate the classified balance-sheet detail with the classification column.</t>
      </text>
    </comment>
    <comment ref="F38" authorId="0" shapeId="0">
      <text>
        <t>Aggregate the classified balance-sheet detail with the classification column.</t>
      </text>
    </comment>
    <comment ref="B39" authorId="0" shapeId="0">
      <text>
        <t>Aggregate the classified balance-sheet detail with the classification column.</t>
      </text>
    </comment>
    <comment ref="C39" authorId="0" shapeId="0">
      <text>
        <t>Aggregate the classified balance-sheet detail with the classification column.</t>
      </text>
    </comment>
    <comment ref="D39" authorId="0" shapeId="0">
      <text>
        <t>Aggregate the classified balance-sheet detail with the classification column.</t>
      </text>
    </comment>
    <comment ref="E39" authorId="0" shapeId="0">
      <text>
        <t>Aggregate the classified balance-sheet detail with the classification column.</t>
      </text>
    </comment>
    <comment ref="F39" authorId="0" shapeId="0">
      <text>
        <t>Aggregate the classified balance-sheet detail with the classification column.</t>
      </text>
    </comment>
    <comment ref="B40" authorId="0" shapeId="0">
      <text>
        <t>Financial liabilities minus financial assets.</t>
      </text>
    </comment>
    <comment ref="C40" authorId="0" shapeId="0">
      <text>
        <t>Financial liabilities minus financial assets.</t>
      </text>
    </comment>
    <comment ref="D40" authorId="0" shapeId="0">
      <text>
        <t>Financial liabilities minus financial assets.</t>
      </text>
    </comment>
    <comment ref="E40" authorId="0" shapeId="0">
      <text>
        <t>Financial liabilities minus financial assets.</t>
      </text>
    </comment>
    <comment ref="F40" authorId="0" shapeId="0">
      <text>
        <t>Financial liabilities minus financial assets.</t>
      </text>
    </comment>
    <comment ref="B41" authorId="0" shapeId="0">
      <text>
        <t>Use the operating/financing identity linking NOA, Net Debt, and Equity.</t>
      </text>
    </comment>
    <comment ref="C41" authorId="0" shapeId="0">
      <text>
        <t>Use the operating/financing identity linking NOA, Net Debt, and Equity.</t>
      </text>
    </comment>
    <comment ref="D41" authorId="0" shapeId="0">
      <text>
        <t>Use the operating/financing identity linking NOA, Net Debt, and Equity.</t>
      </text>
    </comment>
    <comment ref="E41" authorId="0" shapeId="0">
      <text>
        <t>Use the operating/financing identity linking NOA, Net Debt, and Equity.</t>
      </text>
    </comment>
    <comment ref="F41" authorId="0" shapeId="0">
      <text>
        <t>Use the operating/financing identity linking NOA, Net Debt, and Equity.</t>
      </text>
    </comment>
  </commentList>
</comments>
</file>

<file path=xl/comments/comment2.xml><?xml version="1.0" encoding="utf-8"?>
<comments xmlns="http://schemas.openxmlformats.org/spreadsheetml/2006/main">
  <authors>
    <author>BAV Trainer</author>
  </authors>
  <commentList>
    <comment ref="C5" authorId="0" shapeId="0">
      <text>
        <t>Current Revenue relative to the immediately preceding fiscal year.</t>
      </text>
    </comment>
    <comment ref="D5" authorId="0" shapeId="0">
      <text>
        <t>Current Revenue relative to the immediately preceding fiscal year.</t>
      </text>
    </comment>
    <comment ref="E5" authorId="0" shapeId="0">
      <text>
        <t>Current Revenue relative to the immediately preceding fiscal year.</t>
      </text>
    </comment>
    <comment ref="F5" authorId="0" shapeId="0">
      <text>
        <t>Current Revenue relative to the immediately preceding fiscal year.</t>
      </text>
    </comment>
    <comment ref="B6" authorId="0" shapeId="0">
      <text>
        <t>NOPAT divided by Revenue for the same fiscal period.</t>
      </text>
    </comment>
    <comment ref="C6" authorId="0" shapeId="0">
      <text>
        <t>NOPAT divided by Revenue for the same fiscal period.</t>
      </text>
    </comment>
    <comment ref="D6" authorId="0" shapeId="0">
      <text>
        <t>NOPAT divided by Revenue for the same fiscal period.</t>
      </text>
    </comment>
    <comment ref="E6" authorId="0" shapeId="0">
      <text>
        <t>NOPAT divided by Revenue for the same fiscal period.</t>
      </text>
    </comment>
    <comment ref="F6" authorId="0" shapeId="0">
      <text>
        <t>NOPAT divided by Revenue for the same fiscal period.</t>
      </text>
    </comment>
    <comment ref="C7" authorId="0" shapeId="0">
      <text>
        <t>NOPAT divided by average NOA.</t>
      </text>
    </comment>
    <comment ref="D7" authorId="0" shapeId="0">
      <text>
        <t>NOPAT divided by average NOA.</t>
      </text>
    </comment>
    <comment ref="E7" authorId="0" shapeId="0">
      <text>
        <t>NOPAT divided by average NOA.</t>
      </text>
    </comment>
    <comment ref="F7" authorId="0" shapeId="0">
      <text>
        <t>NOPAT divided by average NOA.</t>
      </text>
    </comment>
    <comment ref="C8" authorId="0" shapeId="0">
      <text>
        <t>Relate net interest after tax to average net debt.</t>
      </text>
    </comment>
    <comment ref="D8" authorId="0" shapeId="0">
      <text>
        <t>Relate net interest after tax to average net debt.</t>
      </text>
    </comment>
    <comment ref="E8" authorId="0" shapeId="0">
      <text>
        <t>Relate net interest after tax to average net debt.</t>
      </text>
    </comment>
    <comment ref="F8" authorId="0" shapeId="0">
      <text>
        <t>Relate net interest after tax to average net debt.</t>
      </text>
    </comment>
    <comment ref="C9" authorId="0" shapeId="0">
      <text>
        <t>Operating return minus after-tax cost of debt.</t>
      </text>
    </comment>
    <comment ref="D9" authorId="0" shapeId="0">
      <text>
        <t>Operating return minus after-tax cost of debt.</t>
      </text>
    </comment>
    <comment ref="E9" authorId="0" shapeId="0">
      <text>
        <t>Operating return minus after-tax cost of debt.</t>
      </text>
    </comment>
    <comment ref="F9" authorId="0" shapeId="0">
      <text>
        <t>Operating return minus after-tax cost of debt.</t>
      </text>
    </comment>
    <comment ref="C10" authorId="0" shapeId="0">
      <text>
        <t>Relate average net debt to average reformulated equity.</t>
      </text>
    </comment>
    <comment ref="D10" authorId="0" shapeId="0">
      <text>
        <t>Relate average net debt to average reformulated equity.</t>
      </text>
    </comment>
    <comment ref="E10" authorId="0" shapeId="0">
      <text>
        <t>Relate average net debt to average reformulated equity.</t>
      </text>
    </comment>
    <comment ref="F10" authorId="0" shapeId="0">
      <text>
        <t>Relate average net debt to average reformulated equity.</t>
      </text>
    </comment>
    <comment ref="C11" authorId="0" shapeId="0">
      <text>
        <t>ROE = RNOA + FLEV × Spread.</t>
      </text>
    </comment>
    <comment ref="D11" authorId="0" shapeId="0">
      <text>
        <t>ROE = RNOA + FLEV × Spread.</t>
      </text>
    </comment>
    <comment ref="E11" authorId="0" shapeId="0">
      <text>
        <t>ROE = RNOA + FLEV × Spread.</t>
      </text>
    </comment>
    <comment ref="F11" authorId="0" shapeId="0">
      <text>
        <t>ROE = RNOA + FLEV × Spread.</t>
      </text>
    </comment>
    <comment ref="C12" authorId="0" shapeId="0">
      <text>
        <t>Relate net income to average reformulated equity.</t>
      </text>
    </comment>
    <comment ref="D12" authorId="0" shapeId="0">
      <text>
        <t>Relate net income to average reformulated equity.</t>
      </text>
    </comment>
    <comment ref="E12" authorId="0" shapeId="0">
      <text>
        <t>Relate net income to average reformulated equity.</t>
      </text>
    </comment>
    <comment ref="F12" authorId="0" shapeId="0">
      <text>
        <t>Relate net income to average reformulated equity.</t>
      </text>
    </comment>
    <comment ref="C15" authorId="0" shapeId="0">
      <text>
        <t>Average beginning and ending NOA for the comparable period.</t>
      </text>
    </comment>
    <comment ref="D15" authorId="0" shapeId="0">
      <text>
        <t>Average beginning and ending NOA for the comparable period.</t>
      </text>
    </comment>
    <comment ref="E15" authorId="0" shapeId="0">
      <text>
        <t>Average beginning and ending NOA for the comparable period.</t>
      </text>
    </comment>
    <comment ref="F15" authorId="0" shapeId="0">
      <text>
        <t>Average beginning and ending NOA for the comparable period.</t>
      </text>
    </comment>
    <comment ref="C16" authorId="0" shapeId="0">
      <text>
        <t>Revenue divided by Average NOA.</t>
      </text>
    </comment>
    <comment ref="D16" authorId="0" shapeId="0">
      <text>
        <t>Revenue divided by Average NOA.</t>
      </text>
    </comment>
    <comment ref="E16" authorId="0" shapeId="0">
      <text>
        <t>Revenue divided by Average NOA.</t>
      </text>
    </comment>
    <comment ref="F16" authorId="0" shapeId="0">
      <text>
        <t>Revenue divided by Average NOA.</t>
      </text>
    </comment>
    <comment ref="C17" authorId="0" shapeId="0">
      <text>
        <t>Average NOA divided by Revenue.</t>
      </text>
    </comment>
    <comment ref="D17" authorId="0" shapeId="0">
      <text>
        <t>Average NOA divided by Revenue.</t>
      </text>
    </comment>
    <comment ref="E17" authorId="0" shapeId="0">
      <text>
        <t>Average NOA divided by Revenue.</t>
      </text>
    </comment>
    <comment ref="F17" authorId="0" shapeId="0">
      <text>
        <t>Average NOA divided by Revenue.</t>
      </text>
    </comment>
    <comment ref="C18" authorId="0" shapeId="0">
      <text>
        <t>NOPAT Margin multiplied by NOA Turnover.</t>
      </text>
    </comment>
    <comment ref="D18" authorId="0" shapeId="0">
      <text>
        <t>NOPAT Margin multiplied by NOA Turnover.</t>
      </text>
    </comment>
    <comment ref="E18" authorId="0" shapeId="0">
      <text>
        <t>NOPAT Margin multiplied by NOA Turnover.</t>
      </text>
    </comment>
    <comment ref="F18" authorId="0" shapeId="0">
      <text>
        <t>NOPAT Margin multiplied by NOA Turnover.</t>
      </text>
    </comment>
    <comment ref="D22" authorId="0" shapeId="0">
      <text>
        <t>Current NOPAT Margin minus prior comparable NOPAT Margin.</t>
      </text>
    </comment>
    <comment ref="E22" authorId="0" shapeId="0">
      <text>
        <t>Current NOPAT Margin minus prior comparable NOPAT Margin.</t>
      </text>
    </comment>
    <comment ref="F22" authorId="0" shapeId="0">
      <text>
        <t>Current NOPAT Margin minus prior comparable NOPAT Margin.</t>
      </text>
    </comment>
    <comment ref="D23" authorId="0" shapeId="0">
      <text>
        <t>Current NOA Turnover minus prior comparable NOA Turnover.</t>
      </text>
    </comment>
    <comment ref="E23" authorId="0" shapeId="0">
      <text>
        <t>Current NOA Turnover minus prior comparable NOA Turnover.</t>
      </text>
    </comment>
    <comment ref="F23" authorId="0" shapeId="0">
      <text>
        <t>Current NOA Turnover minus prior comparable NOA Turnover.</t>
      </text>
    </comment>
    <comment ref="D24" authorId="0" shapeId="0">
      <text>
        <t>Current direct RNOA minus prior comparable direct RNOA.</t>
      </text>
    </comment>
    <comment ref="E24" authorId="0" shapeId="0">
      <text>
        <t>Current direct RNOA minus prior comparable direct RNOA.</t>
      </text>
    </comment>
    <comment ref="F24" authorId="0" shapeId="0">
      <text>
        <t>Current direct RNOA minus prior comparable direct RNOA.</t>
      </text>
    </comment>
    <comment ref="D25" authorId="0" shapeId="0">
      <text>
        <t>Change in Margin multiplied by midpoint NOA Turnover.</t>
      </text>
    </comment>
    <comment ref="E25" authorId="0" shapeId="0">
      <text>
        <t>Change in Margin multiplied by midpoint NOA Turnover.</t>
      </text>
    </comment>
    <comment ref="F25" authorId="0" shapeId="0">
      <text>
        <t>Change in Margin multiplied by midpoint NOA Turnover.</t>
      </text>
    </comment>
    <comment ref="D26" authorId="0" shapeId="0">
      <text>
        <t>Change in NOA Turnover multiplied by midpoint NOPAT Margin.</t>
      </text>
    </comment>
    <comment ref="E26" authorId="0" shapeId="0">
      <text>
        <t>Change in NOA Turnover multiplied by midpoint NOPAT Margin.</t>
      </text>
    </comment>
    <comment ref="F26" authorId="0" shapeId="0">
      <text>
        <t>Change in NOA Turnover multiplied by midpoint NOPAT Margin.</t>
      </text>
    </comment>
    <comment ref="D27" authorId="0" shapeId="0">
      <text>
        <t>Margin Effect plus Turnover Effect.</t>
      </text>
    </comment>
    <comment ref="E27" authorId="0" shapeId="0">
      <text>
        <t>Margin Effect plus Turnover Effect.</t>
      </text>
    </comment>
    <comment ref="F27" authorId="0" shapeId="0">
      <text>
        <t>Margin Effect plus Turnover Effect.</t>
      </text>
    </comment>
    <comment ref="C31" authorId="0" shapeId="0">
      <text>
        <t>FLEV multiplied by Spread.</t>
      </text>
    </comment>
    <comment ref="D31" authorId="0" shapeId="0">
      <text>
        <t>FLEV multiplied by Spread.</t>
      </text>
    </comment>
    <comment ref="E31" authorId="0" shapeId="0">
      <text>
        <t>FLEV multiplied by Spread.</t>
      </text>
    </comment>
    <comment ref="F31" authorId="0" shapeId="0">
      <text>
        <t>FLEV multiplied by Spread.</t>
      </text>
    </comment>
    <comment ref="D35" authorId="0" shapeId="0">
      <text>
        <t>Current decomposed ROE minus prior decomposed ROE.</t>
      </text>
    </comment>
    <comment ref="E35" authorId="0" shapeId="0">
      <text>
        <t>Current decomposed ROE minus prior decomposed ROE.</t>
      </text>
    </comment>
    <comment ref="F35" authorId="0" shapeId="0">
      <text>
        <t>Current decomposed ROE minus prior decomposed ROE.</t>
      </text>
    </comment>
    <comment ref="D36" authorId="0" shapeId="0">
      <text>
        <t>The direct Change in RNOA from the prior diagnostic section.</t>
      </text>
    </comment>
    <comment ref="E36" authorId="0" shapeId="0">
      <text>
        <t>The direct Change in RNOA from the prior diagnostic section.</t>
      </text>
    </comment>
    <comment ref="F36" authorId="0" shapeId="0">
      <text>
        <t>The direct Change in RNOA from the prior diagnostic section.</t>
      </text>
    </comment>
    <comment ref="D37" authorId="0" shapeId="0">
      <text>
        <t>Change in FLEV multiplied by midpoint Spread.</t>
      </text>
    </comment>
    <comment ref="E37" authorId="0" shapeId="0">
      <text>
        <t>Change in FLEV multiplied by midpoint Spread.</t>
      </text>
    </comment>
    <comment ref="F37" authorId="0" shapeId="0">
      <text>
        <t>Change in FLEV multiplied by midpoint Spread.</t>
      </text>
    </comment>
    <comment ref="D38" authorId="0" shapeId="0">
      <text>
        <t>Change in Spread multiplied by midpoint FLEV.</t>
      </text>
    </comment>
    <comment ref="E38" authorId="0" shapeId="0">
      <text>
        <t>Change in Spread multiplied by midpoint FLEV.</t>
      </text>
    </comment>
    <comment ref="F38" authorId="0" shapeId="0">
      <text>
        <t>Change in Spread multiplied by midpoint FLEV.</t>
      </text>
    </comment>
    <comment ref="D39" authorId="0" shapeId="0">
      <text>
        <t>Leverage Effect plus Spread Effect.</t>
      </text>
    </comment>
    <comment ref="E39" authorId="0" shapeId="0">
      <text>
        <t>Leverage Effect plus Spread Effect.</t>
      </text>
    </comment>
    <comment ref="F39" authorId="0" shapeId="0">
      <text>
        <t>Leverage Effect plus Spread Effect.</t>
      </text>
    </comment>
    <comment ref="D40" authorId="0" shapeId="0">
      <text>
        <t>Operating Effect plus Financing Effect.</t>
      </text>
    </comment>
    <comment ref="E40" authorId="0" shapeId="0">
      <text>
        <t>Operating Effect plus Financing Effect.</t>
      </text>
    </comment>
    <comment ref="F40" authorId="0" shapeId="0">
      <text>
        <t>Operating Effect plus Financing Effect.</t>
      </text>
    </comment>
  </commentList>
</comments>
</file>

<file path=xl/comments/comment3.xml><?xml version="1.0" encoding="utf-8"?>
<comments xmlns="http://schemas.openxmlformats.org/spreadsheetml/2006/main">
  <authors>
    <author>BAV Trainer</author>
  </authors>
  <commentList>
    <comment ref="C9" authorId="0" shapeId="0">
      <text>
        <t>Sum the signed pretax add-back for items marked Non-recurring on the Earnings Normalization detail block.</t>
      </text>
    </comment>
    <comment ref="D9" authorId="0" shapeId="0">
      <text>
        <t>Sum the signed pretax add-back for items marked Non-recurring on the Earnings Normalization detail block.</t>
      </text>
    </comment>
    <comment ref="E9" authorId="0" shapeId="0">
      <text>
        <t>Sum the signed pretax add-back for items marked Non-recurring on the Earnings Normalization detail block.</t>
      </text>
    </comment>
    <comment ref="F9" authorId="0" shapeId="0">
      <text>
        <t>Sum the signed pretax add-back for items marked Non-recurring on the Earnings Normalization detail block.</t>
      </text>
    </comment>
    <comment ref="G9" authorId="0" shapeId="0">
      <text>
        <t>Sum the signed pretax add-back for items marked Non-recurring on the Earnings Normalization detail block.</t>
      </text>
    </comment>
    <comment ref="C11" authorId="0" shapeId="0">
      <text>
        <t>Apply the period effective tax rate to the pretax normalization adjustment.</t>
      </text>
    </comment>
    <comment ref="D11" authorId="0" shapeId="0">
      <text>
        <t>Apply the period effective tax rate to the pretax normalization adjustment.</t>
      </text>
    </comment>
    <comment ref="E11" authorId="0" shapeId="0">
      <text>
        <t>Apply the period effective tax rate to the pretax normalization adjustment.</t>
      </text>
    </comment>
    <comment ref="F11" authorId="0" shapeId="0">
      <text>
        <t>Apply the period effective tax rate to the pretax normalization adjustment.</t>
      </text>
    </comment>
    <comment ref="G11" authorId="0" shapeId="0">
      <text>
        <t>Apply the period effective tax rate to the pretax normalization adjustment.</t>
      </text>
    </comment>
    <comment ref="C12" authorId="0" shapeId="0">
      <text>
        <t>Add the after-tax normalization adjustment to reported NOPAT.</t>
      </text>
    </comment>
    <comment ref="D12" authorId="0" shapeId="0">
      <text>
        <t>Add the after-tax normalization adjustment to reported NOPAT.</t>
      </text>
    </comment>
    <comment ref="E12" authorId="0" shapeId="0">
      <text>
        <t>Add the after-tax normalization adjustment to reported NOPAT.</t>
      </text>
    </comment>
    <comment ref="F12" authorId="0" shapeId="0">
      <text>
        <t>Add the after-tax normalization adjustment to reported NOPAT.</t>
      </text>
    </comment>
    <comment ref="G12" authorId="0" shapeId="0">
      <text>
        <t>Add the after-tax normalization adjustment to reported NOPAT.</t>
      </text>
    </comment>
    <comment ref="C13" authorId="0" shapeId="0">
      <text>
        <t>Add the after-tax normalization adjustment to reported Net Income.</t>
      </text>
    </comment>
    <comment ref="D13" authorId="0" shapeId="0">
      <text>
        <t>Add the after-tax normalization adjustment to reported Net Income.</t>
      </text>
    </comment>
    <comment ref="E13" authorId="0" shapeId="0">
      <text>
        <t>Add the after-tax normalization adjustment to reported Net Income.</t>
      </text>
    </comment>
    <comment ref="F13" authorId="0" shapeId="0">
      <text>
        <t>Add the after-tax normalization adjustment to reported Net Income.</t>
      </text>
    </comment>
    <comment ref="G13" authorId="0" shapeId="0">
      <text>
        <t>Add the after-tax normalization adjustment to reported Net Income.</t>
      </text>
    </comment>
  </commentList>
</comments>
</file>

<file path=xl/comments/comment4.xml><?xml version="1.0" encoding="utf-8"?>
<comments xmlns="http://schemas.openxmlformats.org/spreadsheetml/2006/main">
  <authors>
    <author>BAV Trainer</author>
  </authors>
  <commentList>
    <comment ref="B5" authorId="0" shapeId="0">
      <text>
        <t>Link net cash from operating activities for the same fiscal period.</t>
      </text>
    </comment>
    <comment ref="C5" authorId="0" shapeId="0">
      <text>
        <t>Link net cash from operating activities for the same fiscal period.</t>
      </text>
    </comment>
    <comment ref="D5" authorId="0" shapeId="0">
      <text>
        <t>Link net cash from operating activities for the same fiscal period.</t>
      </text>
    </comment>
    <comment ref="E5" authorId="0" shapeId="0">
      <text>
        <t>Link net cash from operating activities for the same fiscal period.</t>
      </text>
    </comment>
    <comment ref="F5" authorId="0" shapeId="0">
      <text>
        <t>Link net cash from operating activities for the same fiscal period.</t>
      </text>
    </comment>
    <comment ref="B7" authorId="0" shapeId="0">
      <text>
        <t>Compare operating cash flow with reported Net Income.</t>
      </text>
    </comment>
    <comment ref="C7" authorId="0" shapeId="0">
      <text>
        <t>Compare operating cash flow with reported Net Income.</t>
      </text>
    </comment>
    <comment ref="D7" authorId="0" shapeId="0">
      <text>
        <t>Compare operating cash flow with reported Net Income.</t>
      </text>
    </comment>
    <comment ref="E7" authorId="0" shapeId="0">
      <text>
        <t>Compare operating cash flow with reported Net Income.</t>
      </text>
    </comment>
    <comment ref="F7" authorId="0" shapeId="0">
      <text>
        <t>Compare operating cash flow with reported Net Income.</t>
      </text>
    </comment>
    <comment ref="B8" authorId="0" shapeId="0">
      <text>
        <t>Reported Net Income minus operating cash flow.</t>
      </text>
    </comment>
    <comment ref="C8" authorId="0" shapeId="0">
      <text>
        <t>Reported Net Income minus operating cash flow.</t>
      </text>
    </comment>
    <comment ref="D8" authorId="0" shapeId="0">
      <text>
        <t>Reported Net Income minus operating cash flow.</t>
      </text>
    </comment>
    <comment ref="E8" authorId="0" shapeId="0">
      <text>
        <t>Reported Net Income minus operating cash flow.</t>
      </text>
    </comment>
    <comment ref="F8" authorId="0" shapeId="0">
      <text>
        <t>Reported Net Income minus operating cash flow.</t>
      </text>
    </comment>
    <comment ref="C11" authorId="0" shapeId="0">
      <text>
        <t>Average beginning and ending reported total assets.</t>
      </text>
    </comment>
    <comment ref="D11" authorId="0" shapeId="0">
      <text>
        <t>Average beginning and ending reported total assets.</t>
      </text>
    </comment>
    <comment ref="E11" authorId="0" shapeId="0">
      <text>
        <t>Average beginning and ending reported total assets.</t>
      </text>
    </comment>
    <comment ref="F11" authorId="0" shapeId="0">
      <text>
        <t>Average beginning and ending reported total assets.</t>
      </text>
    </comment>
    <comment ref="C12" authorId="0" shapeId="0">
      <text>
        <t>Scale total accruals by average total assets.</t>
      </text>
    </comment>
    <comment ref="D12" authorId="0" shapeId="0">
      <text>
        <t>Scale total accruals by average total assets.</t>
      </text>
    </comment>
    <comment ref="E12" authorId="0" shapeId="0">
      <text>
        <t>Scale total accruals by average total assets.</t>
      </text>
    </comment>
    <comment ref="F12" authorId="0" shapeId="0">
      <text>
        <t>Scale total accruals by average total assets.</t>
      </text>
    </comment>
    <comment ref="C15" authorId="0" shapeId="0">
      <text>
        <t>Current CFO minus prior CFO.</t>
      </text>
    </comment>
    <comment ref="D15" authorId="0" shapeId="0">
      <text>
        <t>Current CFO minus prior CFO.</t>
      </text>
    </comment>
    <comment ref="E15" authorId="0" shapeId="0">
      <text>
        <t>Current CFO minus prior CFO.</t>
      </text>
    </comment>
    <comment ref="F15" authorId="0" shapeId="0">
      <text>
        <t>Current CFO minus prior CFO.</t>
      </text>
    </comment>
    <comment ref="C16" authorId="0" shapeId="0">
      <text>
        <t>Current cash conversion ratio minus prior ratio.</t>
      </text>
    </comment>
    <comment ref="D16" authorId="0" shapeId="0">
      <text>
        <t>Current cash conversion ratio minus prior ratio.</t>
      </text>
    </comment>
    <comment ref="E16" authorId="0" shapeId="0">
      <text>
        <t>Current cash conversion ratio minus prior ratio.</t>
      </text>
    </comment>
    <comment ref="F16" authorId="0" shapeId="0">
      <text>
        <t>Current cash conversion ratio minus prior ratio.</t>
      </text>
    </comment>
    <comment ref="C17" authorId="0" shapeId="0">
      <text>
        <t>Current Total Accruals minus prior Total Accruals.</t>
      </text>
    </comment>
    <comment ref="D17" authorId="0" shapeId="0">
      <text>
        <t>Current Total Accruals minus prior Total Accruals.</t>
      </text>
    </comment>
    <comment ref="E17" authorId="0" shapeId="0">
      <text>
        <t>Current Total Accruals minus prior Total Accruals.</t>
      </text>
    </comment>
    <comment ref="F17" authorId="0" shapeId="0">
      <text>
        <t>Current Total Accruals minus prior Total Accruals.</t>
      </text>
    </comment>
    <comment ref="D18" authorId="0" shapeId="0">
      <text>
        <t>Current accrual ratio minus prior comparable accrual ratio.</t>
      </text>
    </comment>
    <comment ref="E18" authorId="0" shapeId="0">
      <text>
        <t>Current accrual ratio minus prior comparable accrual ratio.</t>
      </text>
    </comment>
    <comment ref="F18" authorId="0" shapeId="0">
      <text>
        <t>Current accrual ratio minus prior comparable accrual ratio.</t>
      </text>
    </comment>
  </commentList>
</comments>
</file>

<file path=xl/comments/comment5.xml><?xml version="1.0" encoding="utf-8"?>
<comments xmlns="http://schemas.openxmlformats.org/spreadsheetml/2006/main">
  <authors>
    <author>BAV Trainer</author>
  </authors>
  <commentList>
    <comment ref="B11" authorId="0" shapeId="0">
      <text>
        <t>OWCA divided by Revenue for the same fiscal period.</t>
      </text>
    </comment>
    <comment ref="C11" authorId="0" shapeId="0">
      <text>
        <t>OWCA divided by Revenue for the same fiscal period.</t>
      </text>
    </comment>
    <comment ref="D11" authorId="0" shapeId="0">
      <text>
        <t>OWCA divided by Revenue for the same fiscal period.</t>
      </text>
    </comment>
    <comment ref="E11" authorId="0" shapeId="0">
      <text>
        <t>OWCA divided by Revenue for the same fiscal period.</t>
      </text>
    </comment>
    <comment ref="F11" authorId="0" shapeId="0">
      <text>
        <t>OWCA divided by Revenue for the same fiscal period.</t>
      </text>
    </comment>
    <comment ref="B12" authorId="0" shapeId="0">
      <text>
        <t>OWCL divided by Revenue for the same fiscal period.</t>
      </text>
    </comment>
    <comment ref="C12" authorId="0" shapeId="0">
      <text>
        <t>OWCL divided by Revenue for the same fiscal period.</t>
      </text>
    </comment>
    <comment ref="D12" authorId="0" shapeId="0">
      <text>
        <t>OWCL divided by Revenue for the same fiscal period.</t>
      </text>
    </comment>
    <comment ref="E12" authorId="0" shapeId="0">
      <text>
        <t>OWCL divided by Revenue for the same fiscal period.</t>
      </text>
    </comment>
    <comment ref="F12" authorId="0" shapeId="0">
      <text>
        <t>OWCL divided by Revenue for the same fiscal period.</t>
      </text>
    </comment>
    <comment ref="B13" authorId="0" shapeId="0">
      <text>
        <t>NOWC divided by Revenue for the same fiscal period.</t>
      </text>
    </comment>
    <comment ref="C13" authorId="0" shapeId="0">
      <text>
        <t>NOWC divided by Revenue for the same fiscal period.</t>
      </text>
    </comment>
    <comment ref="D13" authorId="0" shapeId="0">
      <text>
        <t>NOWC divided by Revenue for the same fiscal period.</t>
      </text>
    </comment>
    <comment ref="E13" authorId="0" shapeId="0">
      <text>
        <t>NOWC divided by Revenue for the same fiscal period.</t>
      </text>
    </comment>
    <comment ref="F13" authorId="0" shapeId="0">
      <text>
        <t>NOWC divided by Revenue for the same fiscal period.</t>
      </text>
    </comment>
    <comment ref="C14" authorId="0" shapeId="0">
      <text>
        <t>Absolute year-on-year change in Revenue.</t>
      </text>
    </comment>
    <comment ref="D14" authorId="0" shapeId="0">
      <text>
        <t>Absolute year-on-year change in Revenue.</t>
      </text>
    </comment>
    <comment ref="E14" authorId="0" shapeId="0">
      <text>
        <t>Absolute year-on-year change in Revenue.</t>
      </text>
    </comment>
    <comment ref="F14" authorId="0" shapeId="0">
      <text>
        <t>Absolute year-on-year change in Revenue.</t>
      </text>
    </comment>
    <comment ref="C15" authorId="0" shapeId="0">
      <text>
        <t>Absolute year-on-year change in NOWC.</t>
      </text>
    </comment>
    <comment ref="D15" authorId="0" shapeId="0">
      <text>
        <t>Absolute year-on-year change in NOWC.</t>
      </text>
    </comment>
    <comment ref="E15" authorId="0" shapeId="0">
      <text>
        <t>Absolute year-on-year change in NOWC.</t>
      </text>
    </comment>
    <comment ref="F15" authorId="0" shapeId="0">
      <text>
        <t>Absolute year-on-year change in NOWC.</t>
      </text>
    </comment>
    <comment ref="C16" authorId="0" shapeId="0">
      <text>
        <t>Change in NOWC divided by Change in Revenue.</t>
      </text>
    </comment>
    <comment ref="D16" authorId="0" shapeId="0">
      <text>
        <t>Change in NOWC divided by Change in Revenue.</t>
      </text>
    </comment>
    <comment ref="E16" authorId="0" shapeId="0">
      <text>
        <t>Change in NOWC divided by Change in Revenue.</t>
      </text>
    </comment>
    <comment ref="F16" authorId="0" shapeId="0">
      <text>
        <t>Change in NOWC divided by Change in Revenue.</t>
      </text>
    </comment>
    <comment ref="C19" authorId="0" shapeId="0">
      <text>
        <t>Absolute year-on-year change in OWCA.</t>
      </text>
    </comment>
    <comment ref="D19" authorId="0" shapeId="0">
      <text>
        <t>Absolute year-on-year change in OWCA.</t>
      </text>
    </comment>
    <comment ref="E19" authorId="0" shapeId="0">
      <text>
        <t>Absolute year-on-year change in OWCA.</t>
      </text>
    </comment>
    <comment ref="F19" authorId="0" shapeId="0">
      <text>
        <t>Absolute year-on-year change in OWCA.</t>
      </text>
    </comment>
    <comment ref="C20" authorId="0" shapeId="0">
      <text>
        <t>Absolute year-on-year change in OWCL.</t>
      </text>
    </comment>
    <comment ref="D20" authorId="0" shapeId="0">
      <text>
        <t>Absolute year-on-year change in OWCL.</t>
      </text>
    </comment>
    <comment ref="E20" authorId="0" shapeId="0">
      <text>
        <t>Absolute year-on-year change in OWCL.</t>
      </text>
    </comment>
    <comment ref="F20" authorId="0" shapeId="0">
      <text>
        <t>Absolute year-on-year change in OWCL.</t>
      </text>
    </comment>
    <comment ref="C21" authorId="0" shapeId="0">
      <text>
        <t>Change in OWCA minus Change in OWCL.</t>
      </text>
    </comment>
    <comment ref="D21" authorId="0" shapeId="0">
      <text>
        <t>Change in OWCA minus Change in OWCL.</t>
      </text>
    </comment>
    <comment ref="E21" authorId="0" shapeId="0">
      <text>
        <t>Change in OWCA minus Change in OWCL.</t>
      </text>
    </comment>
    <comment ref="F21" authorId="0" shapeId="0">
      <text>
        <t>Change in OWCA minus Change in OWCL.</t>
      </text>
    </comment>
    <comment ref="C22" authorId="0" shapeId="0">
      <text>
        <t>Change in OWCA divided by Change in Revenue.</t>
      </text>
    </comment>
    <comment ref="D22" authorId="0" shapeId="0">
      <text>
        <t>Change in OWCA divided by Change in Revenue.</t>
      </text>
    </comment>
    <comment ref="E22" authorId="0" shapeId="0">
      <text>
        <t>Change in OWCA divided by Change in Revenue.</t>
      </text>
    </comment>
    <comment ref="F22" authorId="0" shapeId="0">
      <text>
        <t>Change in OWCA divided by Change in Revenue.</t>
      </text>
    </comment>
    <comment ref="C23" authorId="0" shapeId="0">
      <text>
        <t>Change in OWCL divided by Change in Revenue.</t>
      </text>
    </comment>
    <comment ref="D23" authorId="0" shapeId="0">
      <text>
        <t>Change in OWCL divided by Change in Revenue.</t>
      </text>
    </comment>
    <comment ref="E23" authorId="0" shapeId="0">
      <text>
        <t>Change in OWCL divided by Change in Revenue.</t>
      </text>
    </comment>
    <comment ref="F23" authorId="0" shapeId="0">
      <text>
        <t>Change in OWCL divided by Change in Revenue.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9" t="inlineStr">
        <is>
          <t>BAV Excel Trainer</t>
        </is>
      </c>
    </row>
    <row r="2">
      <c r="A2" s="10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4">
      <c r="A4" s="11" t="inlineStr">
        <is>
          <t>Order</t>
        </is>
      </c>
      <c r="B4" s="11" t="inlineStr">
        <is>
          <t>Schedule</t>
        </is>
      </c>
      <c r="C4" s="11" t="inlineStr">
        <is>
          <t>Period scope</t>
        </is>
      </c>
      <c r="D4" s="11" t="inlineStr">
        <is>
          <t>Tab</t>
        </is>
      </c>
      <c r="E4" s="11" t="inlineStr">
        <is>
          <t>Practice cells</t>
        </is>
      </c>
      <c r="F4" s="11" t="inlineStr">
        <is>
          <t>Depends on</t>
        </is>
      </c>
    </row>
    <row r="5">
      <c r="A5" s="10" t="n">
        <v>1</v>
      </c>
      <c r="B5" s="10" t="inlineStr">
        <is>
          <t>Revenue historical source link</t>
        </is>
      </c>
      <c r="C5" s="10" t="inlineStr">
        <is>
          <t>2021–2025 (5 cells)</t>
        </is>
      </c>
      <c r="D5" s="10" t="inlineStr">
        <is>
          <t>Condensed Financials</t>
        </is>
      </c>
      <c r="E5" s="10" t="inlineStr">
        <is>
          <t>B19:F19</t>
        </is>
      </c>
      <c r="F5" s="10" t="inlineStr">
        <is>
          <t>—</t>
        </is>
      </c>
    </row>
    <row r="6">
      <c r="A6" s="10" t="n">
        <v>2</v>
      </c>
      <c r="B6" s="10" t="inlineStr">
        <is>
          <t>Net Income historical source link</t>
        </is>
      </c>
      <c r="C6" s="10" t="inlineStr">
        <is>
          <t>2021–2025 (5 cells)</t>
        </is>
      </c>
      <c r="D6" s="10" t="inlineStr">
        <is>
          <t>Condensed Financials</t>
        </is>
      </c>
      <c r="E6" s="10" t="inlineStr">
        <is>
          <t>B20:F20</t>
        </is>
      </c>
      <c r="F6" s="10" t="inlineStr">
        <is>
          <t>—</t>
        </is>
      </c>
    </row>
    <row r="7">
      <c r="A7" s="10" t="n">
        <v>3</v>
      </c>
      <c r="B7" s="10" t="inlineStr">
        <is>
          <t>Effective tax rate</t>
        </is>
      </c>
      <c r="C7" s="10" t="inlineStr">
        <is>
          <t>2021–2025 (5 cells)</t>
        </is>
      </c>
      <c r="D7" s="10" t="inlineStr">
        <is>
          <t>Condensed Financials</t>
        </is>
      </c>
      <c r="E7" s="10" t="inlineStr">
        <is>
          <t>B25:F25</t>
        </is>
      </c>
      <c r="F7" s="10" t="inlineStr">
        <is>
          <t>—</t>
        </is>
      </c>
    </row>
    <row r="8">
      <c r="A8" s="10" t="n">
        <v>4</v>
      </c>
      <c r="B8" s="10" t="inlineStr">
        <is>
          <t>Net interest</t>
        </is>
      </c>
      <c r="C8" s="10" t="inlineStr">
        <is>
          <t>2021–2025 (5 cells)</t>
        </is>
      </c>
      <c r="D8" s="10" t="inlineStr">
        <is>
          <t>Condensed Financials</t>
        </is>
      </c>
      <c r="E8" s="10" t="inlineStr">
        <is>
          <t>B26:F26</t>
        </is>
      </c>
      <c r="F8" s="10" t="inlineStr">
        <is>
          <t>—</t>
        </is>
      </c>
    </row>
    <row r="9">
      <c r="A9" s="10" t="n">
        <v>5</v>
      </c>
      <c r="B9" s="10" t="inlineStr">
        <is>
          <t>Net interest after tax</t>
        </is>
      </c>
      <c r="C9" s="10" t="inlineStr">
        <is>
          <t>2021–2025 (5 cells)</t>
        </is>
      </c>
      <c r="D9" s="10" t="inlineStr">
        <is>
          <t>Condensed Financials</t>
        </is>
      </c>
      <c r="E9" s="10" t="inlineStr">
        <is>
          <t>B27:F27</t>
        </is>
      </c>
      <c r="F9" s="10" t="inlineStr">
        <is>
          <t>effective_tax_rate_fy, net_interest_fy</t>
        </is>
      </c>
    </row>
    <row r="10">
      <c r="A10" s="10" t="n">
        <v>6</v>
      </c>
      <c r="B10" s="10" t="inlineStr">
        <is>
          <t>NOPAT</t>
        </is>
      </c>
      <c r="C10" s="10" t="inlineStr">
        <is>
          <t>2021–2025 (5 cells)</t>
        </is>
      </c>
      <c r="D10" s="10" t="inlineStr">
        <is>
          <t>Condensed Financials</t>
        </is>
      </c>
      <c r="E10" s="10" t="inlineStr">
        <is>
          <t>B28:F28</t>
        </is>
      </c>
      <c r="F10" s="10" t="inlineStr">
        <is>
          <t>net_income_link, net_interest_after_tax_fy</t>
        </is>
      </c>
    </row>
    <row r="11">
      <c r="A11" s="10" t="n">
        <v>7</v>
      </c>
      <c r="B11" s="10" t="inlineStr">
        <is>
          <t>Operating working capital assets</t>
        </is>
      </c>
      <c r="C11" s="10" t="inlineStr">
        <is>
          <t>2021–2025 (5 cells)</t>
        </is>
      </c>
      <c r="D11" s="10" t="inlineStr">
        <is>
          <t>Condensed Financials</t>
        </is>
      </c>
      <c r="E11" s="10" t="inlineStr">
        <is>
          <t>B31:F31</t>
        </is>
      </c>
      <c r="F11" s="10" t="inlineStr">
        <is>
          <t>—</t>
        </is>
      </c>
    </row>
    <row r="12">
      <c r="A12" s="10" t="n">
        <v>8</v>
      </c>
      <c r="B12" s="10" t="inlineStr">
        <is>
          <t>Operating working capital liabilities</t>
        </is>
      </c>
      <c r="C12" s="10" t="inlineStr">
        <is>
          <t>2021–2025 (5 cells)</t>
        </is>
      </c>
      <c r="D12" s="10" t="inlineStr">
        <is>
          <t>Condensed Financials</t>
        </is>
      </c>
      <c r="E12" s="10" t="inlineStr">
        <is>
          <t>B32:F32</t>
        </is>
      </c>
      <c r="F12" s="10" t="inlineStr">
        <is>
          <t>—</t>
        </is>
      </c>
    </row>
    <row r="13">
      <c r="A13" s="10" t="n">
        <v>9</v>
      </c>
      <c r="B13" s="10" t="inlineStr">
        <is>
          <t>Net Operating Working Capital (NOWC)</t>
        </is>
      </c>
      <c r="C13" s="10" t="inlineStr">
        <is>
          <t>2021–2025 (5 cells)</t>
        </is>
      </c>
      <c r="D13" s="10" t="inlineStr">
        <is>
          <t>Condensed Financials</t>
        </is>
      </c>
      <c r="E13" s="10" t="inlineStr">
        <is>
          <t>B33:F33</t>
        </is>
      </c>
      <c r="F13" s="10" t="inlineStr">
        <is>
          <t>owca_agg, owcl_agg</t>
        </is>
      </c>
    </row>
    <row r="14">
      <c r="A14" s="10" t="n">
        <v>10</v>
      </c>
      <c r="B14" s="10" t="inlineStr">
        <is>
          <t>Operating long-term assets</t>
        </is>
      </c>
      <c r="C14" s="10" t="inlineStr">
        <is>
          <t>2021–2025 (5 cells)</t>
        </is>
      </c>
      <c r="D14" s="10" t="inlineStr">
        <is>
          <t>Condensed Financials</t>
        </is>
      </c>
      <c r="E14" s="10" t="inlineStr">
        <is>
          <t>B34:F34</t>
        </is>
      </c>
      <c r="F14" s="10" t="inlineStr">
        <is>
          <t>—</t>
        </is>
      </c>
    </row>
    <row r="15">
      <c r="A15" s="10" t="n">
        <v>11</v>
      </c>
      <c r="B15" s="10" t="inlineStr">
        <is>
          <t>Operating long-term liabilities</t>
        </is>
      </c>
      <c r="C15" s="10" t="inlineStr">
        <is>
          <t>2021–2025 (5 cells)</t>
        </is>
      </c>
      <c r="D15" s="10" t="inlineStr">
        <is>
          <t>Condensed Financials</t>
        </is>
      </c>
      <c r="E15" s="10" t="inlineStr">
        <is>
          <t>B35:F35</t>
        </is>
      </c>
      <c r="F15" s="10" t="inlineStr">
        <is>
          <t>—</t>
        </is>
      </c>
    </row>
    <row r="16">
      <c r="A16" s="10" t="n">
        <v>12</v>
      </c>
      <c r="B16" s="10" t="inlineStr">
        <is>
          <t>Net operating long-term assets (NOLA)</t>
        </is>
      </c>
      <c r="C16" s="10" t="inlineStr">
        <is>
          <t>2021–2025 (5 cells)</t>
        </is>
      </c>
      <c r="D16" s="10" t="inlineStr">
        <is>
          <t>Condensed Financials</t>
        </is>
      </c>
      <c r="E16" s="10" t="inlineStr">
        <is>
          <t>B36:F36</t>
        </is>
      </c>
      <c r="F16" s="10" t="inlineStr">
        <is>
          <t>olta_agg, oltl_agg</t>
        </is>
      </c>
    </row>
    <row r="17">
      <c r="A17" s="10" t="n">
        <v>13</v>
      </c>
      <c r="B17" s="10" t="inlineStr">
        <is>
          <t>Net Operating Assets (NOA)</t>
        </is>
      </c>
      <c r="C17" s="10" t="inlineStr">
        <is>
          <t>2021–2025 (5 cells)</t>
        </is>
      </c>
      <c r="D17" s="10" t="inlineStr">
        <is>
          <t>Condensed Financials</t>
        </is>
      </c>
      <c r="E17" s="10" t="inlineStr">
        <is>
          <t>B37:F37</t>
        </is>
      </c>
      <c r="F17" s="10" t="inlineStr">
        <is>
          <t>nowc_agg, nola_agg</t>
        </is>
      </c>
    </row>
    <row r="18">
      <c r="A18" s="10" t="n">
        <v>14</v>
      </c>
      <c r="B18" s="10" t="inlineStr">
        <is>
          <t>Financial assets</t>
        </is>
      </c>
      <c r="C18" s="10" t="inlineStr">
        <is>
          <t>2021–2025 (5 cells)</t>
        </is>
      </c>
      <c r="D18" s="10" t="inlineStr">
        <is>
          <t>Condensed Financials</t>
        </is>
      </c>
      <c r="E18" s="10" t="inlineStr">
        <is>
          <t>B38:F38</t>
        </is>
      </c>
      <c r="F18" s="10" t="inlineStr">
        <is>
          <t>—</t>
        </is>
      </c>
    </row>
    <row r="19">
      <c r="A19" s="10" t="n">
        <v>15</v>
      </c>
      <c r="B19" s="10" t="inlineStr">
        <is>
          <t>Financial liabilities</t>
        </is>
      </c>
      <c r="C19" s="10" t="inlineStr">
        <is>
          <t>2021–2025 (5 cells)</t>
        </is>
      </c>
      <c r="D19" s="10" t="inlineStr">
        <is>
          <t>Condensed Financials</t>
        </is>
      </c>
      <c r="E19" s="10" t="inlineStr">
        <is>
          <t>B39:F39</t>
        </is>
      </c>
      <c r="F19" s="10" t="inlineStr">
        <is>
          <t>—</t>
        </is>
      </c>
    </row>
    <row r="20">
      <c r="A20" s="10" t="n">
        <v>16</v>
      </c>
      <c r="B20" s="10" t="inlineStr">
        <is>
          <t>Net Debt</t>
        </is>
      </c>
      <c r="C20" s="10" t="inlineStr">
        <is>
          <t>2021–2025 (5 cells)</t>
        </is>
      </c>
      <c r="D20" s="10" t="inlineStr">
        <is>
          <t>Condensed Financials</t>
        </is>
      </c>
      <c r="E20" s="10" t="inlineStr">
        <is>
          <t>B40:F40</t>
        </is>
      </c>
      <c r="F20" s="10" t="inlineStr">
        <is>
          <t>financial_assets_agg, financial_liabilities_agg</t>
        </is>
      </c>
    </row>
    <row r="21">
      <c r="A21" s="10" t="n">
        <v>17</v>
      </c>
      <c r="B21" s="10" t="inlineStr">
        <is>
          <t>Reformulated equity</t>
        </is>
      </c>
      <c r="C21" s="10" t="inlineStr">
        <is>
          <t>2021–2025 (5 cells)</t>
        </is>
      </c>
      <c r="D21" s="10" t="inlineStr">
        <is>
          <t>Condensed Financials</t>
        </is>
      </c>
      <c r="E21" s="10" t="inlineStr">
        <is>
          <t>B41:F41</t>
        </is>
      </c>
      <c r="F21" s="10" t="inlineStr">
        <is>
          <t>noa_agg, net_debt</t>
        </is>
      </c>
    </row>
    <row r="22">
      <c r="A22" s="10" t="n">
        <v>18</v>
      </c>
      <c r="B22" s="10" t="inlineStr">
        <is>
          <t>Sales Growth</t>
        </is>
      </c>
      <c r="C22" s="10" t="inlineStr">
        <is>
          <t>2022–2025 (4 cells)</t>
        </is>
      </c>
      <c r="D22" s="10" t="inlineStr">
        <is>
          <t>ALT DuPont</t>
        </is>
      </c>
      <c r="E22" s="10" t="inlineStr">
        <is>
          <t>C5:F5</t>
        </is>
      </c>
      <c r="F22" s="10" t="inlineStr">
        <is>
          <t>revenue_link</t>
        </is>
      </c>
    </row>
    <row r="23">
      <c r="A23" s="10" t="n">
        <v>19</v>
      </c>
      <c r="B23" s="10" t="inlineStr">
        <is>
          <t>NOPAT Margin</t>
        </is>
      </c>
      <c r="C23" s="10" t="inlineStr">
        <is>
          <t>2021–2025 (5 cells)</t>
        </is>
      </c>
      <c r="D23" s="10" t="inlineStr">
        <is>
          <t>ALT DuPont</t>
        </is>
      </c>
      <c r="E23" s="10" t="inlineStr">
        <is>
          <t>B6:F6</t>
        </is>
      </c>
      <c r="F23" s="10" t="inlineStr">
        <is>
          <t>nopat_fy, revenue_link</t>
        </is>
      </c>
    </row>
    <row r="24">
      <c r="A24" s="10" t="n">
        <v>20</v>
      </c>
      <c r="B24" s="10" t="inlineStr">
        <is>
          <t>Return on Net Operating Assets (RNOA)</t>
        </is>
      </c>
      <c r="C24" s="10" t="inlineStr">
        <is>
          <t>2022–2025 (4 cells)</t>
        </is>
      </c>
      <c r="D24" s="10" t="inlineStr">
        <is>
          <t>ALT DuPont</t>
        </is>
      </c>
      <c r="E24" s="10" t="inlineStr">
        <is>
          <t>C7:F7</t>
        </is>
      </c>
      <c r="F24" s="10" t="inlineStr">
        <is>
          <t>nopat_fy, noa_agg</t>
        </is>
      </c>
    </row>
    <row r="25">
      <c r="A25" s="10" t="n">
        <v>21</v>
      </c>
      <c r="B25" s="10" t="inlineStr">
        <is>
          <t>After-tax cost of debt</t>
        </is>
      </c>
      <c r="C25" s="10" t="inlineStr">
        <is>
          <t>2022–2025 (4 cells)</t>
        </is>
      </c>
      <c r="D25" s="10" t="inlineStr">
        <is>
          <t>ALT DuPont</t>
        </is>
      </c>
      <c r="E25" s="10" t="inlineStr">
        <is>
          <t>C8:F8</t>
        </is>
      </c>
      <c r="F25" s="10" t="inlineStr">
        <is>
          <t>net_interest_after_tax_fy, net_debt</t>
        </is>
      </c>
    </row>
    <row r="26">
      <c r="A26" s="10" t="n">
        <v>22</v>
      </c>
      <c r="B26" s="10" t="inlineStr">
        <is>
          <t>Operating Spread (RNOA − After-tax CoD)</t>
        </is>
      </c>
      <c r="C26" s="10" t="inlineStr">
        <is>
          <t>2022–2025 (4 cells)</t>
        </is>
      </c>
      <c r="D26" s="10" t="inlineStr">
        <is>
          <t>ALT DuPont</t>
        </is>
      </c>
      <c r="E26" s="10" t="inlineStr">
        <is>
          <t>C9:F9</t>
        </is>
      </c>
      <c r="F26" s="10" t="inlineStr">
        <is>
          <t>rnoa, after_tax_cod</t>
        </is>
      </c>
    </row>
    <row r="27">
      <c r="A27" s="10" t="n">
        <v>23</v>
      </c>
      <c r="B27" s="10" t="inlineStr">
        <is>
          <t>Financial leverage (FLEV)</t>
        </is>
      </c>
      <c r="C27" s="10" t="inlineStr">
        <is>
          <t>2022–2025 (4 cells)</t>
        </is>
      </c>
      <c r="D27" s="10" t="inlineStr">
        <is>
          <t>ALT DuPont</t>
        </is>
      </c>
      <c r="E27" s="10" t="inlineStr">
        <is>
          <t>C10:F10</t>
        </is>
      </c>
      <c r="F27" s="10" t="inlineStr">
        <is>
          <t>net_debt, equity_reformulated_fy</t>
        </is>
      </c>
    </row>
    <row r="28">
      <c r="A28" s="10" t="n">
        <v>24</v>
      </c>
      <c r="B28" s="10" t="inlineStr">
        <is>
          <t>ROE decomposition</t>
        </is>
      </c>
      <c r="C28" s="10" t="inlineStr">
        <is>
          <t>2022–2025 (4 cells)</t>
        </is>
      </c>
      <c r="D28" s="10" t="inlineStr">
        <is>
          <t>ALT DuPont</t>
        </is>
      </c>
      <c r="E28" s="10" t="inlineStr">
        <is>
          <t>C11:F11</t>
        </is>
      </c>
      <c r="F28" s="10" t="inlineStr">
        <is>
          <t>rnoa, spread, flev</t>
        </is>
      </c>
    </row>
    <row r="29">
      <c r="A29" s="10" t="n">
        <v>25</v>
      </c>
      <c r="B29" s="10" t="inlineStr">
        <is>
          <t>Actual ROE</t>
        </is>
      </c>
      <c r="C29" s="10" t="inlineStr">
        <is>
          <t>2022–2025 (4 cells)</t>
        </is>
      </c>
      <c r="D29" s="10" t="inlineStr">
        <is>
          <t>ALT DuPont</t>
        </is>
      </c>
      <c r="E29" s="10" t="inlineStr">
        <is>
          <t>C12:F12</t>
        </is>
      </c>
      <c r="F29" s="10" t="inlineStr">
        <is>
          <t>net_income_link, equity_reformulated_fy</t>
        </is>
      </c>
    </row>
    <row r="30">
      <c r="A30" s="10" t="n">
        <v>26</v>
      </c>
      <c r="B30" s="10" t="inlineStr">
        <is>
          <t>Pretax normalization adjustment</t>
        </is>
      </c>
      <c r="C30" s="10" t="inlineStr">
        <is>
          <t>2021–2025 (5 cells)</t>
        </is>
      </c>
      <c r="D30" s="10" t="inlineStr">
        <is>
          <t>Earnings Normalization</t>
        </is>
      </c>
      <c r="E30" s="10" t="inlineStr">
        <is>
          <t>C9:G9</t>
        </is>
      </c>
      <c r="F30" s="10" t="inlineStr">
        <is>
          <t>—</t>
        </is>
      </c>
    </row>
    <row r="31">
      <c r="A31" s="10" t="n">
        <v>27</v>
      </c>
      <c r="B31" s="10" t="inlineStr">
        <is>
          <t>After-tax normalization adjustment</t>
        </is>
      </c>
      <c r="C31" s="10" t="inlineStr">
        <is>
          <t>2021–2025 (5 cells)</t>
        </is>
      </c>
      <c r="D31" s="10" t="inlineStr">
        <is>
          <t>Earnings Normalization</t>
        </is>
      </c>
      <c r="E31" s="10" t="inlineStr">
        <is>
          <t>C11:G11</t>
        </is>
      </c>
      <c r="F31" s="10" t="inlineStr">
        <is>
          <t>pretax_normalization_adjustment</t>
        </is>
      </c>
    </row>
    <row r="32">
      <c r="A32" s="10" t="n">
        <v>28</v>
      </c>
      <c r="B32" s="10" t="inlineStr">
        <is>
          <t>Normalized NOPAT</t>
        </is>
      </c>
      <c r="C32" s="10" t="inlineStr">
        <is>
          <t>2021–2025 (5 cells)</t>
        </is>
      </c>
      <c r="D32" s="10" t="inlineStr">
        <is>
          <t>Earnings Normalization</t>
        </is>
      </c>
      <c r="E32" s="10" t="inlineStr">
        <is>
          <t>C12:G12</t>
        </is>
      </c>
      <c r="F32" s="10" t="inlineStr">
        <is>
          <t>after_tax_normalization_adjustment</t>
        </is>
      </c>
    </row>
    <row r="33">
      <c r="A33" s="10" t="n">
        <v>29</v>
      </c>
      <c r="B33" s="10" t="inlineStr">
        <is>
          <t>Normalized Net Income</t>
        </is>
      </c>
      <c r="C33" s="10" t="inlineStr">
        <is>
          <t>2021–2025 (5 cells)</t>
        </is>
      </c>
      <c r="D33" s="10" t="inlineStr">
        <is>
          <t>Earnings Normalization</t>
        </is>
      </c>
      <c r="E33" s="10" t="inlineStr">
        <is>
          <t>C13:G13</t>
        </is>
      </c>
      <c r="F33" s="10" t="inlineStr">
        <is>
          <t>after_tax_normalization_adjustment</t>
        </is>
      </c>
    </row>
    <row r="34">
      <c r="A34" s="10" t="n">
        <v>30</v>
      </c>
      <c r="B34" s="10" t="inlineStr">
        <is>
          <t>Operating cash flow historical source link</t>
        </is>
      </c>
      <c r="C34" s="10" t="inlineStr">
        <is>
          <t>2021–2025 (5 cells)</t>
        </is>
      </c>
      <c r="D34" s="10" t="inlineStr">
        <is>
          <t>Earnings Quality</t>
        </is>
      </c>
      <c r="E34" s="10" t="inlineStr">
        <is>
          <t>B5:F5</t>
        </is>
      </c>
      <c r="F34" s="10" t="inlineStr">
        <is>
          <t>—</t>
        </is>
      </c>
    </row>
    <row r="35">
      <c r="A35" s="10" t="n">
        <v>31</v>
      </c>
      <c r="B35" s="10" t="inlineStr">
        <is>
          <t>Cash conversion ratio</t>
        </is>
      </c>
      <c r="C35" s="10" t="inlineStr">
        <is>
          <t>2021–2025 (5 cells)</t>
        </is>
      </c>
      <c r="D35" s="10" t="inlineStr">
        <is>
          <t>Earnings Quality</t>
        </is>
      </c>
      <c r="E35" s="10" t="inlineStr">
        <is>
          <t>B7:F7</t>
        </is>
      </c>
      <c r="F35" s="10" t="inlineStr">
        <is>
          <t>operating_cash_flow_link, net_income_link</t>
        </is>
      </c>
    </row>
    <row r="36">
      <c r="A36" s="10" t="n">
        <v>32</v>
      </c>
      <c r="B36" s="10" t="inlineStr">
        <is>
          <t>Total accruals</t>
        </is>
      </c>
      <c r="C36" s="10" t="inlineStr">
        <is>
          <t>2021–2025 (5 cells)</t>
        </is>
      </c>
      <c r="D36" s="10" t="inlineStr">
        <is>
          <t>Earnings Quality</t>
        </is>
      </c>
      <c r="E36" s="10" t="inlineStr">
        <is>
          <t>B8:F8</t>
        </is>
      </c>
      <c r="F36" s="10" t="inlineStr">
        <is>
          <t>operating_cash_flow_link, net_income_link</t>
        </is>
      </c>
    </row>
    <row r="37">
      <c r="A37" s="10" t="n">
        <v>33</v>
      </c>
      <c r="B37" s="10" t="inlineStr">
        <is>
          <t>Average total assets</t>
        </is>
      </c>
      <c r="C37" s="10" t="inlineStr">
        <is>
          <t>2022–2025 (4 cells)</t>
        </is>
      </c>
      <c r="D37" s="10" t="inlineStr">
        <is>
          <t>Earnings Quality</t>
        </is>
      </c>
      <c r="E37" s="10" t="inlineStr">
        <is>
          <t>C11:F11</t>
        </is>
      </c>
      <c r="F37" s="10" t="inlineStr">
        <is>
          <t>—</t>
        </is>
      </c>
    </row>
    <row r="38">
      <c r="A38" s="10" t="n">
        <v>34</v>
      </c>
      <c r="B38" s="10" t="inlineStr">
        <is>
          <t>Accrual ratio</t>
        </is>
      </c>
      <c r="C38" s="10" t="inlineStr">
        <is>
          <t>2022–2025 (4 cells)</t>
        </is>
      </c>
      <c r="D38" s="10" t="inlineStr">
        <is>
          <t>Earnings Quality</t>
        </is>
      </c>
      <c r="E38" s="10" t="inlineStr">
        <is>
          <t>C12:F12</t>
        </is>
      </c>
      <c r="F38" s="10" t="inlineStr">
        <is>
          <t>total_accruals, average_total_assets</t>
        </is>
      </c>
    </row>
    <row r="39">
      <c r="A39" s="10" t="n">
        <v>35</v>
      </c>
      <c r="B39" s="10" t="inlineStr">
        <is>
          <t>Operating working capital assets / Revenue</t>
        </is>
      </c>
      <c r="C39" s="10" t="inlineStr">
        <is>
          <t>2021–2025 (5 cells)</t>
        </is>
      </c>
      <c r="D39" s="10" t="inlineStr">
        <is>
          <t>Working Capital Analysis</t>
        </is>
      </c>
      <c r="E39" s="10" t="inlineStr">
        <is>
          <t>B11:F11</t>
        </is>
      </c>
      <c r="F39" s="10" t="inlineStr">
        <is>
          <t>—</t>
        </is>
      </c>
    </row>
    <row r="40">
      <c r="A40" s="10" t="n">
        <v>36</v>
      </c>
      <c r="B40" s="10" t="inlineStr">
        <is>
          <t>Operating working capital liabilities / Revenue</t>
        </is>
      </c>
      <c r="C40" s="10" t="inlineStr">
        <is>
          <t>2021–2025 (5 cells)</t>
        </is>
      </c>
      <c r="D40" s="10" t="inlineStr">
        <is>
          <t>Working Capital Analysis</t>
        </is>
      </c>
      <c r="E40" s="10" t="inlineStr">
        <is>
          <t>B12:F12</t>
        </is>
      </c>
      <c r="F40" s="10" t="inlineStr">
        <is>
          <t>—</t>
        </is>
      </c>
    </row>
    <row r="41">
      <c r="A41" s="10" t="n">
        <v>37</v>
      </c>
      <c r="B41" s="10" t="inlineStr">
        <is>
          <t>NOWC / Revenue</t>
        </is>
      </c>
      <c r="C41" s="10" t="inlineStr">
        <is>
          <t>2021–2025 (5 cells)</t>
        </is>
      </c>
      <c r="D41" s="10" t="inlineStr">
        <is>
          <t>Working Capital Analysis</t>
        </is>
      </c>
      <c r="E41" s="10" t="inlineStr">
        <is>
          <t>B13:F13</t>
        </is>
      </c>
      <c r="F41" s="10" t="inlineStr">
        <is>
          <t>—</t>
        </is>
      </c>
    </row>
    <row r="42">
      <c r="A42" s="10" t="n">
        <v>38</v>
      </c>
      <c r="B42" s="10" t="inlineStr">
        <is>
          <t>Change in Revenue</t>
        </is>
      </c>
      <c r="C42" s="10" t="inlineStr">
        <is>
          <t>2022–2025 (4 cells)</t>
        </is>
      </c>
      <c r="D42" s="10" t="inlineStr">
        <is>
          <t>Working Capital Analysis</t>
        </is>
      </c>
      <c r="E42" s="10" t="inlineStr">
        <is>
          <t>C14:F14</t>
        </is>
      </c>
      <c r="F42" s="10" t="inlineStr">
        <is>
          <t>—</t>
        </is>
      </c>
    </row>
    <row r="43">
      <c r="A43" s="10" t="n">
        <v>39</v>
      </c>
      <c r="B43" s="10" t="inlineStr">
        <is>
          <t>Change in NOWC</t>
        </is>
      </c>
      <c r="C43" s="10" t="inlineStr">
        <is>
          <t>2022–2025 (4 cells)</t>
        </is>
      </c>
      <c r="D43" s="10" t="inlineStr">
        <is>
          <t>Working Capital Analysis</t>
        </is>
      </c>
      <c r="E43" s="10" t="inlineStr">
        <is>
          <t>C15:F15</t>
        </is>
      </c>
      <c r="F43" s="10" t="inlineStr">
        <is>
          <t>—</t>
        </is>
      </c>
    </row>
    <row r="44">
      <c r="A44" s="10" t="n">
        <v>40</v>
      </c>
      <c r="B44" s="10" t="inlineStr">
        <is>
          <t>Incremental NOWC / Change in Revenue</t>
        </is>
      </c>
      <c r="C44" s="10" t="inlineStr">
        <is>
          <t>2022–2025 (4 cells)</t>
        </is>
      </c>
      <c r="D44" s="10" t="inlineStr">
        <is>
          <t>Working Capital Analysis</t>
        </is>
      </c>
      <c r="E44" s="10" t="inlineStr">
        <is>
          <t>C16:F16</t>
        </is>
      </c>
      <c r="F44" s="10" t="inlineStr">
        <is>
          <t>nowc_change, revenue_change</t>
        </is>
      </c>
    </row>
    <row r="45">
      <c r="A45" s="10" t="n">
        <v>41</v>
      </c>
      <c r="B45" s="10" t="inlineStr">
        <is>
          <t>Change in Operating Working Capital Assets</t>
        </is>
      </c>
      <c r="C45" s="10" t="inlineStr">
        <is>
          <t>2022–2025 (4 cells)</t>
        </is>
      </c>
      <c r="D45" s="10" t="inlineStr">
        <is>
          <t>Working Capital Analysis</t>
        </is>
      </c>
      <c r="E45" s="10" t="inlineStr">
        <is>
          <t>C19:F19</t>
        </is>
      </c>
      <c r="F45" s="10" t="inlineStr">
        <is>
          <t>owca_agg</t>
        </is>
      </c>
    </row>
    <row r="46">
      <c r="A46" s="10" t="n">
        <v>42</v>
      </c>
      <c r="B46" s="10" t="inlineStr">
        <is>
          <t>Change in Operating Working Capital Liabilities</t>
        </is>
      </c>
      <c r="C46" s="10" t="inlineStr">
        <is>
          <t>2022–2025 (4 cells)</t>
        </is>
      </c>
      <c r="D46" s="10" t="inlineStr">
        <is>
          <t>Working Capital Analysis</t>
        </is>
      </c>
      <c r="E46" s="10" t="inlineStr">
        <is>
          <t>C20:F20</t>
        </is>
      </c>
      <c r="F46" s="10" t="inlineStr">
        <is>
          <t>owcl_agg</t>
        </is>
      </c>
    </row>
    <row r="47">
      <c r="A47" s="10" t="n">
        <v>43</v>
      </c>
      <c r="B47" s="10" t="inlineStr">
        <is>
          <t>Change in NOWC from OWCA / OWCL bridge</t>
        </is>
      </c>
      <c r="C47" s="10" t="inlineStr">
        <is>
          <t>2022–2025 (4 cells)</t>
        </is>
      </c>
      <c r="D47" s="10" t="inlineStr">
        <is>
          <t>Working Capital Analysis</t>
        </is>
      </c>
      <c r="E47" s="10" t="inlineStr">
        <is>
          <t>C21:F21</t>
        </is>
      </c>
      <c r="F47" s="10" t="inlineStr">
        <is>
          <t>owca_change, owcl_change</t>
        </is>
      </c>
    </row>
    <row r="48">
      <c r="A48" s="10" t="n">
        <v>44</v>
      </c>
      <c r="B48" s="10" t="inlineStr">
        <is>
          <t>Incremental OWCA / Change in Revenue</t>
        </is>
      </c>
      <c r="C48" s="10" t="inlineStr">
        <is>
          <t>2022–2025 (4 cells)</t>
        </is>
      </c>
      <c r="D48" s="10" t="inlineStr">
        <is>
          <t>Working Capital Analysis</t>
        </is>
      </c>
      <c r="E48" s="10" t="inlineStr">
        <is>
          <t>C22:F22</t>
        </is>
      </c>
      <c r="F48" s="10" t="inlineStr">
        <is>
          <t>owca_change, revenue_change</t>
        </is>
      </c>
    </row>
    <row r="49">
      <c r="A49" s="10" t="n">
        <v>45</v>
      </c>
      <c r="B49" s="10" t="inlineStr">
        <is>
          <t>Incremental OWCL / Change in Revenue</t>
        </is>
      </c>
      <c r="C49" s="10" t="inlineStr">
        <is>
          <t>2022–2025 (4 cells)</t>
        </is>
      </c>
      <c r="D49" s="10" t="inlineStr">
        <is>
          <t>Working Capital Analysis</t>
        </is>
      </c>
      <c r="E49" s="10" t="inlineStr">
        <is>
          <t>C23:F23</t>
        </is>
      </c>
      <c r="F49" s="10" t="inlineStr">
        <is>
          <t>owcl_change, revenue_change</t>
        </is>
      </c>
    </row>
    <row r="50">
      <c r="A50" s="10" t="n">
        <v>46</v>
      </c>
      <c r="B50" s="10" t="inlineStr">
        <is>
          <t>Average Net Operating Assets</t>
        </is>
      </c>
      <c r="C50" s="10" t="inlineStr">
        <is>
          <t>2022–2025 (4 cells)</t>
        </is>
      </c>
      <c r="D50" s="10" t="inlineStr">
        <is>
          <t>ALT DuPont</t>
        </is>
      </c>
      <c r="E50" s="10" t="inlineStr">
        <is>
          <t>C15:F15</t>
        </is>
      </c>
      <c r="F50" s="10" t="inlineStr">
        <is>
          <t>noa_agg</t>
        </is>
      </c>
    </row>
    <row r="51">
      <c r="A51" s="10" t="n">
        <v>47</v>
      </c>
      <c r="B51" s="10" t="inlineStr">
        <is>
          <t>Net Operating Asset Turnover</t>
        </is>
      </c>
      <c r="C51" s="10" t="inlineStr">
        <is>
          <t>2022–2025 (4 cells)</t>
        </is>
      </c>
      <c r="D51" s="10" t="inlineStr">
        <is>
          <t>ALT DuPont</t>
        </is>
      </c>
      <c r="E51" s="10" t="inlineStr">
        <is>
          <t>C16:F16</t>
        </is>
      </c>
      <c r="F51" s="10" t="inlineStr">
        <is>
          <t>revenue_link, average_noa</t>
        </is>
      </c>
    </row>
    <row r="52">
      <c r="A52" s="10" t="n">
        <v>48</v>
      </c>
      <c r="B52" s="10" t="inlineStr">
        <is>
          <t>Net Operating Asset Intensity</t>
        </is>
      </c>
      <c r="C52" s="10" t="inlineStr">
        <is>
          <t>2022–2025 (4 cells)</t>
        </is>
      </c>
      <c r="D52" s="10" t="inlineStr">
        <is>
          <t>ALT DuPont</t>
        </is>
      </c>
      <c r="E52" s="10" t="inlineStr">
        <is>
          <t>C17:F17</t>
        </is>
      </c>
      <c r="F52" s="10" t="inlineStr">
        <is>
          <t>average_noa, revenue_link</t>
        </is>
      </c>
    </row>
    <row r="53">
      <c r="A53" s="10" t="n">
        <v>49</v>
      </c>
      <c r="B53" s="10" t="inlineStr">
        <is>
          <t>RNOA from Margin × Turnover</t>
        </is>
      </c>
      <c r="C53" s="10" t="inlineStr">
        <is>
          <t>2022–2025 (4 cells)</t>
        </is>
      </c>
      <c r="D53" s="10" t="inlineStr">
        <is>
          <t>ALT DuPont</t>
        </is>
      </c>
      <c r="E53" s="10" t="inlineStr">
        <is>
          <t>C18:F18</t>
        </is>
      </c>
      <c r="F53" s="10" t="inlineStr">
        <is>
          <t>nopat_margin, noa_turnover</t>
        </is>
      </c>
    </row>
    <row r="54">
      <c r="A54" s="10" t="n">
        <v>50</v>
      </c>
      <c r="B54" s="10" t="inlineStr">
        <is>
          <t>Change in NOPAT Margin</t>
        </is>
      </c>
      <c r="C54" s="10" t="inlineStr">
        <is>
          <t>2023–2025 (3 cells)</t>
        </is>
      </c>
      <c r="D54" s="10" t="inlineStr">
        <is>
          <t>ALT DuPont</t>
        </is>
      </c>
      <c r="E54" s="10" t="inlineStr">
        <is>
          <t>D22:F22</t>
        </is>
      </c>
      <c r="F54" s="10" t="inlineStr">
        <is>
          <t>nopat_margin</t>
        </is>
      </c>
    </row>
    <row r="55">
      <c r="A55" s="10" t="n">
        <v>51</v>
      </c>
      <c r="B55" s="10" t="inlineStr">
        <is>
          <t>Change in NOA Turnover</t>
        </is>
      </c>
      <c r="C55" s="10" t="inlineStr">
        <is>
          <t>2023–2025 (3 cells)</t>
        </is>
      </c>
      <c r="D55" s="10" t="inlineStr">
        <is>
          <t>ALT DuPont</t>
        </is>
      </c>
      <c r="E55" s="10" t="inlineStr">
        <is>
          <t>D23:F23</t>
        </is>
      </c>
      <c r="F55" s="10" t="inlineStr">
        <is>
          <t>noa_turnover</t>
        </is>
      </c>
    </row>
    <row r="56">
      <c r="A56" s="10" t="n">
        <v>52</v>
      </c>
      <c r="B56" s="10" t="inlineStr">
        <is>
          <t>Direct Change in RNOA</t>
        </is>
      </c>
      <c r="C56" s="10" t="inlineStr">
        <is>
          <t>2023–2025 (3 cells)</t>
        </is>
      </c>
      <c r="D56" s="10" t="inlineStr">
        <is>
          <t>ALT DuPont</t>
        </is>
      </c>
      <c r="E56" s="10" t="inlineStr">
        <is>
          <t>D24:F24</t>
        </is>
      </c>
      <c r="F56" s="10" t="inlineStr">
        <is>
          <t>rnoa</t>
        </is>
      </c>
    </row>
    <row r="57">
      <c r="A57" s="10" t="n">
        <v>53</v>
      </c>
      <c r="B57" s="10" t="inlineStr">
        <is>
          <t>Margin Effect on Change in RNOA</t>
        </is>
      </c>
      <c r="C57" s="10" t="inlineStr">
        <is>
          <t>2023–2025 (3 cells)</t>
        </is>
      </c>
      <c r="D57" s="10" t="inlineStr">
        <is>
          <t>ALT DuPont</t>
        </is>
      </c>
      <c r="E57" s="10" t="inlineStr">
        <is>
          <t>D25:F25</t>
        </is>
      </c>
      <c r="F57" s="10" t="inlineStr">
        <is>
          <t>nopat_margin_change, noa_turnover</t>
        </is>
      </c>
    </row>
    <row r="58">
      <c r="A58" s="10" t="n">
        <v>54</v>
      </c>
      <c r="B58" s="10" t="inlineStr">
        <is>
          <t>Turnover Effect on Change in RNOA</t>
        </is>
      </c>
      <c r="C58" s="10" t="inlineStr">
        <is>
          <t>2023–2025 (3 cells)</t>
        </is>
      </c>
      <c r="D58" s="10" t="inlineStr">
        <is>
          <t>ALT DuPont</t>
        </is>
      </c>
      <c r="E58" s="10" t="inlineStr">
        <is>
          <t>D26:F26</t>
        </is>
      </c>
      <c r="F58" s="10" t="inlineStr">
        <is>
          <t>noa_turnover_change, nopat_margin</t>
        </is>
      </c>
    </row>
    <row r="59">
      <c r="A59" s="10" t="n">
        <v>55</v>
      </c>
      <c r="B59" s="10" t="inlineStr">
        <is>
          <t>Change in RNOA from Margin + Turnover Effects</t>
        </is>
      </c>
      <c r="C59" s="10" t="inlineStr">
        <is>
          <t>2023–2025 (3 cells)</t>
        </is>
      </c>
      <c r="D59" s="10" t="inlineStr">
        <is>
          <t>ALT DuPont</t>
        </is>
      </c>
      <c r="E59" s="10" t="inlineStr">
        <is>
          <t>D27:F27</t>
        </is>
      </c>
      <c r="F59" s="10" t="inlineStr">
        <is>
          <t>rnoa_margin_effect, rnoa_turnover_effect</t>
        </is>
      </c>
    </row>
    <row r="60">
      <c r="A60" s="10" t="n">
        <v>56</v>
      </c>
      <c r="B60" s="10" t="inlineStr">
        <is>
          <t>Financing Contribution to ROE</t>
        </is>
      </c>
      <c r="C60" s="10" t="inlineStr">
        <is>
          <t>2022–2025 (4 cells)</t>
        </is>
      </c>
      <c r="D60" s="10" t="inlineStr">
        <is>
          <t>ALT DuPont</t>
        </is>
      </c>
      <c r="E60" s="10" t="inlineStr">
        <is>
          <t>C31:F31</t>
        </is>
      </c>
      <c r="F60" s="10" t="inlineStr">
        <is>
          <t>flev, spread</t>
        </is>
      </c>
    </row>
    <row r="61">
      <c r="A61" s="10" t="n">
        <v>57</v>
      </c>
      <c r="B61" s="10" t="inlineStr">
        <is>
          <t>Direct Change in Decomposed ROE</t>
        </is>
      </c>
      <c r="C61" s="10" t="inlineStr">
        <is>
          <t>2023–2025 (3 cells)</t>
        </is>
      </c>
      <c r="D61" s="10" t="inlineStr">
        <is>
          <t>ALT DuPont</t>
        </is>
      </c>
      <c r="E61" s="10" t="inlineStr">
        <is>
          <t>D35:F35</t>
        </is>
      </c>
      <c r="F61" s="10" t="inlineStr">
        <is>
          <t>roe_decomp</t>
        </is>
      </c>
    </row>
    <row r="62">
      <c r="A62" s="10" t="n">
        <v>58</v>
      </c>
      <c r="B62" s="10" t="inlineStr">
        <is>
          <t>Operating Effect on Change in ROE</t>
        </is>
      </c>
      <c r="C62" s="10" t="inlineStr">
        <is>
          <t>2023–2025 (3 cells)</t>
        </is>
      </c>
      <c r="D62" s="10" t="inlineStr">
        <is>
          <t>ALT DuPont</t>
        </is>
      </c>
      <c r="E62" s="10" t="inlineStr">
        <is>
          <t>D36:F36</t>
        </is>
      </c>
      <c r="F62" s="10" t="inlineStr">
        <is>
          <t>rnoa_change</t>
        </is>
      </c>
    </row>
    <row r="63">
      <c r="A63" s="10" t="n">
        <v>59</v>
      </c>
      <c r="B63" s="10" t="inlineStr">
        <is>
          <t>Leverage Effect on Change in ROE</t>
        </is>
      </c>
      <c r="C63" s="10" t="inlineStr">
        <is>
          <t>2023–2025 (3 cells)</t>
        </is>
      </c>
      <c r="D63" s="10" t="inlineStr">
        <is>
          <t>ALT DuPont</t>
        </is>
      </c>
      <c r="E63" s="10" t="inlineStr">
        <is>
          <t>D37:F37</t>
        </is>
      </c>
      <c r="F63" s="10" t="inlineStr">
        <is>
          <t>flev, spread</t>
        </is>
      </c>
    </row>
    <row r="64">
      <c r="A64" s="10" t="n">
        <v>60</v>
      </c>
      <c r="B64" s="10" t="inlineStr">
        <is>
          <t>Spread Effect on Change in ROE</t>
        </is>
      </c>
      <c r="C64" s="10" t="inlineStr">
        <is>
          <t>2023–2025 (3 cells)</t>
        </is>
      </c>
      <c r="D64" s="10" t="inlineStr">
        <is>
          <t>ALT DuPont</t>
        </is>
      </c>
      <c r="E64" s="10" t="inlineStr">
        <is>
          <t>D38:F38</t>
        </is>
      </c>
      <c r="F64" s="10" t="inlineStr">
        <is>
          <t>spread, flev</t>
        </is>
      </c>
    </row>
    <row r="65">
      <c r="A65" s="10" t="n">
        <v>61</v>
      </c>
      <c r="B65" s="10" t="inlineStr">
        <is>
          <t>Financing Effect on Change in ROE</t>
        </is>
      </c>
      <c r="C65" s="10" t="inlineStr">
        <is>
          <t>2023–2025 (3 cells)</t>
        </is>
      </c>
      <c r="D65" s="10" t="inlineStr">
        <is>
          <t>ALT DuPont</t>
        </is>
      </c>
      <c r="E65" s="10" t="inlineStr">
        <is>
          <t>D39:F39</t>
        </is>
      </c>
      <c r="F65" s="10" t="inlineStr">
        <is>
          <t>leverage_effect_on_roe_change, spread_effect_on_roe_change</t>
        </is>
      </c>
    </row>
    <row r="66">
      <c r="A66" s="10" t="n">
        <v>62</v>
      </c>
      <c r="B66" s="10" t="inlineStr">
        <is>
          <t>Change in ROE from Operating + Financing Drivers</t>
        </is>
      </c>
      <c r="C66" s="10" t="inlineStr">
        <is>
          <t>2023–2025 (3 cells)</t>
        </is>
      </c>
      <c r="D66" s="10" t="inlineStr">
        <is>
          <t>ALT DuPont</t>
        </is>
      </c>
      <c r="E66" s="10" t="inlineStr">
        <is>
          <t>D40:F40</t>
        </is>
      </c>
      <c r="F66" s="10" t="inlineStr">
        <is>
          <t>operating_effect_on_roe_change, financing_effect_on_roe_change</t>
        </is>
      </c>
    </row>
    <row r="67">
      <c r="A67" s="10" t="n">
        <v>63</v>
      </c>
      <c r="B67" s="10" t="inlineStr">
        <is>
          <t>Change in Operating Cash Flow</t>
        </is>
      </c>
      <c r="C67" s="10" t="inlineStr">
        <is>
          <t>2022–2025 (4 cells)</t>
        </is>
      </c>
      <c r="D67" s="10" t="inlineStr">
        <is>
          <t>Earnings Quality</t>
        </is>
      </c>
      <c r="E67" s="10" t="inlineStr">
        <is>
          <t>C15:F15</t>
        </is>
      </c>
      <c r="F67" s="10" t="inlineStr">
        <is>
          <t>operating_cash_flow_link</t>
        </is>
      </c>
    </row>
    <row r="68">
      <c r="A68" s="10" t="n">
        <v>64</v>
      </c>
      <c r="B68" s="10" t="inlineStr">
        <is>
          <t>Change in Cash Conversion Ratio</t>
        </is>
      </c>
      <c r="C68" s="10" t="inlineStr">
        <is>
          <t>2022–2025 (4 cells)</t>
        </is>
      </c>
      <c r="D68" s="10" t="inlineStr">
        <is>
          <t>Earnings Quality</t>
        </is>
      </c>
      <c r="E68" s="10" t="inlineStr">
        <is>
          <t>C16:F16</t>
        </is>
      </c>
      <c r="F68" s="10" t="inlineStr">
        <is>
          <t>cash_conversion_ratio</t>
        </is>
      </c>
    </row>
    <row r="69">
      <c r="A69" s="10" t="n">
        <v>65</v>
      </c>
      <c r="B69" s="10" t="inlineStr">
        <is>
          <t>Change in Total Accruals</t>
        </is>
      </c>
      <c r="C69" s="10" t="inlineStr">
        <is>
          <t>2022–2025 (4 cells)</t>
        </is>
      </c>
      <c r="D69" s="10" t="inlineStr">
        <is>
          <t>Earnings Quality</t>
        </is>
      </c>
      <c r="E69" s="10" t="inlineStr">
        <is>
          <t>C17:F17</t>
        </is>
      </c>
      <c r="F69" s="10" t="inlineStr">
        <is>
          <t>total_accruals</t>
        </is>
      </c>
    </row>
    <row r="70">
      <c r="A70" s="10" t="n">
        <v>66</v>
      </c>
      <c r="B70" s="10" t="inlineStr">
        <is>
          <t>Change in Accrual Ratio</t>
        </is>
      </c>
      <c r="C70" s="10" t="inlineStr">
        <is>
          <t>2023–2025 (3 cells)</t>
        </is>
      </c>
      <c r="D70" s="10" t="inlineStr">
        <is>
          <t>Earnings Quality</t>
        </is>
      </c>
      <c r="E70" s="10" t="inlineStr">
        <is>
          <t>D18:F18</t>
        </is>
      </c>
      <c r="F70" s="10" t="inlineStr">
        <is>
          <t>accrual_ratio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2" t="inlineStr">
        <is>
          <t>Company: Demo Holdings Limited (DEMO)</t>
        </is>
      </c>
    </row>
    <row r="2">
      <c r="A2" s="13" t="inlineStr">
        <is>
          <t>Statement: Income Statement</t>
        </is>
      </c>
    </row>
    <row r="3">
      <c r="A3" s="13" t="inlineStr">
        <is>
          <t>Units: HKD in Millions</t>
        </is>
      </c>
    </row>
    <row r="4">
      <c r="A4" s="13" t="inlineStr">
        <is>
          <t>Source: manual ingestion (HK)</t>
        </is>
      </c>
    </row>
    <row r="5"/>
    <row r="6">
      <c r="A6" s="11" t="inlineStr">
        <is>
          <t>Line Item</t>
        </is>
      </c>
      <c r="B6" s="14" t="n">
        <v>44561</v>
      </c>
      <c r="C6" s="14" t="n">
        <v>44926</v>
      </c>
      <c r="D6" s="14" t="n">
        <v>45291</v>
      </c>
      <c r="E6" s="14" t="n">
        <v>45657</v>
      </c>
      <c r="F6" s="14" t="n">
        <v>46022</v>
      </c>
    </row>
    <row r="7">
      <c r="A7" s="10" t="inlineStr">
        <is>
          <t>Revenue</t>
        </is>
      </c>
      <c r="B7" s="15" t="n">
        <v>8500</v>
      </c>
      <c r="C7" s="15" t="n">
        <v>9200</v>
      </c>
      <c r="D7" s="15" t="n">
        <v>10100</v>
      </c>
      <c r="E7" s="15" t="n">
        <v>11200</v>
      </c>
      <c r="F7" s="15" t="n">
        <v>12500</v>
      </c>
    </row>
    <row r="8">
      <c r="A8" s="13" t="inlineStr">
        <is>
          <t>Cost of sales</t>
        </is>
      </c>
      <c r="B8" s="16" t="n">
        <v>-3400</v>
      </c>
      <c r="C8" s="16" t="n">
        <v>-3680</v>
      </c>
      <c r="D8" s="16" t="n">
        <v>-4040</v>
      </c>
      <c r="E8" s="16" t="n">
        <v>-4480</v>
      </c>
      <c r="F8" s="16" t="n">
        <v>-5000</v>
      </c>
    </row>
    <row r="9">
      <c r="A9" s="13" t="inlineStr">
        <is>
          <t>Gross profit</t>
        </is>
      </c>
      <c r="B9" s="16" t="n">
        <v>5100</v>
      </c>
      <c r="C9" s="16" t="n">
        <v>5520</v>
      </c>
      <c r="D9" s="16" t="n">
        <v>6060</v>
      </c>
      <c r="E9" s="16" t="n">
        <v>6720</v>
      </c>
      <c r="F9" s="16" t="n">
        <v>7500</v>
      </c>
    </row>
    <row r="10">
      <c r="A10" s="13" t="inlineStr">
        <is>
          <t>Administrative expenses</t>
        </is>
      </c>
      <c r="B10" s="16" t="n">
        <v>-1700</v>
      </c>
      <c r="C10" s="16" t="n">
        <v>-1840</v>
      </c>
      <c r="D10" s="16" t="n">
        <v>-1820</v>
      </c>
      <c r="E10" s="16" t="n">
        <v>-2240</v>
      </c>
      <c r="F10" s="16" t="n">
        <v>-2500</v>
      </c>
    </row>
    <row r="11">
      <c r="A11" s="13" t="inlineStr">
        <is>
          <t>Restructuring expense</t>
        </is>
      </c>
      <c r="B11" s="16" t="n">
        <v>0</v>
      </c>
      <c r="C11" s="16" t="n">
        <v>0</v>
      </c>
      <c r="D11" s="16" t="n">
        <v>-200</v>
      </c>
      <c r="E11" s="16" t="n">
        <v>0</v>
      </c>
      <c r="F11" s="16" t="n">
        <v>0</v>
      </c>
    </row>
    <row r="12">
      <c r="A12" s="13" t="inlineStr">
        <is>
          <t>Operating profit</t>
        </is>
      </c>
      <c r="B12" s="16" t="n">
        <v>3400</v>
      </c>
      <c r="C12" s="16" t="n">
        <v>3680</v>
      </c>
      <c r="D12" s="16" t="n">
        <v>4040</v>
      </c>
      <c r="E12" s="16" t="n">
        <v>4480</v>
      </c>
      <c r="F12" s="16" t="n">
        <v>5000</v>
      </c>
    </row>
    <row r="13">
      <c r="A13" s="13" t="inlineStr">
        <is>
          <t>Finance costs</t>
        </is>
      </c>
      <c r="B13" s="16" t="n">
        <v>-120</v>
      </c>
      <c r="C13" s="16" t="n">
        <v>-130</v>
      </c>
      <c r="D13" s="16" t="n">
        <v>-140</v>
      </c>
      <c r="E13" s="16" t="n">
        <v>-150</v>
      </c>
      <c r="F13" s="16" t="n">
        <v>-160</v>
      </c>
    </row>
    <row r="14">
      <c r="A14" s="13" t="inlineStr">
        <is>
          <t>Finance income</t>
        </is>
      </c>
      <c r="B14" s="16" t="n">
        <v>45</v>
      </c>
      <c r="C14" s="16" t="n">
        <v>50</v>
      </c>
      <c r="D14" s="16" t="n">
        <v>55</v>
      </c>
      <c r="E14" s="16" t="n">
        <v>60</v>
      </c>
      <c r="F14" s="16" t="n">
        <v>65</v>
      </c>
    </row>
    <row r="15">
      <c r="A15" s="13" t="inlineStr">
        <is>
          <t>Profit before tax</t>
        </is>
      </c>
      <c r="B15" s="16" t="n">
        <v>3325</v>
      </c>
      <c r="C15" s="16" t="n">
        <v>3600</v>
      </c>
      <c r="D15" s="16" t="n">
        <v>3955</v>
      </c>
      <c r="E15" s="16" t="n">
        <v>4390</v>
      </c>
      <c r="F15" s="16" t="n">
        <v>4905</v>
      </c>
    </row>
    <row r="16">
      <c r="A16" s="13" t="inlineStr">
        <is>
          <t>Income tax expense</t>
        </is>
      </c>
      <c r="B16" s="16" t="n">
        <v>-565</v>
      </c>
      <c r="C16" s="16" t="n">
        <v>-612</v>
      </c>
      <c r="D16" s="16" t="n">
        <v>-672</v>
      </c>
      <c r="E16" s="16" t="n">
        <v>-746</v>
      </c>
      <c r="F16" s="16" t="n">
        <v>-833</v>
      </c>
    </row>
    <row r="17">
      <c r="A17" s="13" t="inlineStr">
        <is>
          <t>Profit for the year</t>
        </is>
      </c>
      <c r="B17" s="16" t="n">
        <v>2760</v>
      </c>
      <c r="C17" s="16" t="n">
        <v>2988</v>
      </c>
      <c r="D17" s="16" t="n">
        <v>3283</v>
      </c>
      <c r="E17" s="16" t="n">
        <v>3644</v>
      </c>
      <c r="F17" s="16" t="n">
        <v>4072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2" t="inlineStr">
        <is>
          <t>Company: Demo Holdings Limited (DEMO)</t>
        </is>
      </c>
    </row>
    <row r="2">
      <c r="A2" s="13" t="inlineStr">
        <is>
          <t>Statement: Balance Sheet</t>
        </is>
      </c>
    </row>
    <row r="3">
      <c r="A3" s="13" t="inlineStr">
        <is>
          <t>Units: HKD in Millions</t>
        </is>
      </c>
    </row>
    <row r="4">
      <c r="A4" s="13" t="inlineStr">
        <is>
          <t>Source: manual ingestion (HK)</t>
        </is>
      </c>
    </row>
    <row r="5"/>
    <row r="6">
      <c r="A6" s="11" t="inlineStr">
        <is>
          <t>Line Item</t>
        </is>
      </c>
      <c r="B6" s="14" t="n">
        <v>44561</v>
      </c>
      <c r="C6" s="14" t="n">
        <v>44926</v>
      </c>
      <c r="D6" s="14" t="n">
        <v>45291</v>
      </c>
      <c r="E6" s="14" t="n">
        <v>45657</v>
      </c>
      <c r="F6" s="14" t="n">
        <v>46022</v>
      </c>
    </row>
    <row r="7">
      <c r="A7" s="13" t="inlineStr">
        <is>
          <t>Cash and cash equivalents</t>
        </is>
      </c>
      <c r="B7" s="16" t="n">
        <v>1200</v>
      </c>
      <c r="C7" s="16" t="n">
        <v>1350</v>
      </c>
      <c r="D7" s="16" t="n">
        <v>1500</v>
      </c>
      <c r="E7" s="16" t="n">
        <v>1680</v>
      </c>
      <c r="F7" s="16" t="n">
        <v>1850</v>
      </c>
    </row>
    <row r="8">
      <c r="A8" s="13" t="inlineStr">
        <is>
          <t>Trade receivables</t>
        </is>
      </c>
      <c r="B8" s="16" t="n">
        <v>850</v>
      </c>
      <c r="C8" s="16" t="n">
        <v>920</v>
      </c>
      <c r="D8" s="16" t="n">
        <v>1010</v>
      </c>
      <c r="E8" s="16" t="n">
        <v>1120</v>
      </c>
      <c r="F8" s="16" t="n">
        <v>1250</v>
      </c>
    </row>
    <row r="9">
      <c r="A9" s="10" t="inlineStr">
        <is>
          <t>Inventories</t>
        </is>
      </c>
      <c r="B9" s="15" t="n">
        <v>680</v>
      </c>
      <c r="C9" s="15" t="n">
        <v>736</v>
      </c>
      <c r="D9" s="15" t="n">
        <v>808</v>
      </c>
      <c r="E9" s="15" t="n">
        <v>896</v>
      </c>
      <c r="F9" s="15" t="n">
        <v>1000</v>
      </c>
    </row>
    <row r="10">
      <c r="A10" s="13" t="inlineStr">
        <is>
          <t>Property, plant and equipment</t>
        </is>
      </c>
      <c r="B10" s="16" t="n">
        <v>3200</v>
      </c>
      <c r="C10" s="16" t="n">
        <v>3400</v>
      </c>
      <c r="D10" s="16" t="n">
        <v>3600</v>
      </c>
      <c r="E10" s="16" t="n">
        <v>3800</v>
      </c>
      <c r="F10" s="16" t="n">
        <v>4000</v>
      </c>
    </row>
    <row r="11">
      <c r="A11" s="10" t="inlineStr">
        <is>
          <t>Goodwill</t>
        </is>
      </c>
      <c r="B11" s="15" t="n">
        <v>900</v>
      </c>
      <c r="C11" s="15" t="n">
        <v>900</v>
      </c>
      <c r="D11" s="15" t="n">
        <v>900</v>
      </c>
      <c r="E11" s="15" t="n">
        <v>900</v>
      </c>
      <c r="F11" s="15" t="n">
        <v>900</v>
      </c>
    </row>
    <row r="12">
      <c r="A12" s="13" t="inlineStr">
        <is>
          <t>Other non-current assets</t>
        </is>
      </c>
      <c r="B12" s="16" t="n">
        <v>1670</v>
      </c>
      <c r="C12" s="16" t="n">
        <v>1894</v>
      </c>
      <c r="D12" s="16" t="n">
        <v>2282</v>
      </c>
      <c r="E12" s="16" t="n">
        <v>2804</v>
      </c>
      <c r="F12" s="16" t="n">
        <v>3500</v>
      </c>
    </row>
    <row r="13">
      <c r="A13" s="13" t="inlineStr">
        <is>
          <t>Total assets</t>
        </is>
      </c>
      <c r="B13" s="16" t="n">
        <v>8500</v>
      </c>
      <c r="C13" s="16" t="n">
        <v>9200</v>
      </c>
      <c r="D13" s="16" t="n">
        <v>10100</v>
      </c>
      <c r="E13" s="16" t="n">
        <v>11200</v>
      </c>
      <c r="F13" s="16" t="n">
        <v>12500</v>
      </c>
    </row>
    <row r="14">
      <c r="A14" s="13" t="inlineStr">
        <is>
          <t>Trade payables</t>
        </is>
      </c>
      <c r="B14" s="16" t="n">
        <v>595</v>
      </c>
      <c r="C14" s="16" t="n">
        <v>644</v>
      </c>
      <c r="D14" s="16" t="n">
        <v>707</v>
      </c>
      <c r="E14" s="16" t="n">
        <v>784</v>
      </c>
      <c r="F14" s="16" t="n">
        <v>875</v>
      </c>
    </row>
    <row r="15">
      <c r="A15" s="13" t="inlineStr">
        <is>
          <t>Bank borrowings</t>
        </is>
      </c>
      <c r="B15" s="16" t="n">
        <v>1500</v>
      </c>
      <c r="C15" s="16" t="n">
        <v>1400</v>
      </c>
      <c r="D15" s="16" t="n">
        <v>1300</v>
      </c>
      <c r="E15" s="16" t="n">
        <v>1200</v>
      </c>
      <c r="F15" s="16" t="n">
        <v>1100</v>
      </c>
    </row>
    <row r="16">
      <c r="A16" s="13" t="inlineStr">
        <is>
          <t>Operating lease liabilities</t>
        </is>
      </c>
      <c r="B16" s="16" t="n">
        <v>300</v>
      </c>
      <c r="C16" s="16" t="n">
        <v>320</v>
      </c>
      <c r="D16" s="16" t="n">
        <v>340</v>
      </c>
      <c r="E16" s="16" t="n">
        <v>360</v>
      </c>
      <c r="F16" s="16" t="n">
        <v>380</v>
      </c>
    </row>
    <row r="17">
      <c r="A17" s="13" t="inlineStr">
        <is>
          <t>Other non-current liabilities</t>
        </is>
      </c>
      <c r="B17" s="16" t="n">
        <v>1005</v>
      </c>
      <c r="C17" s="16" t="n">
        <v>1136</v>
      </c>
      <c r="D17" s="16" t="n">
        <v>1253</v>
      </c>
      <c r="E17" s="16" t="n">
        <v>1356</v>
      </c>
      <c r="F17" s="16" t="n">
        <v>1445</v>
      </c>
    </row>
    <row r="18">
      <c r="A18" s="13" t="inlineStr">
        <is>
          <t>Total liabilities</t>
        </is>
      </c>
      <c r="B18" s="16" t="n">
        <v>3400</v>
      </c>
      <c r="C18" s="16" t="n">
        <v>3500</v>
      </c>
      <c r="D18" s="16" t="n">
        <v>3600</v>
      </c>
      <c r="E18" s="16" t="n">
        <v>3700</v>
      </c>
      <c r="F18" s="16" t="n">
        <v>3800</v>
      </c>
    </row>
    <row r="19">
      <c r="A19" s="13" t="inlineStr">
        <is>
          <t>Share capital and reserves</t>
        </is>
      </c>
      <c r="B19" s="16" t="n">
        <v>5100</v>
      </c>
      <c r="C19" s="16" t="n">
        <v>5700</v>
      </c>
      <c r="D19" s="16" t="n">
        <v>6500</v>
      </c>
      <c r="E19" s="16" t="n">
        <v>7500</v>
      </c>
      <c r="F19" s="16" t="n">
        <v>8700</v>
      </c>
    </row>
    <row r="20">
      <c r="A20" s="13" t="inlineStr">
        <is>
          <t>Total equity</t>
        </is>
      </c>
      <c r="B20" s="16" t="n">
        <v>5100</v>
      </c>
      <c r="C20" s="16" t="n">
        <v>5700</v>
      </c>
      <c r="D20" s="16" t="n">
        <v>6500</v>
      </c>
      <c r="E20" s="16" t="n">
        <v>7500</v>
      </c>
      <c r="F20" s="16" t="n">
        <v>8700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2" t="inlineStr">
        <is>
          <t>Company: Demo Holdings Limited (DEMO)</t>
        </is>
      </c>
    </row>
    <row r="2">
      <c r="A2" s="13" t="inlineStr">
        <is>
          <t>Statement: Cash Flow Statement</t>
        </is>
      </c>
    </row>
    <row r="3">
      <c r="A3" s="13" t="inlineStr">
        <is>
          <t>Units: HKD in Millions</t>
        </is>
      </c>
    </row>
    <row r="4">
      <c r="A4" s="13" t="inlineStr">
        <is>
          <t>Source: manual ingestion (HK)</t>
        </is>
      </c>
    </row>
    <row r="5"/>
    <row r="6">
      <c r="A6" s="11" t="inlineStr">
        <is>
          <t>Line Item</t>
        </is>
      </c>
      <c r="B6" s="14" t="n">
        <v>44561</v>
      </c>
      <c r="C6" s="14" t="n">
        <v>44926</v>
      </c>
      <c r="D6" s="14" t="n">
        <v>45291</v>
      </c>
      <c r="E6" s="14" t="n">
        <v>45657</v>
      </c>
      <c r="F6" s="14" t="n">
        <v>46022</v>
      </c>
    </row>
    <row r="7">
      <c r="A7" s="13" t="inlineStr">
        <is>
          <t>Profit for the year</t>
        </is>
      </c>
      <c r="B7" s="16" t="n">
        <v>2760</v>
      </c>
      <c r="C7" s="16" t="n">
        <v>2988</v>
      </c>
      <c r="D7" s="16" t="n">
        <v>3283</v>
      </c>
      <c r="E7" s="16" t="n">
        <v>3644</v>
      </c>
      <c r="F7" s="16" t="n">
        <v>4072</v>
      </c>
    </row>
    <row r="8">
      <c r="A8" s="13" t="inlineStr">
        <is>
          <t>Depreciation and amortisation</t>
        </is>
      </c>
      <c r="B8" s="16" t="n">
        <v>340</v>
      </c>
      <c r="C8" s="16" t="n">
        <v>368</v>
      </c>
      <c r="D8" s="16" t="n">
        <v>404</v>
      </c>
      <c r="E8" s="16" t="n">
        <v>448</v>
      </c>
      <c r="F8" s="16" t="n">
        <v>500</v>
      </c>
    </row>
    <row r="9">
      <c r="A9" s="13" t="inlineStr">
        <is>
          <t>Net cash from operating activities</t>
        </is>
      </c>
      <c r="B9" s="16" t="n">
        <v>1450</v>
      </c>
      <c r="C9" s="16" t="n">
        <v>1600</v>
      </c>
      <c r="D9" s="16" t="n">
        <v>1750</v>
      </c>
      <c r="E9" s="16" t="n">
        <v>1930</v>
      </c>
      <c r="F9" s="16" t="n">
        <v>2070</v>
      </c>
    </row>
    <row r="10">
      <c r="A10" s="13" t="inlineStr">
        <is>
          <t>Net cash used in investing activities</t>
        </is>
      </c>
      <c r="B10" s="16" t="n">
        <v>-800</v>
      </c>
      <c r="C10" s="16" t="n">
        <v>-850</v>
      </c>
      <c r="D10" s="16" t="n">
        <v>-900</v>
      </c>
      <c r="E10" s="16" t="n">
        <v>-950</v>
      </c>
      <c r="F10" s="16" t="n">
        <v>-1000</v>
      </c>
    </row>
    <row r="11">
      <c r="A11" s="13" t="inlineStr">
        <is>
          <t>Net cash from financing activities</t>
        </is>
      </c>
      <c r="B11" s="16" t="n">
        <v>-500</v>
      </c>
      <c r="C11" s="16" t="n">
        <v>-600</v>
      </c>
      <c r="D11" s="16" t="n">
        <v>-700</v>
      </c>
      <c r="E11" s="16" t="n">
        <v>-800</v>
      </c>
      <c r="F11" s="16" t="n">
        <v>-900</v>
      </c>
    </row>
    <row r="12">
      <c r="A12" s="13" t="inlineStr">
        <is>
          <t>Net change in cash and cash equivalents</t>
        </is>
      </c>
      <c r="B12" s="16" t="n">
        <v>150</v>
      </c>
      <c r="C12" s="16" t="n">
        <v>150</v>
      </c>
      <c r="D12" s="16" t="n">
        <v>150</v>
      </c>
      <c r="E12" s="16" t="n">
        <v>180</v>
      </c>
      <c r="F12" s="16" t="n">
        <v>170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2" t="inlineStr">
        <is>
          <t>Demo Holdings Limited (DEMO) — Condensed Financials</t>
        </is>
      </c>
    </row>
    <row r="2"/>
    <row r="3"/>
    <row r="4">
      <c r="A4" s="11" t="inlineStr">
        <is>
          <t>BALANCE SHEET CLASSIFICATION</t>
        </is>
      </c>
    </row>
    <row r="5">
      <c r="A5" s="11" t="inlineStr">
        <is>
          <t>Line Item</t>
        </is>
      </c>
      <c r="B5" s="11" t="inlineStr">
        <is>
          <t>Classification</t>
        </is>
      </c>
      <c r="C5" s="14" t="n">
        <v>44561</v>
      </c>
      <c r="D5" s="14" t="n">
        <v>44926</v>
      </c>
      <c r="E5" s="14" t="n">
        <v>45291</v>
      </c>
      <c r="F5" s="14" t="n">
        <v>45657</v>
      </c>
      <c r="G5" s="14" t="n">
        <v>46022</v>
      </c>
      <c r="H5" s="11" t="inlineStr">
        <is>
          <t>Notes</t>
        </is>
      </c>
    </row>
    <row r="6">
      <c r="A6" s="13" t="inlineStr">
        <is>
          <t>Cash and cash equivalents</t>
        </is>
      </c>
      <c r="B6" s="13" t="inlineStr">
        <is>
          <t>Financial Asset</t>
        </is>
      </c>
      <c r="C6" s="16" t="n">
        <v>1200</v>
      </c>
      <c r="D6" s="16" t="n">
        <v>1350</v>
      </c>
      <c r="E6" s="16" t="n">
        <v>1500</v>
      </c>
      <c r="F6" s="16" t="n">
        <v>1680</v>
      </c>
      <c r="G6" s="16" t="n">
        <v>1850</v>
      </c>
    </row>
    <row r="7">
      <c r="A7" s="13" t="inlineStr">
        <is>
          <t>Trade receivables</t>
        </is>
      </c>
      <c r="B7" s="13" t="inlineStr">
        <is>
          <t>Operating Working Capital Asset</t>
        </is>
      </c>
      <c r="C7" s="16" t="n">
        <v>850</v>
      </c>
      <c r="D7" s="16" t="n">
        <v>920</v>
      </c>
      <c r="E7" s="16" t="n">
        <v>1010</v>
      </c>
      <c r="F7" s="16" t="n">
        <v>1120</v>
      </c>
      <c r="G7" s="16" t="n">
        <v>1250</v>
      </c>
    </row>
    <row r="8">
      <c r="A8" s="10" t="inlineStr">
        <is>
          <t>Inventories</t>
        </is>
      </c>
      <c r="B8" s="10" t="inlineStr">
        <is>
          <t>Operating Working Capital Asset</t>
        </is>
      </c>
      <c r="C8" s="15" t="n">
        <v>680</v>
      </c>
      <c r="D8" s="15" t="n">
        <v>736</v>
      </c>
      <c r="E8" s="15" t="n">
        <v>808</v>
      </c>
      <c r="F8" s="15" t="n">
        <v>896</v>
      </c>
      <c r="G8" s="15" t="n">
        <v>1000</v>
      </c>
    </row>
    <row r="9">
      <c r="A9" s="13" t="inlineStr">
        <is>
          <t>Property, plant and equipment</t>
        </is>
      </c>
      <c r="B9" s="13" t="inlineStr">
        <is>
          <t>Operating Long-Term Asset</t>
        </is>
      </c>
      <c r="C9" s="16" t="n">
        <v>3200</v>
      </c>
      <c r="D9" s="16" t="n">
        <v>3400</v>
      </c>
      <c r="E9" s="16" t="n">
        <v>3600</v>
      </c>
      <c r="F9" s="16" t="n">
        <v>3800</v>
      </c>
      <c r="G9" s="16" t="n">
        <v>4000</v>
      </c>
    </row>
    <row r="10">
      <c r="A10" s="10" t="inlineStr">
        <is>
          <t>Goodwill</t>
        </is>
      </c>
      <c r="B10" s="10" t="inlineStr">
        <is>
          <t>Operating Long-Term Asset</t>
        </is>
      </c>
      <c r="C10" s="15" t="n">
        <v>900</v>
      </c>
      <c r="D10" s="15" t="n">
        <v>900</v>
      </c>
      <c r="E10" s="15" t="n">
        <v>900</v>
      </c>
      <c r="F10" s="15" t="n">
        <v>900</v>
      </c>
      <c r="G10" s="15" t="n">
        <v>900</v>
      </c>
    </row>
    <row r="11">
      <c r="A11" s="13" t="inlineStr">
        <is>
          <t>Other non-current assets</t>
        </is>
      </c>
      <c r="B11" s="13" t="inlineStr">
        <is>
          <t>Operating Long-Term Asset</t>
        </is>
      </c>
      <c r="C11" s="16" t="n">
        <v>1670</v>
      </c>
      <c r="D11" s="16" t="n">
        <v>1894</v>
      </c>
      <c r="E11" s="16" t="n">
        <v>2282</v>
      </c>
      <c r="F11" s="16" t="n">
        <v>2804</v>
      </c>
      <c r="G11" s="16" t="n">
        <v>3500</v>
      </c>
    </row>
    <row r="12">
      <c r="A12" s="13" t="inlineStr">
        <is>
          <t>Trade payables</t>
        </is>
      </c>
      <c r="B12" s="13" t="inlineStr">
        <is>
          <t>Operating Working Capital Liability</t>
        </is>
      </c>
      <c r="C12" s="16" t="n">
        <v>595</v>
      </c>
      <c r="D12" s="16" t="n">
        <v>644</v>
      </c>
      <c r="E12" s="16" t="n">
        <v>707</v>
      </c>
      <c r="F12" s="16" t="n">
        <v>784</v>
      </c>
      <c r="G12" s="16" t="n">
        <v>875</v>
      </c>
    </row>
    <row r="13">
      <c r="A13" s="13" t="inlineStr">
        <is>
          <t>Bank borrowings</t>
        </is>
      </c>
      <c r="B13" s="13" t="inlineStr">
        <is>
          <t>Financial Liability</t>
        </is>
      </c>
      <c r="C13" s="16" t="n">
        <v>1500</v>
      </c>
      <c r="D13" s="16" t="n">
        <v>1400</v>
      </c>
      <c r="E13" s="16" t="n">
        <v>1300</v>
      </c>
      <c r="F13" s="16" t="n">
        <v>1200</v>
      </c>
      <c r="G13" s="16" t="n">
        <v>1100</v>
      </c>
    </row>
    <row r="14">
      <c r="A14" s="13" t="inlineStr">
        <is>
          <t>Operating lease liabilities</t>
        </is>
      </c>
      <c r="B14" s="13">
        <f>IF('Accounting Judgment'!$F$5="","Operating Long-Term Liability",'Accounting Judgment'!$F$5)</f>
        <v/>
      </c>
      <c r="C14" s="16" t="n">
        <v>300</v>
      </c>
      <c r="D14" s="16" t="n">
        <v>320</v>
      </c>
      <c r="E14" s="16" t="n">
        <v>340</v>
      </c>
      <c r="F14" s="16" t="n">
        <v>360</v>
      </c>
      <c r="G14" s="16" t="n">
        <v>380</v>
      </c>
      <c r="H14" s="13" t="inlineStr">
        <is>
          <t>⚠ Review: Lease liability concept — operating vs financial judgment</t>
        </is>
      </c>
    </row>
    <row r="15">
      <c r="A15" s="13" t="inlineStr">
        <is>
          <t>Other non-current liabilities</t>
        </is>
      </c>
      <c r="B15" s="13" t="inlineStr">
        <is>
          <t>Operating Long-Term Liability</t>
        </is>
      </c>
      <c r="C15" s="16" t="n">
        <v>1005</v>
      </c>
      <c r="D15" s="16" t="n">
        <v>1136</v>
      </c>
      <c r="E15" s="16" t="n">
        <v>1253</v>
      </c>
      <c r="F15" s="16" t="n">
        <v>1356</v>
      </c>
      <c r="G15" s="16" t="n">
        <v>1445</v>
      </c>
    </row>
    <row r="16">
      <c r="A16" s="13" t="inlineStr">
        <is>
          <t>Share capital and reserves</t>
        </is>
      </c>
      <c r="B16" s="13" t="inlineStr">
        <is>
          <t>Equity</t>
        </is>
      </c>
      <c r="C16" s="16" t="n">
        <v>5100</v>
      </c>
      <c r="D16" s="16" t="n">
        <v>5700</v>
      </c>
      <c r="E16" s="16" t="n">
        <v>6500</v>
      </c>
      <c r="F16" s="16" t="n">
        <v>7500</v>
      </c>
      <c r="G16" s="16" t="n">
        <v>8700</v>
      </c>
    </row>
    <row r="17"/>
    <row r="18">
      <c r="A18" s="11" t="inlineStr">
        <is>
          <t>CONDENSED INCOME STATEMENT</t>
        </is>
      </c>
      <c r="B18" s="14" t="n">
        <v>44561</v>
      </c>
      <c r="C18" s="14" t="n">
        <v>44926</v>
      </c>
      <c r="D18" s="14" t="n">
        <v>45291</v>
      </c>
      <c r="E18" s="14" t="n">
        <v>45657</v>
      </c>
      <c r="F18" s="14" t="n">
        <v>46022</v>
      </c>
    </row>
    <row r="19">
      <c r="A19" s="10" t="inlineStr">
        <is>
          <t>Revenue</t>
        </is>
      </c>
      <c r="B19" s="17">
        <f>'Income Statement'!B7</f>
        <v/>
      </c>
      <c r="C19" s="17">
        <f>'Income Statement'!C7</f>
        <v/>
      </c>
      <c r="D19" s="17">
        <f>'Income Statement'!D7</f>
        <v/>
      </c>
      <c r="E19" s="17">
        <f>'Income Statement'!E7</f>
        <v/>
      </c>
      <c r="F19" s="17">
        <f>'Income Statement'!F7</f>
        <v/>
      </c>
    </row>
    <row r="20">
      <c r="A20" s="13" t="inlineStr">
        <is>
          <t>Net Income</t>
        </is>
      </c>
      <c r="B20" s="18">
        <f>'Income Statement'!B17</f>
        <v/>
      </c>
      <c r="C20" s="18">
        <f>'Income Statement'!C17</f>
        <v/>
      </c>
      <c r="D20" s="18">
        <f>'Income Statement'!D17</f>
        <v/>
      </c>
      <c r="E20" s="18">
        <f>'Income Statement'!E17</f>
        <v/>
      </c>
      <c r="F20" s="18">
        <f>'Income Statement'!F17</f>
        <v/>
      </c>
    </row>
    <row r="21">
      <c r="A21" s="13" t="inlineStr">
        <is>
          <t>Pretax Income</t>
        </is>
      </c>
      <c r="B21" s="13">
        <f>'Income Statement'!B15</f>
        <v/>
      </c>
      <c r="C21" s="13">
        <f>'Income Statement'!C15</f>
        <v/>
      </c>
      <c r="D21" s="13">
        <f>'Income Statement'!D15</f>
        <v/>
      </c>
      <c r="E21" s="13">
        <f>'Income Statement'!E15</f>
        <v/>
      </c>
      <c r="F21" s="13">
        <f>'Income Statement'!F15</f>
        <v/>
      </c>
    </row>
    <row r="22">
      <c r="A22" s="13" t="inlineStr">
        <is>
          <t>Tax Expense</t>
        </is>
      </c>
      <c r="B22" s="13">
        <f>'Income Statement'!B16</f>
        <v/>
      </c>
      <c r="C22" s="13">
        <f>'Income Statement'!C16</f>
        <v/>
      </c>
      <c r="D22" s="13">
        <f>'Income Statement'!D16</f>
        <v/>
      </c>
      <c r="E22" s="13">
        <f>'Income Statement'!E16</f>
        <v/>
      </c>
      <c r="F22" s="13">
        <f>'Income Statement'!F16</f>
        <v/>
      </c>
    </row>
    <row r="23">
      <c r="A23" s="13" t="inlineStr">
        <is>
          <t>Interest Expense</t>
        </is>
      </c>
      <c r="B23" s="13">
        <f>'Income Statement'!B13</f>
        <v/>
      </c>
      <c r="C23" s="13">
        <f>'Income Statement'!C13</f>
        <v/>
      </c>
      <c r="D23" s="13">
        <f>'Income Statement'!D13</f>
        <v/>
      </c>
      <c r="E23" s="13">
        <f>'Income Statement'!E13</f>
        <v/>
      </c>
      <c r="F23" s="13">
        <f>'Income Statement'!F13</f>
        <v/>
      </c>
    </row>
    <row r="24">
      <c r="A24" s="13" t="inlineStr">
        <is>
          <t>Interest Income</t>
        </is>
      </c>
      <c r="B24" s="13">
        <f>'Income Statement'!B14</f>
        <v/>
      </c>
      <c r="C24" s="13">
        <f>'Income Statement'!C14</f>
        <v/>
      </c>
      <c r="D24" s="13">
        <f>'Income Statement'!D14</f>
        <v/>
      </c>
      <c r="E24" s="13">
        <f>'Income Statement'!E14</f>
        <v/>
      </c>
      <c r="F24" s="13">
        <f>'Income Statement'!F14</f>
        <v/>
      </c>
    </row>
    <row r="25">
      <c r="A25" s="13" t="inlineStr">
        <is>
          <t>Effective Tax Rate</t>
        </is>
      </c>
      <c r="B25" s="19">
        <f>IF(B21=0,NA(),-B22/B21)</f>
        <v/>
      </c>
      <c r="C25" s="19">
        <f>IF(C21=0,NA(),-C22/C21)</f>
        <v/>
      </c>
      <c r="D25" s="19">
        <f>IF(D21=0,NA(),-D22/D21)</f>
        <v/>
      </c>
      <c r="E25" s="19">
        <f>IF(E21=0,NA(),-E22/E21)</f>
        <v/>
      </c>
      <c r="F25" s="19">
        <f>IF(F21=0,NA(),-F22/F21)</f>
        <v/>
      </c>
    </row>
    <row r="26">
      <c r="A26" s="13" t="inlineStr">
        <is>
          <t>Net Interest</t>
        </is>
      </c>
      <c r="B26" s="20">
        <f>-(B23+B24)</f>
        <v/>
      </c>
      <c r="C26" s="20">
        <f>-(C23+C24)</f>
        <v/>
      </c>
      <c r="D26" s="20">
        <f>-(D23+D24)</f>
        <v/>
      </c>
      <c r="E26" s="20">
        <f>-(E23+E24)</f>
        <v/>
      </c>
      <c r="F26" s="20">
        <f>-(F23+F24)</f>
        <v/>
      </c>
    </row>
    <row r="27">
      <c r="A27" s="13" t="inlineStr">
        <is>
          <t>Net Interest After Tax</t>
        </is>
      </c>
      <c r="B27" s="20">
        <f>IF(B26=0,0,IF(ISNA(B25),NA(),B26*(1-B25)))</f>
        <v/>
      </c>
      <c r="C27" s="20">
        <f>IF(C26=0,0,IF(ISNA(C25),NA(),C26*(1-C25)))</f>
        <v/>
      </c>
      <c r="D27" s="20">
        <f>IF(D26=0,0,IF(ISNA(D25),NA(),D26*(1-D25)))</f>
        <v/>
      </c>
      <c r="E27" s="20">
        <f>IF(E26=0,0,IF(ISNA(E25),NA(),E26*(1-E25)))</f>
        <v/>
      </c>
      <c r="F27" s="20">
        <f>IF(F26=0,0,IF(ISNA(F25),NA(),F26*(1-F25)))</f>
        <v/>
      </c>
    </row>
    <row r="28">
      <c r="A28" s="21" t="inlineStr">
        <is>
          <t>NOPAT</t>
        </is>
      </c>
      <c r="B28" s="22">
        <f>B20+B27</f>
        <v/>
      </c>
      <c r="C28" s="22">
        <f>C20+C27</f>
        <v/>
      </c>
      <c r="D28" s="22">
        <f>D20+D27</f>
        <v/>
      </c>
      <c r="E28" s="22">
        <f>E20+E27</f>
        <v/>
      </c>
      <c r="F28" s="22">
        <f>F20+F27</f>
        <v/>
      </c>
    </row>
    <row r="29"/>
    <row r="30">
      <c r="A30" s="11" t="inlineStr">
        <is>
          <t>CONDENSED BALANCE SHEET</t>
        </is>
      </c>
    </row>
    <row r="31">
      <c r="A31" s="13" t="inlineStr">
        <is>
          <t>Operating Working Capital Assets</t>
        </is>
      </c>
      <c r="B31" s="20">
        <f>SUMIF($B$6:$B$16,"Operating Working Capital Asset",C$6:C$16)</f>
        <v/>
      </c>
      <c r="C31" s="20">
        <f>SUMIF($B$6:$B$16,"Operating Working Capital Asset",D$6:D$16)</f>
        <v/>
      </c>
      <c r="D31" s="20">
        <f>SUMIF($B$6:$B$16,"Operating Working Capital Asset",E$6:E$16)</f>
        <v/>
      </c>
      <c r="E31" s="20">
        <f>SUMIF($B$6:$B$16,"Operating Working Capital Asset",F$6:F$16)</f>
        <v/>
      </c>
      <c r="F31" s="20">
        <f>SUMIF($B$6:$B$16,"Operating Working Capital Asset",G$6:G$16)</f>
        <v/>
      </c>
    </row>
    <row r="32">
      <c r="A32" s="13" t="inlineStr">
        <is>
          <t>Operating Working Capital Liabilities</t>
        </is>
      </c>
      <c r="B32" s="20">
        <f>SUMIF($B$6:$B$16,"Operating Working Capital Liability",C$6:C$16)</f>
        <v/>
      </c>
      <c r="C32" s="20">
        <f>SUMIF($B$6:$B$16,"Operating Working Capital Liability",D$6:D$16)</f>
        <v/>
      </c>
      <c r="D32" s="20">
        <f>SUMIF($B$6:$B$16,"Operating Working Capital Liability",E$6:E$16)</f>
        <v/>
      </c>
      <c r="E32" s="20">
        <f>SUMIF($B$6:$B$16,"Operating Working Capital Liability",F$6:F$16)</f>
        <v/>
      </c>
      <c r="F32" s="20">
        <f>SUMIF($B$6:$B$16,"Operating Working Capital Liability",G$6:G$16)</f>
        <v/>
      </c>
    </row>
    <row r="33">
      <c r="A33" s="21" t="inlineStr">
        <is>
          <t>NOWC</t>
        </is>
      </c>
      <c r="B33" s="22">
        <f>B31-B32</f>
        <v/>
      </c>
      <c r="C33" s="22">
        <f>C31-C32</f>
        <v/>
      </c>
      <c r="D33" s="22">
        <f>D31-D32</f>
        <v/>
      </c>
      <c r="E33" s="22">
        <f>E31-E32</f>
        <v/>
      </c>
      <c r="F33" s="22">
        <f>F31-F32</f>
        <v/>
      </c>
    </row>
    <row r="34">
      <c r="A34" s="13" t="inlineStr">
        <is>
          <t>Operating Long-Term Assets</t>
        </is>
      </c>
      <c r="B34" s="20">
        <f>SUMIF($B$6:$B$16,"Operating Long-Term Asset",C$6:C$16)</f>
        <v/>
      </c>
      <c r="C34" s="20">
        <f>SUMIF($B$6:$B$16,"Operating Long-Term Asset",D$6:D$16)</f>
        <v/>
      </c>
      <c r="D34" s="20">
        <f>SUMIF($B$6:$B$16,"Operating Long-Term Asset",E$6:E$16)</f>
        <v/>
      </c>
      <c r="E34" s="20">
        <f>SUMIF($B$6:$B$16,"Operating Long-Term Asset",F$6:F$16)</f>
        <v/>
      </c>
      <c r="F34" s="20">
        <f>SUMIF($B$6:$B$16,"Operating Long-Term Asset",G$6:G$16)</f>
        <v/>
      </c>
    </row>
    <row r="35">
      <c r="A35" s="13" t="inlineStr">
        <is>
          <t>Operating Long-Term Liabilities</t>
        </is>
      </c>
      <c r="B35" s="20">
        <f>SUMIF($B$6:$B$16,"Operating Long-Term Liability",C$6:C$16)</f>
        <v/>
      </c>
      <c r="C35" s="20">
        <f>SUMIF($B$6:$B$16,"Operating Long-Term Liability",D$6:D$16)</f>
        <v/>
      </c>
      <c r="D35" s="20">
        <f>SUMIF($B$6:$B$16,"Operating Long-Term Liability",E$6:E$16)</f>
        <v/>
      </c>
      <c r="E35" s="20">
        <f>SUMIF($B$6:$B$16,"Operating Long-Term Liability",F$6:F$16)</f>
        <v/>
      </c>
      <c r="F35" s="20">
        <f>SUMIF($B$6:$B$16,"Operating Long-Term Liability",G$6:G$16)</f>
        <v/>
      </c>
    </row>
    <row r="36">
      <c r="A36" s="21" t="inlineStr">
        <is>
          <t>NOLA</t>
        </is>
      </c>
      <c r="B36" s="22">
        <f>B34-B35</f>
        <v/>
      </c>
      <c r="C36" s="22">
        <f>C34-C35</f>
        <v/>
      </c>
      <c r="D36" s="22">
        <f>D34-D35</f>
        <v/>
      </c>
      <c r="E36" s="22">
        <f>E34-E35</f>
        <v/>
      </c>
      <c r="F36" s="22">
        <f>F34-F35</f>
        <v/>
      </c>
    </row>
    <row r="37">
      <c r="A37" s="21" t="inlineStr">
        <is>
          <t>NOA</t>
        </is>
      </c>
      <c r="B37" s="22">
        <f>B33+B36</f>
        <v/>
      </c>
      <c r="C37" s="22">
        <f>C33+C36</f>
        <v/>
      </c>
      <c r="D37" s="22">
        <f>D33+D36</f>
        <v/>
      </c>
      <c r="E37" s="22">
        <f>E33+E36</f>
        <v/>
      </c>
      <c r="F37" s="22">
        <f>F33+F36</f>
        <v/>
      </c>
    </row>
    <row r="38">
      <c r="A38" s="13" t="inlineStr">
        <is>
          <t>Financial Assets</t>
        </is>
      </c>
      <c r="B38" s="20">
        <f>SUMIF($B$6:$B$16,"Financial Asset",C$6:C$16)</f>
        <v/>
      </c>
      <c r="C38" s="20">
        <f>SUMIF($B$6:$B$16,"Financial Asset",D$6:D$16)</f>
        <v/>
      </c>
      <c r="D38" s="20">
        <f>SUMIF($B$6:$B$16,"Financial Asset",E$6:E$16)</f>
        <v/>
      </c>
      <c r="E38" s="20">
        <f>SUMIF($B$6:$B$16,"Financial Asset",F$6:F$16)</f>
        <v/>
      </c>
      <c r="F38" s="20">
        <f>SUMIF($B$6:$B$16,"Financial Asset",G$6:G$16)</f>
        <v/>
      </c>
    </row>
    <row r="39">
      <c r="A39" s="13" t="inlineStr">
        <is>
          <t>Financial Liabilities</t>
        </is>
      </c>
      <c r="B39" s="20">
        <f>SUMIF($B$6:$B$16,"Financial Liability",C$6:C$16)</f>
        <v/>
      </c>
      <c r="C39" s="20">
        <f>SUMIF($B$6:$B$16,"Financial Liability",D$6:D$16)</f>
        <v/>
      </c>
      <c r="D39" s="20">
        <f>SUMIF($B$6:$B$16,"Financial Liability",E$6:E$16)</f>
        <v/>
      </c>
      <c r="E39" s="20">
        <f>SUMIF($B$6:$B$16,"Financial Liability",F$6:F$16)</f>
        <v/>
      </c>
      <c r="F39" s="20">
        <f>SUMIF($B$6:$B$16,"Financial Liability",G$6:G$16)</f>
        <v/>
      </c>
    </row>
    <row r="40">
      <c r="A40" s="11" t="inlineStr">
        <is>
          <t>Net Debt</t>
        </is>
      </c>
      <c r="B40" s="20">
        <f>B39-B38</f>
        <v/>
      </c>
      <c r="C40" s="20">
        <f>C39-C38</f>
        <v/>
      </c>
      <c r="D40" s="20">
        <f>D39-D38</f>
        <v/>
      </c>
      <c r="E40" s="20">
        <f>E39-E38</f>
        <v/>
      </c>
      <c r="F40" s="20">
        <f>F39-F38</f>
        <v/>
      </c>
    </row>
    <row r="41">
      <c r="A41" s="11" t="inlineStr">
        <is>
          <t>Equity (NOA - Net Debt)</t>
        </is>
      </c>
      <c r="B41" s="20">
        <f>B37-B40</f>
        <v/>
      </c>
      <c r="C41" s="20">
        <f>C37-C40</f>
        <v/>
      </c>
      <c r="D41" s="20">
        <f>D37-D40</f>
        <v/>
      </c>
      <c r="E41" s="20">
        <f>E37-E40</f>
        <v/>
      </c>
      <c r="F41" s="20">
        <f>F37-F40</f>
        <v/>
      </c>
    </row>
    <row r="42">
      <c r="A42" s="11" t="inlineStr">
        <is>
          <t>Reported Equity</t>
        </is>
      </c>
      <c r="B42" s="16">
        <f>'Balance Sheet'!B20</f>
        <v/>
      </c>
      <c r="C42" s="16">
        <f>'Balance Sheet'!C20</f>
        <v/>
      </c>
      <c r="D42" s="16">
        <f>'Balance Sheet'!D20</f>
        <v/>
      </c>
      <c r="E42" s="16">
        <f>'Balance Sheet'!E20</f>
        <v/>
      </c>
      <c r="F42" s="16">
        <f>'Balance Sheet'!F20</f>
        <v/>
      </c>
    </row>
    <row r="43">
      <c r="A43" s="11" t="inlineStr">
        <is>
          <t>Total Capital</t>
        </is>
      </c>
      <c r="B43" s="16">
        <f>B40+B41</f>
        <v/>
      </c>
      <c r="C43" s="16">
        <f>C40+C41</f>
        <v/>
      </c>
      <c r="D43" s="16">
        <f>D40+D41</f>
        <v/>
      </c>
      <c r="E43" s="16">
        <f>E40+E41</f>
        <v/>
      </c>
      <c r="F43" s="16">
        <f>F40+F41</f>
        <v/>
      </c>
    </row>
    <row r="44">
      <c r="A44" s="21" t="inlineStr">
        <is>
          <t>CHECK</t>
        </is>
      </c>
      <c r="B44" s="10">
        <f>IF(ABS(B41-B42)&lt;1,"OK","CHECK")</f>
        <v/>
      </c>
      <c r="C44" s="10">
        <f>IF(ABS(C41-C42)&lt;1,"OK","CHECK")</f>
        <v/>
      </c>
      <c r="D44" s="10">
        <f>IF(ABS(D41-D42)&lt;1,"OK","CHECK")</f>
        <v/>
      </c>
      <c r="E44" s="10">
        <f>IF(ABS(E41-E42)&lt;1,"OK","CHECK")</f>
        <v/>
      </c>
      <c r="F44" s="10">
        <f>IF(ABS(F41-F42)&lt;1,"OK","CHECK")</f>
        <v/>
      </c>
    </row>
  </sheetData>
  <dataValidations count="1">
    <dataValidation sqref="B6 B7 B8 B9 B10 B11 B12 B13 B15 B16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2" t="inlineStr">
        <is>
          <t>Demo Holdings Limited — DuPont Decomposition</t>
        </is>
      </c>
    </row>
    <row r="2">
      <c r="A2" s="13" t="inlineStr">
        <is>
          <t>ROE = RNOA + FLEV × Spread</t>
        </is>
      </c>
    </row>
    <row r="3"/>
    <row r="4">
      <c r="A4" s="11" t="inlineStr">
        <is>
          <t>Metric</t>
        </is>
      </c>
      <c r="B4" s="14" t="n">
        <v>44561</v>
      </c>
      <c r="C4" s="14" t="n">
        <v>44926</v>
      </c>
      <c r="D4" s="14" t="n">
        <v>45291</v>
      </c>
      <c r="E4" s="14" t="n">
        <v>45657</v>
      </c>
      <c r="F4" s="14" t="n">
        <v>46022</v>
      </c>
    </row>
    <row r="5">
      <c r="A5" s="13" t="inlineStr">
        <is>
          <t>Sales Growth</t>
        </is>
      </c>
      <c r="B5" s="13" t="inlineStr">
        <is>
          <t>N/A</t>
        </is>
      </c>
      <c r="C5" s="19">
        <f>IF('Condensed Financials'!B19=0,NA(),'Condensed Financials'!C19/'Condensed Financials'!B19-1)</f>
        <v/>
      </c>
      <c r="D5" s="19">
        <f>IF('Condensed Financials'!C19=0,NA(),'Condensed Financials'!D19/'Condensed Financials'!C19-1)</f>
        <v/>
      </c>
      <c r="E5" s="19">
        <f>IF('Condensed Financials'!D19=0,NA(),'Condensed Financials'!E19/'Condensed Financials'!D19-1)</f>
        <v/>
      </c>
      <c r="F5" s="19">
        <f>IF('Condensed Financials'!E19=0,NA(),'Condensed Financials'!F19/'Condensed Financials'!E19-1)</f>
        <v/>
      </c>
    </row>
    <row r="6">
      <c r="A6" s="13" t="inlineStr">
        <is>
          <t>NOPAT Margin</t>
        </is>
      </c>
      <c r="B6" s="19">
        <f>IF('Condensed Financials'!B19=0,NA(),'Condensed Financials'!B28/'Condensed Financials'!B19)</f>
        <v/>
      </c>
      <c r="C6" s="19">
        <f>IF('Condensed Financials'!C19=0,NA(),'Condensed Financials'!C28/'Condensed Financials'!C19)</f>
        <v/>
      </c>
      <c r="D6" s="19">
        <f>IF('Condensed Financials'!D19=0,NA(),'Condensed Financials'!D28/'Condensed Financials'!D19)</f>
        <v/>
      </c>
      <c r="E6" s="19">
        <f>IF('Condensed Financials'!E19=0,NA(),'Condensed Financials'!E28/'Condensed Financials'!E19)</f>
        <v/>
      </c>
      <c r="F6" s="19">
        <f>IF('Condensed Financials'!F19=0,NA(),'Condensed Financials'!F28/'Condensed Financials'!F19)</f>
        <v/>
      </c>
    </row>
    <row r="7">
      <c r="A7" s="10" t="inlineStr">
        <is>
          <t>RNOA</t>
        </is>
      </c>
      <c r="B7" s="10" t="inlineStr">
        <is>
          <t>N/A</t>
        </is>
      </c>
      <c r="C7" s="23">
        <f>IF((('Condensed Financials'!C37+'Condensed Financials'!B37)/2)=0,NA(),'Condensed Financials'!C28/(('Condensed Financials'!C37+'Condensed Financials'!B37)/2))</f>
        <v/>
      </c>
      <c r="D7" s="23">
        <f>IF((('Condensed Financials'!D37+'Condensed Financials'!C37)/2)=0,NA(),'Condensed Financials'!D28/(('Condensed Financials'!D37+'Condensed Financials'!C37)/2))</f>
        <v/>
      </c>
      <c r="E7" s="23">
        <f>IF((('Condensed Financials'!E37+'Condensed Financials'!D37)/2)=0,NA(),'Condensed Financials'!E28/(('Condensed Financials'!E37+'Condensed Financials'!D37)/2))</f>
        <v/>
      </c>
      <c r="F7" s="23">
        <f>IF((('Condensed Financials'!F37+'Condensed Financials'!E37)/2)=0,NA(),'Condensed Financials'!F28/(('Condensed Financials'!F37+'Condensed Financials'!E37)/2))</f>
        <v/>
      </c>
    </row>
    <row r="8">
      <c r="A8" s="13" t="inlineStr">
        <is>
          <t>After-tax CoD</t>
        </is>
      </c>
      <c r="B8" s="13" t="inlineStr">
        <is>
          <t>N/A</t>
        </is>
      </c>
      <c r="C8" s="19">
        <f>IF((('Condensed Financials'!C40+'Condensed Financials'!B40)/2)=0,NA(),'Condensed Financials'!C27/(('Condensed Financials'!C40+'Condensed Financials'!B40)/2))</f>
        <v/>
      </c>
      <c r="D8" s="19">
        <f>IF((('Condensed Financials'!D40+'Condensed Financials'!C40)/2)=0,NA(),'Condensed Financials'!D27/(('Condensed Financials'!D40+'Condensed Financials'!C40)/2))</f>
        <v/>
      </c>
      <c r="E8" s="19">
        <f>IF((('Condensed Financials'!E40+'Condensed Financials'!D40)/2)=0,NA(),'Condensed Financials'!E27/(('Condensed Financials'!E40+'Condensed Financials'!D40)/2))</f>
        <v/>
      </c>
      <c r="F8" s="19">
        <f>IF((('Condensed Financials'!F40+'Condensed Financials'!E40)/2)=0,NA(),'Condensed Financials'!F27/(('Condensed Financials'!F40+'Condensed Financials'!E40)/2))</f>
        <v/>
      </c>
    </row>
    <row r="9">
      <c r="A9" s="10" t="inlineStr">
        <is>
          <t>Spread</t>
        </is>
      </c>
      <c r="B9" s="10" t="inlineStr">
        <is>
          <t>N/A</t>
        </is>
      </c>
      <c r="C9" s="23">
        <f>C7-C8</f>
        <v/>
      </c>
      <c r="D9" s="23">
        <f>D7-D8</f>
        <v/>
      </c>
      <c r="E9" s="23">
        <f>E7-E8</f>
        <v/>
      </c>
      <c r="F9" s="23">
        <f>F7-F8</f>
        <v/>
      </c>
    </row>
    <row r="10">
      <c r="A10" s="10" t="inlineStr">
        <is>
          <t>FLEV</t>
        </is>
      </c>
      <c r="B10" s="10" t="inlineStr">
        <is>
          <t>N/A</t>
        </is>
      </c>
      <c r="C10" s="17">
        <f>IF((('Condensed Financials'!C41+'Condensed Financials'!B41)/2)=0,NA(),(('Condensed Financials'!C40+'Condensed Financials'!B40)/2)/(('Condensed Financials'!C41+'Condensed Financials'!B41)/2))</f>
        <v/>
      </c>
      <c r="D10" s="17">
        <f>IF((('Condensed Financials'!D41+'Condensed Financials'!C41)/2)=0,NA(),(('Condensed Financials'!D40+'Condensed Financials'!C40)/2)/(('Condensed Financials'!D41+'Condensed Financials'!C41)/2))</f>
        <v/>
      </c>
      <c r="E10" s="17">
        <f>IF((('Condensed Financials'!E41+'Condensed Financials'!D41)/2)=0,NA(),(('Condensed Financials'!E40+'Condensed Financials'!D40)/2)/(('Condensed Financials'!E41+'Condensed Financials'!D41)/2))</f>
        <v/>
      </c>
      <c r="F10" s="17">
        <f>IF((('Condensed Financials'!F41+'Condensed Financials'!E41)/2)=0,NA(),(('Condensed Financials'!F40+'Condensed Financials'!E40)/2)/(('Condensed Financials'!F41+'Condensed Financials'!E41)/2))</f>
        <v/>
      </c>
    </row>
    <row r="11">
      <c r="A11" s="13" t="inlineStr">
        <is>
          <t>ROE (decomposed)</t>
        </is>
      </c>
      <c r="B11" s="13" t="inlineStr">
        <is>
          <t>N/A</t>
        </is>
      </c>
      <c r="C11" s="19">
        <f>C7+C10*(C9)</f>
        <v/>
      </c>
      <c r="D11" s="19">
        <f>D7+D10*(D9)</f>
        <v/>
      </c>
      <c r="E11" s="19">
        <f>E7+E10*(E9)</f>
        <v/>
      </c>
      <c r="F11" s="19">
        <f>F7+F10*(F9)</f>
        <v/>
      </c>
    </row>
    <row r="12">
      <c r="A12" s="13" t="inlineStr">
        <is>
          <t>Actual ROE</t>
        </is>
      </c>
      <c r="B12" s="13" t="inlineStr">
        <is>
          <t>N/A</t>
        </is>
      </c>
      <c r="C12" s="19">
        <f>IF((('Condensed Financials'!C41+'Condensed Financials'!B41)/2)=0,NA(),'Condensed Financials'!C20/(('Condensed Financials'!C41+'Condensed Financials'!B41)/2))</f>
        <v/>
      </c>
      <c r="D12" s="19">
        <f>IF((('Condensed Financials'!D41+'Condensed Financials'!C41)/2)=0,NA(),'Condensed Financials'!D20/(('Condensed Financials'!D41+'Condensed Financials'!C41)/2))</f>
        <v/>
      </c>
      <c r="E12" s="19">
        <f>IF((('Condensed Financials'!E41+'Condensed Financials'!D41)/2)=0,NA(),'Condensed Financials'!E20/(('Condensed Financials'!E41+'Condensed Financials'!D41)/2))</f>
        <v/>
      </c>
      <c r="F12" s="19">
        <f>IF((('Condensed Financials'!F41+'Condensed Financials'!E41)/2)=0,NA(),'Condensed Financials'!F20/(('Condensed Financials'!F41+'Condensed Financials'!E41)/2))</f>
        <v/>
      </c>
    </row>
    <row r="13"/>
    <row r="14">
      <c r="A14" s="11" t="inlineStr">
        <is>
          <t>RNOA DRIVER DECOMPOSITION</t>
        </is>
      </c>
    </row>
    <row r="15">
      <c r="A15" s="13" t="inlineStr">
        <is>
          <t>Average NOA</t>
        </is>
      </c>
      <c r="B15" s="13" t="inlineStr">
        <is>
          <t>N/A</t>
        </is>
      </c>
      <c r="C15" s="20">
        <f>('Condensed Financials'!B37+'Condensed Financials'!C37)/2</f>
        <v/>
      </c>
      <c r="D15" s="20">
        <f>('Condensed Financials'!C37+'Condensed Financials'!D37)/2</f>
        <v/>
      </c>
      <c r="E15" s="20">
        <f>('Condensed Financials'!D37+'Condensed Financials'!E37)/2</f>
        <v/>
      </c>
      <c r="F15" s="20">
        <f>('Condensed Financials'!E37+'Condensed Financials'!F37)/2</f>
        <v/>
      </c>
    </row>
    <row r="16">
      <c r="A16" s="13" t="inlineStr">
        <is>
          <t>NOA Turnover</t>
        </is>
      </c>
      <c r="B16" s="13" t="inlineStr">
        <is>
          <t>N/A</t>
        </is>
      </c>
      <c r="C16" s="24">
        <f>IF(C15=0,NA(),'Condensed Financials'!C19/C15)</f>
        <v/>
      </c>
      <c r="D16" s="24">
        <f>IF(D15=0,NA(),'Condensed Financials'!D19/D15)</f>
        <v/>
      </c>
      <c r="E16" s="24">
        <f>IF(E15=0,NA(),'Condensed Financials'!E19/E15)</f>
        <v/>
      </c>
      <c r="F16" s="24">
        <f>IF(F15=0,NA(),'Condensed Financials'!F19/F15)</f>
        <v/>
      </c>
    </row>
    <row r="17">
      <c r="A17" s="13" t="inlineStr">
        <is>
          <t>NOA Intensity</t>
        </is>
      </c>
      <c r="B17" s="13" t="inlineStr">
        <is>
          <t>N/A</t>
        </is>
      </c>
      <c r="C17" s="24">
        <f>IF('Condensed Financials'!C19=0,NA(),C15/'Condensed Financials'!C19)</f>
        <v/>
      </c>
      <c r="D17" s="24">
        <f>IF('Condensed Financials'!D19=0,NA(),D15/'Condensed Financials'!D19)</f>
        <v/>
      </c>
      <c r="E17" s="24">
        <f>IF('Condensed Financials'!E19=0,NA(),E15/'Condensed Financials'!E19)</f>
        <v/>
      </c>
      <c r="F17" s="24">
        <f>IF('Condensed Financials'!F19=0,NA(),F15/'Condensed Financials'!F19)</f>
        <v/>
      </c>
    </row>
    <row r="18">
      <c r="A18" s="13" t="inlineStr">
        <is>
          <t>RNOA from Margin × Turnover</t>
        </is>
      </c>
      <c r="B18" s="13" t="inlineStr">
        <is>
          <t>N/A</t>
        </is>
      </c>
      <c r="C18" s="19">
        <f>C6*C16</f>
        <v/>
      </c>
      <c r="D18" s="19">
        <f>D6*D16</f>
        <v/>
      </c>
      <c r="E18" s="19">
        <f>E6*E16</f>
        <v/>
      </c>
      <c r="F18" s="19">
        <f>F6*F16</f>
        <v/>
      </c>
    </row>
    <row r="19">
      <c r="A19" s="11" t="inlineStr">
        <is>
          <t>RNOA DRIVER CHECK</t>
        </is>
      </c>
      <c r="B19" s="13" t="inlineStr">
        <is>
          <t>N/A</t>
        </is>
      </c>
      <c r="C19" s="13">
        <f>IF(ISNA(C18),"N/A",IF(ISNA(C7),"CHECK",IF(ABS(C18-C7)&lt;0.0000001,"OK","CHECK")))</f>
        <v/>
      </c>
      <c r="D19" s="13">
        <f>IF(ISNA(D18),"N/A",IF(ISNA(D7),"CHECK",IF(ABS(D18-D7)&lt;0.0000001,"OK","CHECK")))</f>
        <v/>
      </c>
      <c r="E19" s="13">
        <f>IF(ISNA(E18),"N/A",IF(ISNA(E7),"CHECK",IF(ABS(E18-E7)&lt;0.0000001,"OK","CHECK")))</f>
        <v/>
      </c>
      <c r="F19" s="13">
        <f>IF(ISNA(F18),"N/A",IF(ISNA(F7),"CHECK",IF(ABS(F18-F7)&lt;0.0000001,"OK","CHECK")))</f>
        <v/>
      </c>
    </row>
    <row r="20"/>
    <row r="21">
      <c r="A21" s="11" t="inlineStr">
        <is>
          <t>RNOA CHANGE ATTRIBUTION</t>
        </is>
      </c>
    </row>
    <row r="22">
      <c r="A22" s="13" t="inlineStr">
        <is>
          <t>Change in NOPAT Margin</t>
        </is>
      </c>
      <c r="B22" s="13" t="inlineStr">
        <is>
          <t>N/A</t>
        </is>
      </c>
      <c r="C22" s="13" t="inlineStr">
        <is>
          <t>N/A</t>
        </is>
      </c>
      <c r="D22" s="19">
        <f>D6-C6</f>
        <v/>
      </c>
      <c r="E22" s="19">
        <f>E6-D6</f>
        <v/>
      </c>
      <c r="F22" s="19">
        <f>F6-E6</f>
        <v/>
      </c>
    </row>
    <row r="23">
      <c r="A23" s="13" t="inlineStr">
        <is>
          <t>Change in NOA Turnover</t>
        </is>
      </c>
      <c r="B23" s="13" t="inlineStr">
        <is>
          <t>N/A</t>
        </is>
      </c>
      <c r="C23" s="13" t="inlineStr">
        <is>
          <t>N/A</t>
        </is>
      </c>
      <c r="D23" s="24">
        <f>D16-C16</f>
        <v/>
      </c>
      <c r="E23" s="24">
        <f>E16-D16</f>
        <v/>
      </c>
      <c r="F23" s="24">
        <f>F16-E16</f>
        <v/>
      </c>
    </row>
    <row r="24">
      <c r="A24" s="13" t="inlineStr">
        <is>
          <t>Direct Change in RNOA</t>
        </is>
      </c>
      <c r="B24" s="13" t="inlineStr">
        <is>
          <t>N/A</t>
        </is>
      </c>
      <c r="C24" s="13" t="inlineStr">
        <is>
          <t>N/A</t>
        </is>
      </c>
      <c r="D24" s="19">
        <f>D7-C7</f>
        <v/>
      </c>
      <c r="E24" s="19">
        <f>E7-D7</f>
        <v/>
      </c>
      <c r="F24" s="19">
        <f>F7-E7</f>
        <v/>
      </c>
    </row>
    <row r="25">
      <c r="A25" s="13" t="inlineStr">
        <is>
          <t>Margin Effect on RNOA Change</t>
        </is>
      </c>
      <c r="B25" s="13" t="inlineStr">
        <is>
          <t>N/A</t>
        </is>
      </c>
      <c r="C25" s="13" t="inlineStr">
        <is>
          <t>N/A</t>
        </is>
      </c>
      <c r="D25" s="19">
        <f>D22*((D16+C16)/2)</f>
        <v/>
      </c>
      <c r="E25" s="19">
        <f>E22*((E16+D16)/2)</f>
        <v/>
      </c>
      <c r="F25" s="19">
        <f>F22*((F16+E16)/2)</f>
        <v/>
      </c>
    </row>
    <row r="26">
      <c r="A26" s="13" t="inlineStr">
        <is>
          <t>Turnover Effect on RNOA Change</t>
        </is>
      </c>
      <c r="B26" s="13" t="inlineStr">
        <is>
          <t>N/A</t>
        </is>
      </c>
      <c r="C26" s="13" t="inlineStr">
        <is>
          <t>N/A</t>
        </is>
      </c>
      <c r="D26" s="19">
        <f>D23*((D6+C6)/2)</f>
        <v/>
      </c>
      <c r="E26" s="19">
        <f>E23*((E6+D6)/2)</f>
        <v/>
      </c>
      <c r="F26" s="19">
        <f>F23*((F6+E6)/2)</f>
        <v/>
      </c>
    </row>
    <row r="27">
      <c r="A27" s="13" t="inlineStr">
        <is>
          <t>RNOA Change from Drivers</t>
        </is>
      </c>
      <c r="B27" s="13" t="inlineStr">
        <is>
          <t>N/A</t>
        </is>
      </c>
      <c r="C27" s="13" t="inlineStr">
        <is>
          <t>N/A</t>
        </is>
      </c>
      <c r="D27" s="19">
        <f>D25+D26</f>
        <v/>
      </c>
      <c r="E27" s="19">
        <f>E25+E26</f>
        <v/>
      </c>
      <c r="F27" s="19">
        <f>F25+F26</f>
        <v/>
      </c>
    </row>
    <row r="28">
      <c r="A28" s="11" t="inlineStr">
        <is>
          <t>RNOA CHANGE DRIVER CHECK</t>
        </is>
      </c>
      <c r="B28" s="13" t="inlineStr">
        <is>
          <t>N/A</t>
        </is>
      </c>
      <c r="C28" s="13" t="inlineStr">
        <is>
          <t>N/A</t>
        </is>
      </c>
      <c r="D28" s="13">
        <f>IF(OR(ISNA(D27),ISNA(D24)),"N/A",IF(ABS(D27-D24)&lt;0.0000001,"OK","CHECK"))</f>
        <v/>
      </c>
      <c r="E28" s="13">
        <f>IF(OR(ISNA(E27),ISNA(E24)),"N/A",IF(ABS(E27-E24)&lt;0.0000001,"OK","CHECK"))</f>
        <v/>
      </c>
      <c r="F28" s="13">
        <f>IF(OR(ISNA(F27),ISNA(F24)),"N/A",IF(ABS(F27-F24)&lt;0.0000001,"OK","CHECK"))</f>
        <v/>
      </c>
    </row>
    <row r="29"/>
    <row r="30">
      <c r="A30" s="11" t="inlineStr">
        <is>
          <t>ROE OPERATING / FINANCING ATTRIBUTION</t>
        </is>
      </c>
    </row>
    <row r="31">
      <c r="A31" s="13" t="inlineStr">
        <is>
          <t>Financing Contribution to ROE</t>
        </is>
      </c>
      <c r="B31" s="13" t="inlineStr">
        <is>
          <t>N/A</t>
        </is>
      </c>
      <c r="C31" s="19">
        <f>C10*C9</f>
        <v/>
      </c>
      <c r="D31" s="19">
        <f>D10*D9</f>
        <v/>
      </c>
      <c r="E31" s="19">
        <f>E10*E9</f>
        <v/>
      </c>
      <c r="F31" s="19">
        <f>F10*F9</f>
        <v/>
      </c>
    </row>
    <row r="32">
      <c r="A32" s="11" t="inlineStr">
        <is>
          <t>ROE LEVEL ATTRIBUTION CHECK</t>
        </is>
      </c>
      <c r="B32" s="13" t="inlineStr">
        <is>
          <t>N/A</t>
        </is>
      </c>
      <c r="C32" s="13">
        <f>IF(OR(ISNA(C7),ISNA(C31),ISNA(C11)),"N/A",IF(ABS(C7+C31-C11)&lt;0.0000001,"OK","CHECK"))</f>
        <v/>
      </c>
      <c r="D32" s="13">
        <f>IF(OR(ISNA(D7),ISNA(D31),ISNA(D11)),"N/A",IF(ABS(D7+D31-D11)&lt;0.0000001,"OK","CHECK"))</f>
        <v/>
      </c>
      <c r="E32" s="13">
        <f>IF(OR(ISNA(E7),ISNA(E31),ISNA(E11)),"N/A",IF(ABS(E7+E31-E11)&lt;0.0000001,"OK","CHECK"))</f>
        <v/>
      </c>
      <c r="F32" s="13">
        <f>IF(OR(ISNA(F7),ISNA(F31),ISNA(F11)),"N/A",IF(ABS(F7+F31-F11)&lt;0.0000001,"OK","CHECK"))</f>
        <v/>
      </c>
    </row>
    <row r="33"/>
    <row r="34">
      <c r="A34" s="11" t="inlineStr">
        <is>
          <t>ROE CHANGE ATTRIBUTION</t>
        </is>
      </c>
    </row>
    <row r="35">
      <c r="A35" s="13" t="inlineStr">
        <is>
          <t>Direct Change in Decomposed ROE</t>
        </is>
      </c>
      <c r="B35" s="13" t="inlineStr">
        <is>
          <t>N/A</t>
        </is>
      </c>
      <c r="C35" s="13" t="inlineStr">
        <is>
          <t>N/A</t>
        </is>
      </c>
      <c r="D35" s="19">
        <f>D11-C11</f>
        <v/>
      </c>
      <c r="E35" s="19">
        <f>E11-D11</f>
        <v/>
      </c>
      <c r="F35" s="19">
        <f>F11-E11</f>
        <v/>
      </c>
    </row>
    <row r="36">
      <c r="A36" s="13" t="inlineStr">
        <is>
          <t>Operating Effect on Change in ROE</t>
        </is>
      </c>
      <c r="B36" s="13" t="inlineStr">
        <is>
          <t>N/A</t>
        </is>
      </c>
      <c r="C36" s="13" t="inlineStr">
        <is>
          <t>N/A</t>
        </is>
      </c>
      <c r="D36" s="19">
        <f>D24</f>
        <v/>
      </c>
      <c r="E36" s="19">
        <f>E24</f>
        <v/>
      </c>
      <c r="F36" s="19">
        <f>F24</f>
        <v/>
      </c>
    </row>
    <row r="37">
      <c r="A37" s="13" t="inlineStr">
        <is>
          <t>Leverage Effect on Change in ROE</t>
        </is>
      </c>
      <c r="B37" s="13" t="inlineStr">
        <is>
          <t>N/A</t>
        </is>
      </c>
      <c r="C37" s="13" t="inlineStr">
        <is>
          <t>N/A</t>
        </is>
      </c>
      <c r="D37" s="19">
        <f>(D10-C10)*((D9+C9)/2)</f>
        <v/>
      </c>
      <c r="E37" s="19">
        <f>(E10-D10)*((E9+D9)/2)</f>
        <v/>
      </c>
      <c r="F37" s="19">
        <f>(F10-E10)*((F9+E9)/2)</f>
        <v/>
      </c>
    </row>
    <row r="38">
      <c r="A38" s="13" t="inlineStr">
        <is>
          <t>Spread Effect on Change in ROE</t>
        </is>
      </c>
      <c r="B38" s="13" t="inlineStr">
        <is>
          <t>N/A</t>
        </is>
      </c>
      <c r="C38" s="13" t="inlineStr">
        <is>
          <t>N/A</t>
        </is>
      </c>
      <c r="D38" s="19">
        <f>(D9-C9)*((D10+C10)/2)</f>
        <v/>
      </c>
      <c r="E38" s="19">
        <f>(E9-D9)*((E10+D10)/2)</f>
        <v/>
      </c>
      <c r="F38" s="19">
        <f>(F9-E9)*((F10+E10)/2)</f>
        <v/>
      </c>
    </row>
    <row r="39">
      <c r="A39" s="13" t="inlineStr">
        <is>
          <t>Financing Effect on Change in ROE</t>
        </is>
      </c>
      <c r="B39" s="13" t="inlineStr">
        <is>
          <t>N/A</t>
        </is>
      </c>
      <c r="C39" s="13" t="inlineStr">
        <is>
          <t>N/A</t>
        </is>
      </c>
      <c r="D39" s="19">
        <f>D37+D38</f>
        <v/>
      </c>
      <c r="E39" s="19">
        <f>E37+E38</f>
        <v/>
      </c>
      <c r="F39" s="19">
        <f>F37+F38</f>
        <v/>
      </c>
    </row>
    <row r="40">
      <c r="A40" s="13" t="inlineStr">
        <is>
          <t>Change in ROE from Drivers</t>
        </is>
      </c>
      <c r="B40" s="13" t="inlineStr">
        <is>
          <t>N/A</t>
        </is>
      </c>
      <c r="C40" s="13" t="inlineStr">
        <is>
          <t>N/A</t>
        </is>
      </c>
      <c r="D40" s="19">
        <f>D36+D39</f>
        <v/>
      </c>
      <c r="E40" s="19">
        <f>E36+E39</f>
        <v/>
      </c>
      <c r="F40" s="19">
        <f>F36+F39</f>
        <v/>
      </c>
    </row>
    <row r="41">
      <c r="A41" s="11" t="inlineStr">
        <is>
          <t>ROE CHANGE ATTRIBUTION CHECK</t>
        </is>
      </c>
      <c r="B41" s="13" t="inlineStr">
        <is>
          <t>N/A</t>
        </is>
      </c>
      <c r="C41" s="13" t="inlineStr">
        <is>
          <t>N/A</t>
        </is>
      </c>
      <c r="D41" s="13">
        <f>IF(OR(ISNA(D40),ISNA(D35)),"N/A",IF(ABS(D40-D35)&lt;0.0000001,"OK","CHECK"))</f>
        <v/>
      </c>
      <c r="E41" s="13">
        <f>IF(OR(ISNA(E40),ISNA(E35)),"N/A",IF(ABS(E40-E35)&lt;0.0000001,"OK","CHECK"))</f>
        <v/>
      </c>
      <c r="F41" s="13">
        <f>IF(OR(ISNA(F40),ISNA(F35)),"N/A",IF(ABS(F40-F35)&lt;0.0000001,"OK","CHECK"))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2" t="inlineStr">
        <is>
          <t>Accounting Judgment</t>
        </is>
      </c>
    </row>
    <row r="2">
      <c r="A2" s="13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3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1" t="inlineStr">
        <is>
          <t>Order</t>
        </is>
      </c>
      <c r="B4" s="11" t="inlineStr">
        <is>
          <t>Line item</t>
        </is>
      </c>
      <c r="C4" s="11" t="inlineStr">
        <is>
          <t>Topic</t>
        </is>
      </c>
      <c r="D4" s="11" t="inlineStr">
        <is>
          <t>Supplied reference treatment</t>
        </is>
      </c>
      <c r="E4" s="11" t="inlineStr">
        <is>
          <t>Alternative(s) to evaluate</t>
        </is>
      </c>
      <c r="F4" s="11" t="inlineStr">
        <is>
          <t>Treatment to defend</t>
        </is>
      </c>
      <c r="G4" s="11" t="inlineStr">
        <is>
          <t>Rationale</t>
        </is>
      </c>
      <c r="H4" s="11" t="inlineStr">
        <is>
          <t>Economic consequence</t>
        </is>
      </c>
    </row>
    <row r="5">
      <c r="A5" s="10" t="n">
        <v>1</v>
      </c>
      <c r="B5" s="10" t="inlineStr">
        <is>
          <t>Operating lease liabilities</t>
        </is>
      </c>
      <c r="C5" s="10" t="inlineStr">
        <is>
          <t>Lease liability operating vs financing</t>
        </is>
      </c>
      <c r="D5" s="10" t="inlineStr">
        <is>
          <t>Operating Long-Term Liability</t>
        </is>
      </c>
      <c r="E5" s="10" t="inlineStr">
        <is>
          <t>Financial Liability</t>
        </is>
      </c>
      <c r="F5" s="25" t="inlineStr">
        <is>
          <t>Operating Long-Term Liability</t>
        </is>
      </c>
      <c r="G5" s="25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5" s="25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</sheetData>
  <dataValidations count="1">
    <dataValidation sqref="F5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2" t="inlineStr">
        <is>
          <t>Normalization Judgment</t>
        </is>
      </c>
    </row>
    <row r="2">
      <c r="A2" s="13" t="inlineStr">
        <is>
          <t>The supplied treatment is the model's reference convention, not a universal truth. Decide whether each supplied candidate should remain in recurring earnings or be normalized out.</t>
        </is>
      </c>
    </row>
    <row r="3">
      <c r="A3" s="13" t="inlineStr">
        <is>
          <t>Choose the treatment in column F. Blank F uses the supplied reference treatment. G:H are ungraded reasoning. Do not edit the generated Earnings Normalization treatment link directly.</t>
        </is>
      </c>
    </row>
    <row r="4">
      <c r="A4" s="11" t="inlineStr">
        <is>
          <t>Order</t>
        </is>
      </c>
      <c r="B4" s="11" t="inlineStr">
        <is>
          <t>Line item</t>
        </is>
      </c>
      <c r="C4" s="11" t="inlineStr">
        <is>
          <t>Scope</t>
        </is>
      </c>
      <c r="D4" s="11" t="inlineStr">
        <is>
          <t>Supplied reference treatment</t>
        </is>
      </c>
      <c r="E4" s="11" t="inlineStr">
        <is>
          <t>Alternative to evaluate</t>
        </is>
      </c>
      <c r="F4" s="11" t="inlineStr">
        <is>
          <t>Treatment to defend</t>
        </is>
      </c>
      <c r="G4" s="11" t="inlineStr">
        <is>
          <t>Rationale</t>
        </is>
      </c>
      <c r="H4" s="11" t="inlineStr">
        <is>
          <t>Economic consequence</t>
        </is>
      </c>
    </row>
    <row r="5">
      <c r="A5" s="10" t="n">
        <v>1</v>
      </c>
      <c r="B5" s="10" t="inlineStr">
        <is>
          <t>Restructuring expense</t>
        </is>
      </c>
      <c r="C5" s="10" t="inlineStr">
        <is>
          <t>operating_pretax_effective_tax</t>
        </is>
      </c>
      <c r="D5" s="10" t="inlineStr">
        <is>
          <t>Non-recurring</t>
        </is>
      </c>
      <c r="E5" s="10" t="inlineStr">
        <is>
          <t>Recurring</t>
        </is>
      </c>
      <c r="F5" s="25" t="inlineStr">
        <is>
          <t>Non-recurring</t>
        </is>
      </c>
      <c r="G5" s="25" t="inlineStr">
        <is>
          <t>The reference model treats the supplied restructuring charge as non-recurring because the illustrative case identifies it as a discrete restructuring event rather than normal ongoing operations.</t>
        </is>
      </c>
      <c r="H5" s="25" t="inlineStr">
        <is>
          <t>Non-recurring treatment removes the signed after-tax effect from normalized earnings; recurring treatment leaves reported earnings unchanged.</t>
        </is>
      </c>
    </row>
  </sheetData>
  <dataValidations count="1">
    <dataValidation sqref="F5" showDropDown="0" showInputMessage="0" showErrorMessage="0" allowBlank="1" type="list">
      <formula1>"Non-recurring,Recurring"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2" t="inlineStr">
        <is>
          <t>Earnings Normalization</t>
        </is>
      </c>
    </row>
    <row r="2">
      <c r="A2" s="13" t="inlineStr">
        <is>
          <t>Reported statements stay unchanged. Bridge reported NOPAT / Net Income to normalized earnings using the treatments chosen on Normalization Judgment.</t>
        </is>
      </c>
    </row>
    <row r="3"/>
    <row r="4">
      <c r="A4" s="11" t="inlineStr">
        <is>
          <t>Line item</t>
        </is>
      </c>
      <c r="B4" s="11" t="inlineStr">
        <is>
          <t>Treatment</t>
        </is>
      </c>
      <c r="C4" s="14" t="n">
        <v>44561</v>
      </c>
      <c r="D4" s="14" t="n">
        <v>44926</v>
      </c>
      <c r="E4" s="14" t="n">
        <v>45291</v>
      </c>
      <c r="F4" s="14" t="n">
        <v>45657</v>
      </c>
      <c r="G4" s="14" t="n">
        <v>46022</v>
      </c>
    </row>
    <row r="5">
      <c r="A5" s="13" t="inlineStr">
        <is>
          <t>Restructuring expense</t>
        </is>
      </c>
      <c r="B5" s="13">
        <f>IF('Normalization Judgment'!$F$5="","Non-recurring",'Normalization Judgment'!$F$5)</f>
        <v/>
      </c>
      <c r="C5" s="16">
        <f>'Income Statement'!B11</f>
        <v/>
      </c>
      <c r="D5" s="16">
        <f>'Income Statement'!C11</f>
        <v/>
      </c>
      <c r="E5" s="16">
        <f>'Income Statement'!D11</f>
        <v/>
      </c>
      <c r="F5" s="16">
        <f>'Income Statement'!E11</f>
        <v/>
      </c>
      <c r="G5" s="16">
        <f>'Income Statement'!F11</f>
        <v/>
      </c>
    </row>
    <row r="6"/>
    <row r="7">
      <c r="A7" s="13" t="inlineStr">
        <is>
          <t>Reported NOPAT</t>
        </is>
      </c>
      <c r="C7" s="16">
        <f>'Condensed Financials'!B28</f>
        <v/>
      </c>
      <c r="D7" s="16">
        <f>'Condensed Financials'!C28</f>
        <v/>
      </c>
      <c r="E7" s="16">
        <f>'Condensed Financials'!D28</f>
        <v/>
      </c>
      <c r="F7" s="16">
        <f>'Condensed Financials'!E28</f>
        <v/>
      </c>
      <c r="G7" s="16">
        <f>'Condensed Financials'!F28</f>
        <v/>
      </c>
    </row>
    <row r="8">
      <c r="A8" s="13" t="inlineStr">
        <is>
          <t>Reported Net Income</t>
        </is>
      </c>
      <c r="C8" s="16">
        <f>'Condensed Financials'!B20</f>
        <v/>
      </c>
      <c r="D8" s="16">
        <f>'Condensed Financials'!C20</f>
        <v/>
      </c>
      <c r="E8" s="16">
        <f>'Condensed Financials'!D20</f>
        <v/>
      </c>
      <c r="F8" s="16">
        <f>'Condensed Financials'!E20</f>
        <v/>
      </c>
      <c r="G8" s="16">
        <f>'Condensed Financials'!F20</f>
        <v/>
      </c>
    </row>
    <row r="9">
      <c r="A9" s="13" t="inlineStr">
        <is>
          <t>Pretax Normalization Adjustment</t>
        </is>
      </c>
      <c r="C9" s="20">
        <f>-SUMIF($B$5:$B$5,"Non-recurring",C$5:C$5)</f>
        <v/>
      </c>
      <c r="D9" s="20">
        <f>-SUMIF($B$5:$B$5,"Non-recurring",D$5:D$5)</f>
        <v/>
      </c>
      <c r="E9" s="20">
        <f>-SUMIF($B$5:$B$5,"Non-recurring",E$5:E$5)</f>
        <v/>
      </c>
      <c r="F9" s="20">
        <f>-SUMIF($B$5:$B$5,"Non-recurring",F$5:F$5)</f>
        <v/>
      </c>
      <c r="G9" s="20">
        <f>-SUMIF($B$5:$B$5,"Non-recurring",G$5:G$5)</f>
        <v/>
      </c>
    </row>
    <row r="10">
      <c r="A10" s="13" t="inlineStr">
        <is>
          <t>Effective Tax Rate</t>
        </is>
      </c>
      <c r="C10" s="26">
        <f>'Condensed Financials'!B25</f>
        <v/>
      </c>
      <c r="D10" s="26">
        <f>'Condensed Financials'!C25</f>
        <v/>
      </c>
      <c r="E10" s="26">
        <f>'Condensed Financials'!D25</f>
        <v/>
      </c>
      <c r="F10" s="26">
        <f>'Condensed Financials'!E25</f>
        <v/>
      </c>
      <c r="G10" s="26">
        <f>'Condensed Financials'!F25</f>
        <v/>
      </c>
    </row>
    <row r="11">
      <c r="A11" s="13" t="inlineStr">
        <is>
          <t>After-tax Normalization Adjustment</t>
        </is>
      </c>
      <c r="C11" s="20">
        <f>IF(C9=0,0,IF(ISNA(C10),NA(),C9*(1-C10)))</f>
        <v/>
      </c>
      <c r="D11" s="20">
        <f>IF(D9=0,0,IF(ISNA(D10),NA(),D9*(1-D10)))</f>
        <v/>
      </c>
      <c r="E11" s="20">
        <f>IF(E9=0,0,IF(ISNA(E10),NA(),E9*(1-E10)))</f>
        <v/>
      </c>
      <c r="F11" s="20">
        <f>IF(F9=0,0,IF(ISNA(F10),NA(),F9*(1-F10)))</f>
        <v/>
      </c>
      <c r="G11" s="20">
        <f>IF(G9=0,0,IF(ISNA(G10),NA(),G9*(1-G10)))</f>
        <v/>
      </c>
    </row>
    <row r="12">
      <c r="A12" s="13" t="inlineStr">
        <is>
          <t>Normalized NOPAT</t>
        </is>
      </c>
      <c r="C12" s="20">
        <f>C7+C11</f>
        <v/>
      </c>
      <c r="D12" s="20">
        <f>D7+D11</f>
        <v/>
      </c>
      <c r="E12" s="20">
        <f>E7+E11</f>
        <v/>
      </c>
      <c r="F12" s="20">
        <f>F7+F11</f>
        <v/>
      </c>
      <c r="G12" s="20">
        <f>G7+G11</f>
        <v/>
      </c>
    </row>
    <row r="13">
      <c r="A13" s="13" t="inlineStr">
        <is>
          <t>Normalized Net Income</t>
        </is>
      </c>
      <c r="C13" s="20">
        <f>C8+C11</f>
        <v/>
      </c>
      <c r="D13" s="20">
        <f>D8+D11</f>
        <v/>
      </c>
      <c r="E13" s="20">
        <f>E8+E11</f>
        <v/>
      </c>
      <c r="F13" s="20">
        <f>F8+F11</f>
        <v/>
      </c>
      <c r="G13" s="20">
        <f>G8+G11</f>
        <v/>
      </c>
    </row>
    <row r="14">
      <c r="A14" s="11" t="inlineStr">
        <is>
          <t>NORMALIZATION CHECK</t>
        </is>
      </c>
      <c r="C14" s="13">
        <f>IF(AND(ABS((C12-C7)-C11)&lt;0.01,ABS((C13-C8)-C11)&lt;0.01),"OK","CHECK")</f>
        <v/>
      </c>
      <c r="D14" s="13">
        <f>IF(AND(ABS((D12-D7)-D11)&lt;0.01,ABS((D13-D8)-D11)&lt;0.01),"OK","CHECK")</f>
        <v/>
      </c>
      <c r="E14" s="13">
        <f>IF(AND(ABS((E12-E7)-E11)&lt;0.01,ABS((E13-E8)-E11)&lt;0.01),"OK","CHECK")</f>
        <v/>
      </c>
      <c r="F14" s="13">
        <f>IF(AND(ABS((F12-F7)-F11)&lt;0.01,ABS((F13-F8)-F11)&lt;0.01),"OK","CHECK")</f>
        <v/>
      </c>
      <c r="G14" s="13">
        <f>IF(AND(ABS((G12-G7)-G11)&lt;0.01,ABS((G13-G8)-G11)&lt;0.01),"OK","CHECK")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2" t="inlineStr">
        <is>
          <t>Demo Holdings Limited — Earnings Quality</t>
        </is>
      </c>
    </row>
    <row r="2">
      <c r="A2" s="13" t="inlineStr">
        <is>
          <t>Historical cash-conversion and accrual diagnostics. These are mechanical diagnostics, not an automatic quality score.</t>
        </is>
      </c>
    </row>
    <row r="3"/>
    <row r="4">
      <c r="A4" s="11" t="inlineStr">
        <is>
          <t>Metric</t>
        </is>
      </c>
      <c r="B4" s="14" t="n">
        <v>44561</v>
      </c>
      <c r="C4" s="14" t="n">
        <v>44926</v>
      </c>
      <c r="D4" s="14" t="n">
        <v>45291</v>
      </c>
      <c r="E4" s="14" t="n">
        <v>45657</v>
      </c>
      <c r="F4" s="14" t="n">
        <v>46022</v>
      </c>
    </row>
    <row r="5">
      <c r="A5" s="13" t="inlineStr">
        <is>
          <t>Operating Cash Flow</t>
        </is>
      </c>
      <c r="B5" s="20">
        <f>'Cash Flow Statement'!B9</f>
        <v/>
      </c>
      <c r="C5" s="20">
        <f>'Cash Flow Statement'!C9</f>
        <v/>
      </c>
      <c r="D5" s="20">
        <f>'Cash Flow Statement'!D9</f>
        <v/>
      </c>
      <c r="E5" s="20">
        <f>'Cash Flow Statement'!E9</f>
        <v/>
      </c>
      <c r="F5" s="20">
        <f>'Cash Flow Statement'!F9</f>
        <v/>
      </c>
    </row>
    <row r="6">
      <c r="A6" s="13" t="inlineStr">
        <is>
          <t>Reported Net Income</t>
        </is>
      </c>
      <c r="B6" s="16">
        <f>'Condensed Financials'!B20</f>
        <v/>
      </c>
      <c r="C6" s="16">
        <f>'Condensed Financials'!C20</f>
        <v/>
      </c>
      <c r="D6" s="16">
        <f>'Condensed Financials'!D20</f>
        <v/>
      </c>
      <c r="E6" s="16">
        <f>'Condensed Financials'!E20</f>
        <v/>
      </c>
      <c r="F6" s="16">
        <f>'Condensed Financials'!F20</f>
        <v/>
      </c>
    </row>
    <row r="7">
      <c r="A7" s="13" t="inlineStr">
        <is>
          <t>Cash Conversion Ratio</t>
        </is>
      </c>
      <c r="B7" s="24">
        <f>IF(B6=0,NA(),B5/B6)</f>
        <v/>
      </c>
      <c r="C7" s="24">
        <f>IF(C6=0,NA(),C5/C6)</f>
        <v/>
      </c>
      <c r="D7" s="24">
        <f>IF(D6=0,NA(),D5/D6)</f>
        <v/>
      </c>
      <c r="E7" s="24">
        <f>IF(E6=0,NA(),E5/E6)</f>
        <v/>
      </c>
      <c r="F7" s="24">
        <f>IF(F6=0,NA(),F5/F6)</f>
        <v/>
      </c>
    </row>
    <row r="8">
      <c r="A8" s="13" t="inlineStr">
        <is>
          <t>Total Accruals (Net Income - CFO)</t>
        </is>
      </c>
      <c r="B8" s="20">
        <f>B6-B5</f>
        <v/>
      </c>
      <c r="C8" s="20">
        <f>C6-C5</f>
        <v/>
      </c>
      <c r="D8" s="20">
        <f>D6-D5</f>
        <v/>
      </c>
      <c r="E8" s="20">
        <f>E6-E5</f>
        <v/>
      </c>
      <c r="F8" s="20">
        <f>F6-F5</f>
        <v/>
      </c>
    </row>
    <row r="9"/>
    <row r="10">
      <c r="A10" s="13" t="inlineStr">
        <is>
          <t>Total Assets</t>
        </is>
      </c>
      <c r="B10" s="16">
        <f>'Balance Sheet'!B13</f>
        <v/>
      </c>
      <c r="C10" s="16">
        <f>'Balance Sheet'!C13</f>
        <v/>
      </c>
      <c r="D10" s="16">
        <f>'Balance Sheet'!D13</f>
        <v/>
      </c>
      <c r="E10" s="16">
        <f>'Balance Sheet'!E13</f>
        <v/>
      </c>
      <c r="F10" s="16">
        <f>'Balance Sheet'!F13</f>
        <v/>
      </c>
    </row>
    <row r="11">
      <c r="A11" s="13" t="inlineStr">
        <is>
          <t>Average Total Assets</t>
        </is>
      </c>
      <c r="C11" s="20">
        <f>(B10+C10)/2</f>
        <v/>
      </c>
      <c r="D11" s="20">
        <f>(C10+D10)/2</f>
        <v/>
      </c>
      <c r="E11" s="20">
        <f>(D10+E10)/2</f>
        <v/>
      </c>
      <c r="F11" s="20">
        <f>(E10+F10)/2</f>
        <v/>
      </c>
    </row>
    <row r="12">
      <c r="A12" s="13" t="inlineStr">
        <is>
          <t>Accrual Ratio</t>
        </is>
      </c>
      <c r="C12" s="19">
        <f>IF(C11=0,NA(),C8/C11)</f>
        <v/>
      </c>
      <c r="D12" s="19">
        <f>IF(D11=0,NA(),D8/D11)</f>
        <v/>
      </c>
      <c r="E12" s="19">
        <f>IF(E11=0,NA(),E8/E11)</f>
        <v/>
      </c>
      <c r="F12" s="19">
        <f>IF(F11=0,NA(),F8/F11)</f>
        <v/>
      </c>
    </row>
    <row r="13"/>
    <row r="14">
      <c r="A14" s="11" t="inlineStr">
        <is>
          <t>EARNINGS QUALITY TREND DIAGNOSTICS</t>
        </is>
      </c>
    </row>
    <row r="15">
      <c r="A15" s="13" t="inlineStr">
        <is>
          <t>Change in Operating Cash Flow</t>
        </is>
      </c>
      <c r="B15" s="13" t="inlineStr">
        <is>
          <t>N/A</t>
        </is>
      </c>
      <c r="C15" s="20">
        <f>C5-B5</f>
        <v/>
      </c>
      <c r="D15" s="20">
        <f>D5-C5</f>
        <v/>
      </c>
      <c r="E15" s="20">
        <f>E5-D5</f>
        <v/>
      </c>
      <c r="F15" s="20">
        <f>F5-E5</f>
        <v/>
      </c>
    </row>
    <row r="16">
      <c r="A16" s="13" t="inlineStr">
        <is>
          <t>Change in Cash Conversion Ratio</t>
        </is>
      </c>
      <c r="B16" s="13" t="inlineStr">
        <is>
          <t>N/A</t>
        </is>
      </c>
      <c r="C16" s="24">
        <f>C7-B7</f>
        <v/>
      </c>
      <c r="D16" s="24">
        <f>D7-C7</f>
        <v/>
      </c>
      <c r="E16" s="24">
        <f>E7-D7</f>
        <v/>
      </c>
      <c r="F16" s="24">
        <f>F7-E7</f>
        <v/>
      </c>
    </row>
    <row r="17">
      <c r="A17" s="13" t="inlineStr">
        <is>
          <t>Change in Total Accruals</t>
        </is>
      </c>
      <c r="B17" s="13" t="inlineStr">
        <is>
          <t>N/A</t>
        </is>
      </c>
      <c r="C17" s="20">
        <f>C8-B8</f>
        <v/>
      </c>
      <c r="D17" s="20">
        <f>D8-C8</f>
        <v/>
      </c>
      <c r="E17" s="20">
        <f>E8-D8</f>
        <v/>
      </c>
      <c r="F17" s="20">
        <f>F8-E8</f>
        <v/>
      </c>
    </row>
    <row r="18">
      <c r="A18" s="13" t="inlineStr">
        <is>
          <t>Change in Accrual Ratio</t>
        </is>
      </c>
      <c r="B18" s="13" t="inlineStr">
        <is>
          <t>N/A</t>
        </is>
      </c>
      <c r="C18" s="13" t="inlineStr">
        <is>
          <t>N/A</t>
        </is>
      </c>
      <c r="D18" s="19">
        <f>D12-C12</f>
        <v/>
      </c>
      <c r="E18" s="19">
        <f>E12-D12</f>
        <v/>
      </c>
      <c r="F18" s="19">
        <f>F12-E12</f>
        <v/>
      </c>
    </row>
    <row r="19">
      <c r="A19" s="11" t="inlineStr">
        <is>
          <t>EARNINGS QUALITY CHANGE CHECK</t>
        </is>
      </c>
      <c r="B19" s="13" t="inlineStr">
        <is>
          <t>N/A</t>
        </is>
      </c>
      <c r="C19" s="13">
        <f>IF(ABS(C17-((C6-B6)-C15))&lt;0.01,"OK","CHECK")</f>
        <v/>
      </c>
      <c r="D19" s="13">
        <f>IF(ABS(D17-((D6-C6)-D15))&lt;0.01,"OK","CHECK")</f>
        <v/>
      </c>
      <c r="E19" s="13">
        <f>IF(ABS(E17-((E6-D6)-E15))&lt;0.01,"OK","CHECK")</f>
        <v/>
      </c>
      <c r="F19" s="13">
        <f>IF(ABS(F17-((F6-E6)-F15))&lt;0.01,"OK","CHECK")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2" t="inlineStr">
        <is>
          <t>Working Capital Analysis</t>
        </is>
      </c>
    </row>
    <row r="2">
      <c r="A2" s="13" t="inlineStr">
        <is>
          <t>Relate classified operating working capital to Revenue and identify how much incremental NOWC accompanies changes in sales.</t>
        </is>
      </c>
    </row>
    <row r="3">
      <c r="A3" s="13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4"/>
    <row r="5">
      <c r="A5" s="11" t="inlineStr">
        <is>
          <t>Metric</t>
        </is>
      </c>
      <c r="B5" s="14" t="n">
        <v>44561</v>
      </c>
      <c r="C5" s="14" t="n">
        <v>44926</v>
      </c>
      <c r="D5" s="14" t="n">
        <v>45291</v>
      </c>
      <c r="E5" s="14" t="n">
        <v>45657</v>
      </c>
      <c r="F5" s="14" t="n">
        <v>46022</v>
      </c>
    </row>
    <row r="6">
      <c r="A6" s="10" t="inlineStr">
        <is>
          <t>Revenue</t>
        </is>
      </c>
      <c r="B6" s="15">
        <f>'Condensed Financials'!B19</f>
        <v/>
      </c>
      <c r="C6" s="15">
        <f>'Condensed Financials'!C19</f>
        <v/>
      </c>
      <c r="D6" s="15">
        <f>'Condensed Financials'!D19</f>
        <v/>
      </c>
      <c r="E6" s="15">
        <f>'Condensed Financials'!E19</f>
        <v/>
      </c>
      <c r="F6" s="15">
        <f>'Condensed Financials'!F19</f>
        <v/>
      </c>
    </row>
    <row r="7">
      <c r="A7" s="13" t="inlineStr">
        <is>
          <t>Operating Working Capital Assets</t>
        </is>
      </c>
      <c r="B7" s="16">
        <f>'Condensed Financials'!B31</f>
        <v/>
      </c>
      <c r="C7" s="16">
        <f>'Condensed Financials'!C31</f>
        <v/>
      </c>
      <c r="D7" s="16">
        <f>'Condensed Financials'!D31</f>
        <v/>
      </c>
      <c r="E7" s="16">
        <f>'Condensed Financials'!E31</f>
        <v/>
      </c>
      <c r="F7" s="16">
        <f>'Condensed Financials'!F31</f>
        <v/>
      </c>
    </row>
    <row r="8">
      <c r="A8" s="13" t="inlineStr">
        <is>
          <t>Operating Working Capital Liabilities</t>
        </is>
      </c>
      <c r="B8" s="16">
        <f>'Condensed Financials'!B32</f>
        <v/>
      </c>
      <c r="C8" s="16">
        <f>'Condensed Financials'!C32</f>
        <v/>
      </c>
      <c r="D8" s="16">
        <f>'Condensed Financials'!D32</f>
        <v/>
      </c>
      <c r="E8" s="16">
        <f>'Condensed Financials'!E32</f>
        <v/>
      </c>
      <c r="F8" s="16">
        <f>'Condensed Financials'!F32</f>
        <v/>
      </c>
    </row>
    <row r="9">
      <c r="A9" s="10" t="inlineStr">
        <is>
          <t>NOWC</t>
        </is>
      </c>
      <c r="B9" s="15">
        <f>'Condensed Financials'!B33</f>
        <v/>
      </c>
      <c r="C9" s="15">
        <f>'Condensed Financials'!C33</f>
        <v/>
      </c>
      <c r="D9" s="15">
        <f>'Condensed Financials'!D33</f>
        <v/>
      </c>
      <c r="E9" s="15">
        <f>'Condensed Financials'!E33</f>
        <v/>
      </c>
      <c r="F9" s="15">
        <f>'Condensed Financials'!F33</f>
        <v/>
      </c>
    </row>
    <row r="10"/>
    <row r="11">
      <c r="A11" s="13" t="inlineStr">
        <is>
          <t>OWCA / Revenue</t>
        </is>
      </c>
      <c r="B11" s="19">
        <f>IF(B6=0,NA(),B7/B6)</f>
        <v/>
      </c>
      <c r="C11" s="19">
        <f>IF(C6=0,NA(),C7/C6)</f>
        <v/>
      </c>
      <c r="D11" s="19">
        <f>IF(D6=0,NA(),D7/D6)</f>
        <v/>
      </c>
      <c r="E11" s="19">
        <f>IF(E6=0,NA(),E7/E6)</f>
        <v/>
      </c>
      <c r="F11" s="19">
        <f>IF(F6=0,NA(),F7/F6)</f>
        <v/>
      </c>
    </row>
    <row r="12">
      <c r="A12" s="13" t="inlineStr">
        <is>
          <t>OWCL / Revenue</t>
        </is>
      </c>
      <c r="B12" s="19">
        <f>IF(B6=0,NA(),B8/B6)</f>
        <v/>
      </c>
      <c r="C12" s="19">
        <f>IF(C6=0,NA(),C8/C6)</f>
        <v/>
      </c>
      <c r="D12" s="19">
        <f>IF(D6=0,NA(),D8/D6)</f>
        <v/>
      </c>
      <c r="E12" s="19">
        <f>IF(E6=0,NA(),E8/E6)</f>
        <v/>
      </c>
      <c r="F12" s="19">
        <f>IF(F6=0,NA(),F8/F6)</f>
        <v/>
      </c>
    </row>
    <row r="13">
      <c r="A13" s="13" t="inlineStr">
        <is>
          <t>NOWC / Revenue</t>
        </is>
      </c>
      <c r="B13" s="19">
        <f>IF(B6=0,NA(),B9/B6)</f>
        <v/>
      </c>
      <c r="C13" s="19">
        <f>IF(C6=0,NA(),C9/C6)</f>
        <v/>
      </c>
      <c r="D13" s="19">
        <f>IF(D6=0,NA(),D9/D6)</f>
        <v/>
      </c>
      <c r="E13" s="19">
        <f>IF(E6=0,NA(),E9/E6)</f>
        <v/>
      </c>
      <c r="F13" s="19">
        <f>IF(F6=0,NA(),F9/F6)</f>
        <v/>
      </c>
    </row>
    <row r="14">
      <c r="A14" s="13" t="inlineStr">
        <is>
          <t>Change in Revenue</t>
        </is>
      </c>
      <c r="B14" s="13" t="inlineStr">
        <is>
          <t>N/A</t>
        </is>
      </c>
      <c r="C14" s="20">
        <f>C6-B6</f>
        <v/>
      </c>
      <c r="D14" s="20">
        <f>D6-C6</f>
        <v/>
      </c>
      <c r="E14" s="20">
        <f>E6-D6</f>
        <v/>
      </c>
      <c r="F14" s="20">
        <f>F6-E6</f>
        <v/>
      </c>
    </row>
    <row r="15">
      <c r="A15" s="13" t="inlineStr">
        <is>
          <t>Change in NOWC</t>
        </is>
      </c>
      <c r="B15" s="13" t="inlineStr">
        <is>
          <t>N/A</t>
        </is>
      </c>
      <c r="C15" s="20">
        <f>C9-B9</f>
        <v/>
      </c>
      <c r="D15" s="20">
        <f>D9-C9</f>
        <v/>
      </c>
      <c r="E15" s="20">
        <f>E9-D9</f>
        <v/>
      </c>
      <c r="F15" s="20">
        <f>F9-E9</f>
        <v/>
      </c>
    </row>
    <row r="16">
      <c r="A16" s="13" t="inlineStr">
        <is>
          <t>Incremental NOWC / Change in Revenue</t>
        </is>
      </c>
      <c r="B16" s="13" t="inlineStr">
        <is>
          <t>N/A</t>
        </is>
      </c>
      <c r="C16" s="19">
        <f>IF(C14=0,NA(),C15/C14)</f>
        <v/>
      </c>
      <c r="D16" s="19">
        <f>IF(D14=0,NA(),D15/D14)</f>
        <v/>
      </c>
      <c r="E16" s="19">
        <f>IF(E14=0,NA(),E15/E14)</f>
        <v/>
      </c>
      <c r="F16" s="19">
        <f>IF(F14=0,NA(),F15/F14)</f>
        <v/>
      </c>
    </row>
    <row r="17"/>
    <row r="18">
      <c r="A18" s="11" t="inlineStr">
        <is>
          <t>WORKING-CAPITAL DRIVER DECOMPOSITION</t>
        </is>
      </c>
    </row>
    <row r="19">
      <c r="A19" s="13" t="inlineStr">
        <is>
          <t>Change in OWCA</t>
        </is>
      </c>
      <c r="B19" s="13" t="inlineStr">
        <is>
          <t>N/A</t>
        </is>
      </c>
      <c r="C19" s="20">
        <f>C7-B7</f>
        <v/>
      </c>
      <c r="D19" s="20">
        <f>D7-C7</f>
        <v/>
      </c>
      <c r="E19" s="20">
        <f>E7-D7</f>
        <v/>
      </c>
      <c r="F19" s="20">
        <f>F7-E7</f>
        <v/>
      </c>
    </row>
    <row r="20">
      <c r="A20" s="13" t="inlineStr">
        <is>
          <t>Change in OWCL</t>
        </is>
      </c>
      <c r="B20" s="13" t="inlineStr">
        <is>
          <t>N/A</t>
        </is>
      </c>
      <c r="C20" s="20">
        <f>C8-B8</f>
        <v/>
      </c>
      <c r="D20" s="20">
        <f>D8-C8</f>
        <v/>
      </c>
      <c r="E20" s="20">
        <f>E8-D8</f>
        <v/>
      </c>
      <c r="F20" s="20">
        <f>F8-E8</f>
        <v/>
      </c>
    </row>
    <row r="21">
      <c r="A21" s="13" t="inlineStr">
        <is>
          <t>Change in NOWC from Components</t>
        </is>
      </c>
      <c r="B21" s="13" t="inlineStr">
        <is>
          <t>N/A</t>
        </is>
      </c>
      <c r="C21" s="20">
        <f>C19-C20</f>
        <v/>
      </c>
      <c r="D21" s="20">
        <f>D19-D20</f>
        <v/>
      </c>
      <c r="E21" s="20">
        <f>E19-E20</f>
        <v/>
      </c>
      <c r="F21" s="20">
        <f>F19-F20</f>
        <v/>
      </c>
    </row>
    <row r="22">
      <c r="A22" s="13" t="inlineStr">
        <is>
          <t>Incremental OWCA / Change in Revenue</t>
        </is>
      </c>
      <c r="B22" s="13" t="inlineStr">
        <is>
          <t>N/A</t>
        </is>
      </c>
      <c r="C22" s="19">
        <f>IF(C14=0,NA(),C19/C14)</f>
        <v/>
      </c>
      <c r="D22" s="19">
        <f>IF(D14=0,NA(),D19/D14)</f>
        <v/>
      </c>
      <c r="E22" s="19">
        <f>IF(E14=0,NA(),E19/E14)</f>
        <v/>
      </c>
      <c r="F22" s="19">
        <f>IF(F14=0,NA(),F19/F14)</f>
        <v/>
      </c>
    </row>
    <row r="23">
      <c r="A23" s="13" t="inlineStr">
        <is>
          <t>Incremental OWCL / Change in Revenue</t>
        </is>
      </c>
      <c r="B23" s="13" t="inlineStr">
        <is>
          <t>N/A</t>
        </is>
      </c>
      <c r="C23" s="19">
        <f>IF(C14=0,NA(),C20/C14)</f>
        <v/>
      </c>
      <c r="D23" s="19">
        <f>IF(D14=0,NA(),D20/D14)</f>
        <v/>
      </c>
      <c r="E23" s="19">
        <f>IF(E14=0,NA(),E20/E14)</f>
        <v/>
      </c>
      <c r="F23" s="19">
        <f>IF(F14=0,NA(),F20/F14)</f>
        <v/>
      </c>
    </row>
    <row r="24">
      <c r="A24" s="11" t="inlineStr">
        <is>
          <t>DRIVER DECOMPOSITION CHECK</t>
        </is>
      </c>
      <c r="B24" s="13" t="inlineStr">
        <is>
          <t>N/A</t>
        </is>
      </c>
      <c r="C24" s="13">
        <f>IF(ABS(C21-C15)&lt;0.01,"OK","CHECK")</f>
        <v/>
      </c>
      <c r="D24" s="13">
        <f>IF(ABS(D21-D15)&lt;0.01,"OK","CHECK")</f>
        <v/>
      </c>
      <c r="E24" s="13">
        <f>IF(ABS(E21-E15)&lt;0.01,"OK","CHECK")</f>
        <v/>
      </c>
      <c r="F24" s="13">
        <f>IF(ABS(F21-F15)&lt;0.01,"OK","CHECK")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2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2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2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2" t="inlineStr">
        <is>
          <t>Deferred from historical-only v1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order</t>
        </is>
      </c>
      <c r="C1" s="1" t="inlineStr">
        <is>
          <t>title</t>
        </is>
      </c>
      <c r="D1" s="1" t="inlineStr">
        <is>
          <t>short_hint</t>
        </is>
      </c>
      <c r="E1" s="1" t="inlineStr">
        <is>
          <t>semantic_key</t>
        </is>
      </c>
      <c r="F1" s="1" t="inlineStr">
        <is>
          <t>category</t>
        </is>
      </c>
      <c r="G1" s="1" t="inlineStr">
        <is>
          <t>tab</t>
        </is>
      </c>
      <c r="H1" s="1" t="inlineStr">
        <is>
          <t>cell</t>
        </is>
      </c>
      <c r="I1" s="1" t="inlineStr">
        <is>
          <t>formula</t>
        </is>
      </c>
      <c r="J1" s="1" t="inlineStr">
        <is>
          <t>expected_value</t>
        </is>
      </c>
      <c r="K1" s="1" t="inlineStr">
        <is>
          <t>tolerance</t>
        </is>
      </c>
      <c r="L1" s="1" t="inlineStr">
        <is>
          <t>depends_on</t>
        </is>
      </c>
      <c r="M1" s="1" t="inlineStr">
        <is>
          <t>hints</t>
        </is>
      </c>
      <c r="N1" s="1" t="inlineStr">
        <is>
          <t>related_cells</t>
        </is>
      </c>
      <c r="O1" s="1" t="inlineStr">
        <is>
          <t>status</t>
        </is>
      </c>
      <c r="P1" s="1" t="inlineStr">
        <is>
          <t>family_id</t>
        </is>
      </c>
      <c r="Q1" s="1" t="inlineStr">
        <is>
          <t>family_order</t>
        </is>
      </c>
      <c r="R1" s="1" t="inlineStr">
        <is>
          <t>period_index</t>
        </is>
      </c>
      <c r="S1" s="1" t="inlineStr">
        <is>
          <t>period_end</t>
        </is>
      </c>
    </row>
    <row r="2">
      <c r="A2" t="inlineStr">
        <is>
          <t>revenue_link__20211231</t>
        </is>
      </c>
      <c r="B2" t="n">
        <v>1</v>
      </c>
      <c r="C2" t="inlineStr">
        <is>
          <t>Revenue historical source link</t>
        </is>
      </c>
      <c r="D2" t="inlineStr">
        <is>
          <t>Link Revenue from the Income Statement into Condensed Financials.</t>
        </is>
      </c>
      <c r="E2" t="inlineStr">
        <is>
          <t>condensed.revenue_link.2021-12-31</t>
        </is>
      </c>
      <c r="F2" t="inlineStr">
        <is>
          <t>accounting</t>
        </is>
      </c>
      <c r="G2" t="inlineStr">
        <is>
          <t>Condensed Financials</t>
        </is>
      </c>
      <c r="H2" t="inlineStr">
        <is>
          <t>B19</t>
        </is>
      </c>
      <c r="I2">
        <f>'Income Statement'!B7</f>
        <v/>
      </c>
      <c r="J2" t="n">
        <v>8500</v>
      </c>
      <c r="K2" t="n">
        <v>0.01</v>
      </c>
      <c r="M2" t="inlineStr">
        <is>
          <t>Pull the Revenue line from the Income Statement for the same fiscal period.</t>
        </is>
      </c>
      <c r="O2" t="inlineStr">
        <is>
          <t>pending</t>
        </is>
      </c>
      <c r="P2" t="inlineStr">
        <is>
          <t>revenue_link</t>
        </is>
      </c>
      <c r="Q2" t="n">
        <v>1</v>
      </c>
      <c r="R2" t="n">
        <v>0</v>
      </c>
      <c r="S2" t="inlineStr">
        <is>
          <t>2021-12-31</t>
        </is>
      </c>
    </row>
    <row r="3">
      <c r="A3" t="inlineStr">
        <is>
          <t>revenue_link__20221231</t>
        </is>
      </c>
      <c r="B3" t="n">
        <v>2</v>
      </c>
      <c r="C3" t="inlineStr">
        <is>
          <t>Revenue historical source link</t>
        </is>
      </c>
      <c r="D3" t="inlineStr">
        <is>
          <t>Link Revenue from the Income Statement into Condensed Financials.</t>
        </is>
      </c>
      <c r="E3" t="inlineStr">
        <is>
          <t>condensed.revenue_link.2022-12-31</t>
        </is>
      </c>
      <c r="F3" t="inlineStr">
        <is>
          <t>accounting</t>
        </is>
      </c>
      <c r="G3" t="inlineStr">
        <is>
          <t>Condensed Financials</t>
        </is>
      </c>
      <c r="H3" t="inlineStr">
        <is>
          <t>C19</t>
        </is>
      </c>
      <c r="I3">
        <f>'Income Statement'!C7</f>
        <v/>
      </c>
      <c r="J3" t="n">
        <v>9200</v>
      </c>
      <c r="K3" t="n">
        <v>0.01</v>
      </c>
      <c r="M3" t="inlineStr">
        <is>
          <t>Pull the Revenue line from the Income Statement for the same fiscal period.</t>
        </is>
      </c>
      <c r="O3" t="inlineStr">
        <is>
          <t>pending</t>
        </is>
      </c>
      <c r="P3" t="inlineStr">
        <is>
          <t>revenue_link</t>
        </is>
      </c>
      <c r="Q3" t="n">
        <v>1</v>
      </c>
      <c r="R3" t="n">
        <v>1</v>
      </c>
      <c r="S3" t="inlineStr">
        <is>
          <t>2022-12-31</t>
        </is>
      </c>
    </row>
    <row r="4">
      <c r="A4" t="inlineStr">
        <is>
          <t>revenue_link__20231231</t>
        </is>
      </c>
      <c r="B4" t="n">
        <v>3</v>
      </c>
      <c r="C4" t="inlineStr">
        <is>
          <t>Revenue historical source link</t>
        </is>
      </c>
      <c r="D4" t="inlineStr">
        <is>
          <t>Link Revenue from the Income Statement into Condensed Financials.</t>
        </is>
      </c>
      <c r="E4" t="inlineStr">
        <is>
          <t>condensed.revenue_link.2023-12-31</t>
        </is>
      </c>
      <c r="F4" t="inlineStr">
        <is>
          <t>accounting</t>
        </is>
      </c>
      <c r="G4" t="inlineStr">
        <is>
          <t>Condensed Financials</t>
        </is>
      </c>
      <c r="H4" t="inlineStr">
        <is>
          <t>D19</t>
        </is>
      </c>
      <c r="I4">
        <f>'Income Statement'!D7</f>
        <v/>
      </c>
      <c r="J4" t="n">
        <v>10100</v>
      </c>
      <c r="K4" t="n">
        <v>0.01</v>
      </c>
      <c r="M4" t="inlineStr">
        <is>
          <t>Pull the Revenue line from the Income Statement for the same fiscal period.</t>
        </is>
      </c>
      <c r="O4" t="inlineStr">
        <is>
          <t>pending</t>
        </is>
      </c>
      <c r="P4" t="inlineStr">
        <is>
          <t>revenue_link</t>
        </is>
      </c>
      <c r="Q4" t="n">
        <v>1</v>
      </c>
      <c r="R4" t="n">
        <v>2</v>
      </c>
      <c r="S4" t="inlineStr">
        <is>
          <t>2023-12-31</t>
        </is>
      </c>
    </row>
    <row r="5">
      <c r="A5" t="inlineStr">
        <is>
          <t>revenue_link__20241231</t>
        </is>
      </c>
      <c r="B5" t="n">
        <v>4</v>
      </c>
      <c r="C5" t="inlineStr">
        <is>
          <t>Revenue historical source link</t>
        </is>
      </c>
      <c r="D5" t="inlineStr">
        <is>
          <t>Link Revenue from the Income Statement into Condensed Financials.</t>
        </is>
      </c>
      <c r="E5" t="inlineStr">
        <is>
          <t>condensed.revenue_link.2024-12-31</t>
        </is>
      </c>
      <c r="F5" t="inlineStr">
        <is>
          <t>accounting</t>
        </is>
      </c>
      <c r="G5" t="inlineStr">
        <is>
          <t>Condensed Financials</t>
        </is>
      </c>
      <c r="H5" t="inlineStr">
        <is>
          <t>E19</t>
        </is>
      </c>
      <c r="I5">
        <f>'Income Statement'!E7</f>
        <v/>
      </c>
      <c r="J5" t="n">
        <v>11200</v>
      </c>
      <c r="K5" t="n">
        <v>0.01</v>
      </c>
      <c r="M5" t="inlineStr">
        <is>
          <t>Pull the Revenue line from the Income Statement for the same fiscal period.</t>
        </is>
      </c>
      <c r="O5" t="inlineStr">
        <is>
          <t>pending</t>
        </is>
      </c>
      <c r="P5" t="inlineStr">
        <is>
          <t>revenue_link</t>
        </is>
      </c>
      <c r="Q5" t="n">
        <v>1</v>
      </c>
      <c r="R5" t="n">
        <v>3</v>
      </c>
      <c r="S5" t="inlineStr">
        <is>
          <t>2024-12-31</t>
        </is>
      </c>
    </row>
    <row r="6">
      <c r="A6" t="inlineStr">
        <is>
          <t>revenue_link__20251231</t>
        </is>
      </c>
      <c r="B6" t="n">
        <v>5</v>
      </c>
      <c r="C6" t="inlineStr">
        <is>
          <t>Revenue historical source link</t>
        </is>
      </c>
      <c r="D6" t="inlineStr">
        <is>
          <t>Link Revenue from the Income Statement into Condensed Financials.</t>
        </is>
      </c>
      <c r="E6" t="inlineStr">
        <is>
          <t>condensed.revenue_link.2025-12-31</t>
        </is>
      </c>
      <c r="F6" t="inlineStr">
        <is>
          <t>accounting</t>
        </is>
      </c>
      <c r="G6" t="inlineStr">
        <is>
          <t>Condensed Financials</t>
        </is>
      </c>
      <c r="H6" t="inlineStr">
        <is>
          <t>F19</t>
        </is>
      </c>
      <c r="I6">
        <f>'Income Statement'!F7</f>
        <v/>
      </c>
      <c r="J6" t="n">
        <v>12500</v>
      </c>
      <c r="K6" t="n">
        <v>0.01</v>
      </c>
      <c r="M6" t="inlineStr">
        <is>
          <t>Pull the Revenue line from the Income Statement for the same fiscal period.</t>
        </is>
      </c>
      <c r="O6" t="inlineStr">
        <is>
          <t>pending</t>
        </is>
      </c>
      <c r="P6" t="inlineStr">
        <is>
          <t>revenue_link</t>
        </is>
      </c>
      <c r="Q6" t="n">
        <v>1</v>
      </c>
      <c r="R6" t="n">
        <v>4</v>
      </c>
      <c r="S6" t="inlineStr">
        <is>
          <t>2025-12-31</t>
        </is>
      </c>
    </row>
    <row r="7">
      <c r="A7" t="inlineStr">
        <is>
          <t>net_income_link__20211231</t>
        </is>
      </c>
      <c r="B7" t="n">
        <v>6</v>
      </c>
      <c r="C7" t="inlineStr">
        <is>
          <t>Net Income historical source link</t>
        </is>
      </c>
      <c r="D7" t="inlineStr">
        <is>
          <t>Link Net Income from the Income Statement into Condensed Financials.</t>
        </is>
      </c>
      <c r="E7" t="inlineStr">
        <is>
          <t>condensed.net_income_link.2021-12-31</t>
        </is>
      </c>
      <c r="F7" t="inlineStr">
        <is>
          <t>accounting</t>
        </is>
      </c>
      <c r="G7" t="inlineStr">
        <is>
          <t>Condensed Financials</t>
        </is>
      </c>
      <c r="H7" t="inlineStr">
        <is>
          <t>B20</t>
        </is>
      </c>
      <c r="I7">
        <f>'Income Statement'!B17</f>
        <v/>
      </c>
      <c r="J7" t="n">
        <v>2760</v>
      </c>
      <c r="K7" t="n">
        <v>0.01</v>
      </c>
      <c r="M7" t="inlineStr">
        <is>
          <t>Pull Net Income from the Income Statement for the same fiscal period.</t>
        </is>
      </c>
      <c r="O7" t="inlineStr">
        <is>
          <t>pending</t>
        </is>
      </c>
      <c r="P7" t="inlineStr">
        <is>
          <t>net_income_link</t>
        </is>
      </c>
      <c r="Q7" t="n">
        <v>2</v>
      </c>
      <c r="R7" t="n">
        <v>0</v>
      </c>
      <c r="S7" t="inlineStr">
        <is>
          <t>2021-12-31</t>
        </is>
      </c>
    </row>
    <row r="8">
      <c r="A8" t="inlineStr">
        <is>
          <t>net_income_link__20221231</t>
        </is>
      </c>
      <c r="B8" t="n">
        <v>7</v>
      </c>
      <c r="C8" t="inlineStr">
        <is>
          <t>Net Income historical source link</t>
        </is>
      </c>
      <c r="D8" t="inlineStr">
        <is>
          <t>Link Net Income from the Income Statement into Condensed Financials.</t>
        </is>
      </c>
      <c r="E8" t="inlineStr">
        <is>
          <t>condensed.net_income_link.2022-12-31</t>
        </is>
      </c>
      <c r="F8" t="inlineStr">
        <is>
          <t>accounting</t>
        </is>
      </c>
      <c r="G8" t="inlineStr">
        <is>
          <t>Condensed Financials</t>
        </is>
      </c>
      <c r="H8" t="inlineStr">
        <is>
          <t>C20</t>
        </is>
      </c>
      <c r="I8">
        <f>'Income Statement'!C17</f>
        <v/>
      </c>
      <c r="J8" t="n">
        <v>2988</v>
      </c>
      <c r="K8" t="n">
        <v>0.01</v>
      </c>
      <c r="M8" t="inlineStr">
        <is>
          <t>Pull Net Income from the Income Statement for the same fiscal period.</t>
        </is>
      </c>
      <c r="O8" t="inlineStr">
        <is>
          <t>pending</t>
        </is>
      </c>
      <c r="P8" t="inlineStr">
        <is>
          <t>net_income_link</t>
        </is>
      </c>
      <c r="Q8" t="n">
        <v>2</v>
      </c>
      <c r="R8" t="n">
        <v>1</v>
      </c>
      <c r="S8" t="inlineStr">
        <is>
          <t>2022-12-31</t>
        </is>
      </c>
    </row>
    <row r="9">
      <c r="A9" t="inlineStr">
        <is>
          <t>net_income_link__20231231</t>
        </is>
      </c>
      <c r="B9" t="n">
        <v>8</v>
      </c>
      <c r="C9" t="inlineStr">
        <is>
          <t>Net Income historical source link</t>
        </is>
      </c>
      <c r="D9" t="inlineStr">
        <is>
          <t>Link Net Income from the Income Statement into Condensed Financials.</t>
        </is>
      </c>
      <c r="E9" t="inlineStr">
        <is>
          <t>condensed.net_income_link.2023-12-31</t>
        </is>
      </c>
      <c r="F9" t="inlineStr">
        <is>
          <t>accounting</t>
        </is>
      </c>
      <c r="G9" t="inlineStr">
        <is>
          <t>Condensed Financials</t>
        </is>
      </c>
      <c r="H9" t="inlineStr">
        <is>
          <t>D20</t>
        </is>
      </c>
      <c r="I9">
        <f>'Income Statement'!D17</f>
        <v/>
      </c>
      <c r="J9" t="n">
        <v>3283</v>
      </c>
      <c r="K9" t="n">
        <v>0.01</v>
      </c>
      <c r="M9" t="inlineStr">
        <is>
          <t>Pull Net Income from the Income Statement for the same fiscal period.</t>
        </is>
      </c>
      <c r="O9" t="inlineStr">
        <is>
          <t>pending</t>
        </is>
      </c>
      <c r="P9" t="inlineStr">
        <is>
          <t>net_income_link</t>
        </is>
      </c>
      <c r="Q9" t="n">
        <v>2</v>
      </c>
      <c r="R9" t="n">
        <v>2</v>
      </c>
      <c r="S9" t="inlineStr">
        <is>
          <t>2023-12-31</t>
        </is>
      </c>
    </row>
    <row r="10">
      <c r="A10" t="inlineStr">
        <is>
          <t>net_income_link__20241231</t>
        </is>
      </c>
      <c r="B10" t="n">
        <v>9</v>
      </c>
      <c r="C10" t="inlineStr">
        <is>
          <t>Net Income historical source link</t>
        </is>
      </c>
      <c r="D10" t="inlineStr">
        <is>
          <t>Link Net Income from the Income Statement into Condensed Financials.</t>
        </is>
      </c>
      <c r="E10" t="inlineStr">
        <is>
          <t>condensed.net_income_link.2024-12-31</t>
        </is>
      </c>
      <c r="F10" t="inlineStr">
        <is>
          <t>accounting</t>
        </is>
      </c>
      <c r="G10" t="inlineStr">
        <is>
          <t>Condensed Financials</t>
        </is>
      </c>
      <c r="H10" t="inlineStr">
        <is>
          <t>E20</t>
        </is>
      </c>
      <c r="I10">
        <f>'Income Statement'!E17</f>
        <v/>
      </c>
      <c r="J10" t="n">
        <v>3644</v>
      </c>
      <c r="K10" t="n">
        <v>0.01</v>
      </c>
      <c r="M10" t="inlineStr">
        <is>
          <t>Pull Net Income from the Income Statement for the same fiscal period.</t>
        </is>
      </c>
      <c r="O10" t="inlineStr">
        <is>
          <t>pending</t>
        </is>
      </c>
      <c r="P10" t="inlineStr">
        <is>
          <t>net_income_link</t>
        </is>
      </c>
      <c r="Q10" t="n">
        <v>2</v>
      </c>
      <c r="R10" t="n">
        <v>3</v>
      </c>
      <c r="S10" t="inlineStr">
        <is>
          <t>2024-12-31</t>
        </is>
      </c>
    </row>
    <row r="11">
      <c r="A11" t="inlineStr">
        <is>
          <t>net_income_link__20251231</t>
        </is>
      </c>
      <c r="B11" t="n">
        <v>10</v>
      </c>
      <c r="C11" t="inlineStr">
        <is>
          <t>Net Income historical source link</t>
        </is>
      </c>
      <c r="D11" t="inlineStr">
        <is>
          <t>Link Net Income from the Income Statement into Condensed Financials.</t>
        </is>
      </c>
      <c r="E11" t="inlineStr">
        <is>
          <t>condensed.net_income_link.2025-12-31</t>
        </is>
      </c>
      <c r="F11" t="inlineStr">
        <is>
          <t>accounting</t>
        </is>
      </c>
      <c r="G11" t="inlineStr">
        <is>
          <t>Condensed Financials</t>
        </is>
      </c>
      <c r="H11" t="inlineStr">
        <is>
          <t>F20</t>
        </is>
      </c>
      <c r="I11">
        <f>'Income Statement'!F17</f>
        <v/>
      </c>
      <c r="J11" t="n">
        <v>4072</v>
      </c>
      <c r="K11" t="n">
        <v>0.01</v>
      </c>
      <c r="M11" t="inlineStr">
        <is>
          <t>Pull Net Income from the Income Statement for the same fiscal period.</t>
        </is>
      </c>
      <c r="O11" t="inlineStr">
        <is>
          <t>pending</t>
        </is>
      </c>
      <c r="P11" t="inlineStr">
        <is>
          <t>net_income_link</t>
        </is>
      </c>
      <c r="Q11" t="n">
        <v>2</v>
      </c>
      <c r="R11" t="n">
        <v>4</v>
      </c>
      <c r="S11" t="inlineStr">
        <is>
          <t>2025-12-31</t>
        </is>
      </c>
    </row>
    <row r="12">
      <c r="A12" t="inlineStr">
        <is>
          <t>effective_tax_rate_fy__20211231</t>
        </is>
      </c>
      <c r="B12" t="n">
        <v>11</v>
      </c>
      <c r="C12" t="inlineStr">
        <is>
          <t>Effective tax rate</t>
        </is>
      </c>
      <c r="D12" t="inlineStr">
        <is>
          <t>Relate tax expense to pretax income using the model's sign convention.</t>
        </is>
      </c>
      <c r="E12" t="inlineStr">
        <is>
          <t>condensed.effective_tax_rate.2021-12-31</t>
        </is>
      </c>
      <c r="F12" t="inlineStr">
        <is>
          <t>accounting</t>
        </is>
      </c>
      <c r="G12" t="inlineStr">
        <is>
          <t>Condensed Financials</t>
        </is>
      </c>
      <c r="H12" t="inlineStr">
        <is>
          <t>B25</t>
        </is>
      </c>
      <c r="I12">
        <f>IF(B21=0,NA(),-B22/B21)</f>
        <v/>
      </c>
      <c r="J12" t="n">
        <v>0.1699248120300752</v>
      </c>
      <c r="K12" t="n">
        <v>0.01</v>
      </c>
      <c r="M12" t="inlineStr">
        <is>
          <t>Effective tax rate uses pretax income in the denominator.|Preserve the model's sign convention for tax expense.|A zero Pretax Income makes Effective Tax Rate undefined (#N/A).</t>
        </is>
      </c>
      <c r="O12" t="inlineStr">
        <is>
          <t>pending</t>
        </is>
      </c>
      <c r="P12" t="inlineStr">
        <is>
          <t>effective_tax_rate_fy</t>
        </is>
      </c>
      <c r="Q12" t="n">
        <v>3</v>
      </c>
      <c r="R12" t="n">
        <v>0</v>
      </c>
      <c r="S12" t="inlineStr">
        <is>
          <t>2021-12-31</t>
        </is>
      </c>
    </row>
    <row r="13">
      <c r="A13" t="inlineStr">
        <is>
          <t>effective_tax_rate_fy__20221231</t>
        </is>
      </c>
      <c r="B13" t="n">
        <v>12</v>
      </c>
      <c r="C13" t="inlineStr">
        <is>
          <t>Effective tax rate</t>
        </is>
      </c>
      <c r="D13" t="inlineStr">
        <is>
          <t>Relate tax expense to pretax income using the model's sign convention.</t>
        </is>
      </c>
      <c r="E13" t="inlineStr">
        <is>
          <t>condensed.effective_tax_rate.2022-12-31</t>
        </is>
      </c>
      <c r="F13" t="inlineStr">
        <is>
          <t>accounting</t>
        </is>
      </c>
      <c r="G13" t="inlineStr">
        <is>
          <t>Condensed Financials</t>
        </is>
      </c>
      <c r="H13" t="inlineStr">
        <is>
          <t>C25</t>
        </is>
      </c>
      <c r="I13">
        <f>IF(C21=0,NA(),-C22/C21)</f>
        <v/>
      </c>
      <c r="J13" t="n">
        <v>0.17</v>
      </c>
      <c r="K13" t="n">
        <v>0.01</v>
      </c>
      <c r="M13" t="inlineStr">
        <is>
          <t>Effective tax rate uses pretax income in the denominator.|Preserve the model's sign convention for tax expense.|A zero Pretax Income makes Effective Tax Rate undefined (#N/A).</t>
        </is>
      </c>
      <c r="O13" t="inlineStr">
        <is>
          <t>pending</t>
        </is>
      </c>
      <c r="P13" t="inlineStr">
        <is>
          <t>effective_tax_rate_fy</t>
        </is>
      </c>
      <c r="Q13" t="n">
        <v>3</v>
      </c>
      <c r="R13" t="n">
        <v>1</v>
      </c>
      <c r="S13" t="inlineStr">
        <is>
          <t>2022-12-31</t>
        </is>
      </c>
    </row>
    <row r="14">
      <c r="A14" t="inlineStr">
        <is>
          <t>effective_tax_rate_fy__20231231</t>
        </is>
      </c>
      <c r="B14" t="n">
        <v>13</v>
      </c>
      <c r="C14" t="inlineStr">
        <is>
          <t>Effective tax rate</t>
        </is>
      </c>
      <c r="D14" t="inlineStr">
        <is>
          <t>Relate tax expense to pretax income using the model's sign convention.</t>
        </is>
      </c>
      <c r="E14" t="inlineStr">
        <is>
          <t>condensed.effective_tax_rate.2023-12-31</t>
        </is>
      </c>
      <c r="F14" t="inlineStr">
        <is>
          <t>accounting</t>
        </is>
      </c>
      <c r="G14" t="inlineStr">
        <is>
          <t>Condensed Financials</t>
        </is>
      </c>
      <c r="H14" t="inlineStr">
        <is>
          <t>D25</t>
        </is>
      </c>
      <c r="I14">
        <f>IF(D21=0,NA(),-D22/D21)</f>
        <v/>
      </c>
      <c r="J14" t="n">
        <v>0.1699115044247788</v>
      </c>
      <c r="K14" t="n">
        <v>0.01</v>
      </c>
      <c r="M14" t="inlineStr">
        <is>
          <t>Effective tax rate uses pretax income in the denominator.|Preserve the model's sign convention for tax expense.|A zero Pretax Income makes Effective Tax Rate undefined (#N/A).</t>
        </is>
      </c>
      <c r="O14" t="inlineStr">
        <is>
          <t>pending</t>
        </is>
      </c>
      <c r="P14" t="inlineStr">
        <is>
          <t>effective_tax_rate_fy</t>
        </is>
      </c>
      <c r="Q14" t="n">
        <v>3</v>
      </c>
      <c r="R14" t="n">
        <v>2</v>
      </c>
      <c r="S14" t="inlineStr">
        <is>
          <t>2023-12-31</t>
        </is>
      </c>
    </row>
    <row r="15">
      <c r="A15" t="inlineStr">
        <is>
          <t>effective_tax_rate_fy__20241231</t>
        </is>
      </c>
      <c r="B15" t="n">
        <v>14</v>
      </c>
      <c r="C15" t="inlineStr">
        <is>
          <t>Effective tax rate</t>
        </is>
      </c>
      <c r="D15" t="inlineStr">
        <is>
          <t>Relate tax expense to pretax income using the model's sign convention.</t>
        </is>
      </c>
      <c r="E15" t="inlineStr">
        <is>
          <t>condensed.effective_tax_rate.2024-12-31</t>
        </is>
      </c>
      <c r="F15" t="inlineStr">
        <is>
          <t>accounting</t>
        </is>
      </c>
      <c r="G15" t="inlineStr">
        <is>
          <t>Condensed Financials</t>
        </is>
      </c>
      <c r="H15" t="inlineStr">
        <is>
          <t>E25</t>
        </is>
      </c>
      <c r="I15">
        <f>IF(E21=0,NA(),-E22/E21)</f>
        <v/>
      </c>
      <c r="J15" t="n">
        <v>0.1699316628701595</v>
      </c>
      <c r="K15" t="n">
        <v>0.01</v>
      </c>
      <c r="M15" t="inlineStr">
        <is>
          <t>Effective tax rate uses pretax income in the denominator.|Preserve the model's sign convention for tax expense.|A zero Pretax Income makes Effective Tax Rate undefined (#N/A).</t>
        </is>
      </c>
      <c r="O15" t="inlineStr">
        <is>
          <t>pending</t>
        </is>
      </c>
      <c r="P15" t="inlineStr">
        <is>
          <t>effective_tax_rate_fy</t>
        </is>
      </c>
      <c r="Q15" t="n">
        <v>3</v>
      </c>
      <c r="R15" t="n">
        <v>3</v>
      </c>
      <c r="S15" t="inlineStr">
        <is>
          <t>2024-12-31</t>
        </is>
      </c>
    </row>
    <row r="16">
      <c r="A16" t="inlineStr">
        <is>
          <t>effective_tax_rate_fy__20251231</t>
        </is>
      </c>
      <c r="B16" t="n">
        <v>15</v>
      </c>
      <c r="C16" t="inlineStr">
        <is>
          <t>Effective tax rate</t>
        </is>
      </c>
      <c r="D16" t="inlineStr">
        <is>
          <t>Relate tax expense to pretax income using the model's sign convention.</t>
        </is>
      </c>
      <c r="E16" t="inlineStr">
        <is>
          <t>condensed.effective_tax_rate.2025-12-31</t>
        </is>
      </c>
      <c r="F16" t="inlineStr">
        <is>
          <t>accounting</t>
        </is>
      </c>
      <c r="G16" t="inlineStr">
        <is>
          <t>Condensed Financials</t>
        </is>
      </c>
      <c r="H16" t="inlineStr">
        <is>
          <t>F25</t>
        </is>
      </c>
      <c r="I16">
        <f>IF(F21=0,NA(),-F22/F21)</f>
        <v/>
      </c>
      <c r="J16" t="n">
        <v>0.1698267074413863</v>
      </c>
      <c r="K16" t="n">
        <v>0.01</v>
      </c>
      <c r="M16" t="inlineStr">
        <is>
          <t>Effective tax rate uses pretax income in the denominator.|Preserve the model's sign convention for tax expense.|A zero Pretax Income makes Effective Tax Rate undefined (#N/A).</t>
        </is>
      </c>
      <c r="O16" t="inlineStr">
        <is>
          <t>pending</t>
        </is>
      </c>
      <c r="P16" t="inlineStr">
        <is>
          <t>effective_tax_rate_fy</t>
        </is>
      </c>
      <c r="Q16" t="n">
        <v>3</v>
      </c>
      <c r="R16" t="n">
        <v>4</v>
      </c>
      <c r="S16" t="inlineStr">
        <is>
          <t>2025-12-31</t>
        </is>
      </c>
    </row>
    <row r="17">
      <c r="A17" t="inlineStr">
        <is>
          <t>net_interest_fy__20211231</t>
        </is>
      </c>
      <c r="B17" t="n">
        <v>16</v>
      </c>
      <c r="C17" t="inlineStr">
        <is>
          <t>Net interest</t>
        </is>
      </c>
      <c r="D17" t="inlineStr">
        <is>
          <t>Combine interest expense and interest income into the financing result.</t>
        </is>
      </c>
      <c r="E17" t="inlineStr">
        <is>
          <t>condensed.net_interest.2021-12-31</t>
        </is>
      </c>
      <c r="F17" t="inlineStr">
        <is>
          <t>accounting</t>
        </is>
      </c>
      <c r="G17" t="inlineStr">
        <is>
          <t>Condensed Financials</t>
        </is>
      </c>
      <c r="H17" t="inlineStr">
        <is>
          <t>B26</t>
        </is>
      </c>
      <c r="I17">
        <f>-(B23+B24)</f>
        <v/>
      </c>
      <c r="J17" t="n">
        <v>75</v>
      </c>
      <c r="K17" t="n">
        <v>0.01</v>
      </c>
      <c r="M17" t="inlineStr">
        <is>
          <t>Net interest consolidates interest expense and interest income.|Use the explicitly supplied Interest Expense and Interest Income lines with the model's sign convention.</t>
        </is>
      </c>
      <c r="O17" t="inlineStr">
        <is>
          <t>pending</t>
        </is>
      </c>
      <c r="P17" t="inlineStr">
        <is>
          <t>net_interest_fy</t>
        </is>
      </c>
      <c r="Q17" t="n">
        <v>4</v>
      </c>
      <c r="R17" t="n">
        <v>0</v>
      </c>
      <c r="S17" t="inlineStr">
        <is>
          <t>2021-12-31</t>
        </is>
      </c>
    </row>
    <row r="18">
      <c r="A18" t="inlineStr">
        <is>
          <t>net_interest_fy__20221231</t>
        </is>
      </c>
      <c r="B18" t="n">
        <v>17</v>
      </c>
      <c r="C18" t="inlineStr">
        <is>
          <t>Net interest</t>
        </is>
      </c>
      <c r="D18" t="inlineStr">
        <is>
          <t>Combine interest expense and interest income into the financing result.</t>
        </is>
      </c>
      <c r="E18" t="inlineStr">
        <is>
          <t>condensed.net_interest.2022-12-31</t>
        </is>
      </c>
      <c r="F18" t="inlineStr">
        <is>
          <t>accounting</t>
        </is>
      </c>
      <c r="G18" t="inlineStr">
        <is>
          <t>Condensed Financials</t>
        </is>
      </c>
      <c r="H18" t="inlineStr">
        <is>
          <t>C26</t>
        </is>
      </c>
      <c r="I18">
        <f>-(C23+C24)</f>
        <v/>
      </c>
      <c r="J18" t="n">
        <v>80</v>
      </c>
      <c r="K18" t="n">
        <v>0.01</v>
      </c>
      <c r="M18" t="inlineStr">
        <is>
          <t>Net interest consolidates interest expense and interest income.|Use the explicitly supplied Interest Expense and Interest Income lines with the model's sign convention.</t>
        </is>
      </c>
      <c r="O18" t="inlineStr">
        <is>
          <t>pending</t>
        </is>
      </c>
      <c r="P18" t="inlineStr">
        <is>
          <t>net_interest_fy</t>
        </is>
      </c>
      <c r="Q18" t="n">
        <v>4</v>
      </c>
      <c r="R18" t="n">
        <v>1</v>
      </c>
      <c r="S18" t="inlineStr">
        <is>
          <t>2022-12-31</t>
        </is>
      </c>
    </row>
    <row r="19">
      <c r="A19" t="inlineStr">
        <is>
          <t>net_interest_fy__20231231</t>
        </is>
      </c>
      <c r="B19" t="n">
        <v>18</v>
      </c>
      <c r="C19" t="inlineStr">
        <is>
          <t>Net interest</t>
        </is>
      </c>
      <c r="D19" t="inlineStr">
        <is>
          <t>Combine interest expense and interest income into the financing result.</t>
        </is>
      </c>
      <c r="E19" t="inlineStr">
        <is>
          <t>condensed.net_interest.2023-12-31</t>
        </is>
      </c>
      <c r="F19" t="inlineStr">
        <is>
          <t>accounting</t>
        </is>
      </c>
      <c r="G19" t="inlineStr">
        <is>
          <t>Condensed Financials</t>
        </is>
      </c>
      <c r="H19" t="inlineStr">
        <is>
          <t>D26</t>
        </is>
      </c>
      <c r="I19">
        <f>-(D23+D24)</f>
        <v/>
      </c>
      <c r="J19" t="n">
        <v>85</v>
      </c>
      <c r="K19" t="n">
        <v>0.01</v>
      </c>
      <c r="M19" t="inlineStr">
        <is>
          <t>Net interest consolidates interest expense and interest income.|Use the explicitly supplied Interest Expense and Interest Income lines with the model's sign convention.</t>
        </is>
      </c>
      <c r="O19" t="inlineStr">
        <is>
          <t>pending</t>
        </is>
      </c>
      <c r="P19" t="inlineStr">
        <is>
          <t>net_interest_fy</t>
        </is>
      </c>
      <c r="Q19" t="n">
        <v>4</v>
      </c>
      <c r="R19" t="n">
        <v>2</v>
      </c>
      <c r="S19" t="inlineStr">
        <is>
          <t>2023-12-31</t>
        </is>
      </c>
    </row>
    <row r="20">
      <c r="A20" t="inlineStr">
        <is>
          <t>net_interest_fy__20241231</t>
        </is>
      </c>
      <c r="B20" t="n">
        <v>19</v>
      </c>
      <c r="C20" t="inlineStr">
        <is>
          <t>Net interest</t>
        </is>
      </c>
      <c r="D20" t="inlineStr">
        <is>
          <t>Combine interest expense and interest income into the financing result.</t>
        </is>
      </c>
      <c r="E20" t="inlineStr">
        <is>
          <t>condensed.net_interest.2024-12-31</t>
        </is>
      </c>
      <c r="F20" t="inlineStr">
        <is>
          <t>accounting</t>
        </is>
      </c>
      <c r="G20" t="inlineStr">
        <is>
          <t>Condensed Financials</t>
        </is>
      </c>
      <c r="H20" t="inlineStr">
        <is>
          <t>E26</t>
        </is>
      </c>
      <c r="I20">
        <f>-(E23+E24)</f>
        <v/>
      </c>
      <c r="J20" t="n">
        <v>90</v>
      </c>
      <c r="K20" t="n">
        <v>0.01</v>
      </c>
      <c r="M20" t="inlineStr">
        <is>
          <t>Net interest consolidates interest expense and interest income.|Use the explicitly supplied Interest Expense and Interest Income lines with the model's sign convention.</t>
        </is>
      </c>
      <c r="O20" t="inlineStr">
        <is>
          <t>pending</t>
        </is>
      </c>
      <c r="P20" t="inlineStr">
        <is>
          <t>net_interest_fy</t>
        </is>
      </c>
      <c r="Q20" t="n">
        <v>4</v>
      </c>
      <c r="R20" t="n">
        <v>3</v>
      </c>
      <c r="S20" t="inlineStr">
        <is>
          <t>2024-12-31</t>
        </is>
      </c>
    </row>
    <row r="21">
      <c r="A21" t="inlineStr">
        <is>
          <t>net_interest_fy__20251231</t>
        </is>
      </c>
      <c r="B21" t="n">
        <v>20</v>
      </c>
      <c r="C21" t="inlineStr">
        <is>
          <t>Net interest</t>
        </is>
      </c>
      <c r="D21" t="inlineStr">
        <is>
          <t>Combine interest expense and interest income into the financing result.</t>
        </is>
      </c>
      <c r="E21" t="inlineStr">
        <is>
          <t>condensed.net_interest.2025-12-31</t>
        </is>
      </c>
      <c r="F21" t="inlineStr">
        <is>
          <t>accounting</t>
        </is>
      </c>
      <c r="G21" t="inlineStr">
        <is>
          <t>Condensed Financials</t>
        </is>
      </c>
      <c r="H21" t="inlineStr">
        <is>
          <t>F26</t>
        </is>
      </c>
      <c r="I21">
        <f>-(F23+F24)</f>
        <v/>
      </c>
      <c r="J21" t="n">
        <v>95</v>
      </c>
      <c r="K21" t="n">
        <v>0.01</v>
      </c>
      <c r="M21" t="inlineStr">
        <is>
          <t>Net interest consolidates interest expense and interest income.|Use the explicitly supplied Interest Expense and Interest Income lines with the model's sign convention.</t>
        </is>
      </c>
      <c r="O21" t="inlineStr">
        <is>
          <t>pending</t>
        </is>
      </c>
      <c r="P21" t="inlineStr">
        <is>
          <t>net_interest_fy</t>
        </is>
      </c>
      <c r="Q21" t="n">
        <v>4</v>
      </c>
      <c r="R21" t="n">
        <v>4</v>
      </c>
      <c r="S21" t="inlineStr">
        <is>
          <t>2025-12-31</t>
        </is>
      </c>
    </row>
    <row r="22">
      <c r="A22" t="inlineStr">
        <is>
          <t>net_interest_after_tax_fy__20211231</t>
        </is>
      </c>
      <c r="B22" t="n">
        <v>21</v>
      </c>
      <c r="C22" t="inlineStr">
        <is>
          <t>Net interest after tax</t>
        </is>
      </c>
      <c r="D22" t="inlineStr">
        <is>
          <t>Apply the effective tax rate once to net interest.</t>
        </is>
      </c>
      <c r="E22" t="inlineStr">
        <is>
          <t>condensed.net_interest_after_tax.2021-12-31</t>
        </is>
      </c>
      <c r="F22" t="inlineStr">
        <is>
          <t>accounting</t>
        </is>
      </c>
      <c r="G22" t="inlineStr">
        <is>
          <t>Condensed Financials</t>
        </is>
      </c>
      <c r="H22" t="inlineStr">
        <is>
          <t>B27</t>
        </is>
      </c>
      <c r="I22">
        <f>IF(B26=0,0,IF(ISNA(B25),NA(),B26*(1-B25)))</f>
        <v/>
      </c>
      <c r="J22" t="n">
        <v>62.25563909774436</v>
      </c>
      <c r="K22" t="n">
        <v>0.01</v>
      </c>
      <c r="L22" t="inlineStr">
        <is>
          <t>effective_tax_rate_fy__20211231,net_interest_fy__20211231</t>
        </is>
      </c>
      <c r="M22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2" t="inlineStr">
        <is>
          <t>pending</t>
        </is>
      </c>
      <c r="P22" t="inlineStr">
        <is>
          <t>net_interest_after_tax_fy</t>
        </is>
      </c>
      <c r="Q22" t="n">
        <v>5</v>
      </c>
      <c r="R22" t="n">
        <v>0</v>
      </c>
      <c r="S22" t="inlineStr">
        <is>
          <t>2021-12-31</t>
        </is>
      </c>
    </row>
    <row r="23">
      <c r="A23" t="inlineStr">
        <is>
          <t>net_interest_after_tax_fy__20221231</t>
        </is>
      </c>
      <c r="B23" t="n">
        <v>22</v>
      </c>
      <c r="C23" t="inlineStr">
        <is>
          <t>Net interest after tax</t>
        </is>
      </c>
      <c r="D23" t="inlineStr">
        <is>
          <t>Apply the effective tax rate once to net interest.</t>
        </is>
      </c>
      <c r="E23" t="inlineStr">
        <is>
          <t>condensed.net_interest_after_tax.2022-12-31</t>
        </is>
      </c>
      <c r="F23" t="inlineStr">
        <is>
          <t>accounting</t>
        </is>
      </c>
      <c r="G23" t="inlineStr">
        <is>
          <t>Condensed Financials</t>
        </is>
      </c>
      <c r="H23" t="inlineStr">
        <is>
          <t>C27</t>
        </is>
      </c>
      <c r="I23">
        <f>IF(C26=0,0,IF(ISNA(C25),NA(),C26*(1-C25)))</f>
        <v/>
      </c>
      <c r="J23" t="n">
        <v>66.39999999999999</v>
      </c>
      <c r="K23" t="n">
        <v>0.01</v>
      </c>
      <c r="L23" t="inlineStr">
        <is>
          <t>effective_tax_rate_fy__20221231,net_interest_fy__20221231</t>
        </is>
      </c>
      <c r="M23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3" t="inlineStr">
        <is>
          <t>pending</t>
        </is>
      </c>
      <c r="P23" t="inlineStr">
        <is>
          <t>net_interest_after_tax_fy</t>
        </is>
      </c>
      <c r="Q23" t="n">
        <v>5</v>
      </c>
      <c r="R23" t="n">
        <v>1</v>
      </c>
      <c r="S23" t="inlineStr">
        <is>
          <t>2022-12-31</t>
        </is>
      </c>
    </row>
    <row r="24">
      <c r="A24" t="inlineStr">
        <is>
          <t>net_interest_after_tax_fy__20231231</t>
        </is>
      </c>
      <c r="B24" t="n">
        <v>23</v>
      </c>
      <c r="C24" t="inlineStr">
        <is>
          <t>Net interest after tax</t>
        </is>
      </c>
      <c r="D24" t="inlineStr">
        <is>
          <t>Apply the effective tax rate once to net interest.</t>
        </is>
      </c>
      <c r="E24" t="inlineStr">
        <is>
          <t>condensed.net_interest_after_tax.2023-12-31</t>
        </is>
      </c>
      <c r="F24" t="inlineStr">
        <is>
          <t>accounting</t>
        </is>
      </c>
      <c r="G24" t="inlineStr">
        <is>
          <t>Condensed Financials</t>
        </is>
      </c>
      <c r="H24" t="inlineStr">
        <is>
          <t>D27</t>
        </is>
      </c>
      <c r="I24">
        <f>IF(D26=0,0,IF(ISNA(D25),NA(),D26*(1-D25)))</f>
        <v/>
      </c>
      <c r="J24" t="n">
        <v>70.5575221238938</v>
      </c>
      <c r="K24" t="n">
        <v>0.01</v>
      </c>
      <c r="L24" t="inlineStr">
        <is>
          <t>effective_tax_rate_fy__20231231,net_interest_fy__20231231</t>
        </is>
      </c>
      <c r="M24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4" t="inlineStr">
        <is>
          <t>pending</t>
        </is>
      </c>
      <c r="P24" t="inlineStr">
        <is>
          <t>net_interest_after_tax_fy</t>
        </is>
      </c>
      <c r="Q24" t="n">
        <v>5</v>
      </c>
      <c r="R24" t="n">
        <v>2</v>
      </c>
      <c r="S24" t="inlineStr">
        <is>
          <t>2023-12-31</t>
        </is>
      </c>
    </row>
    <row r="25">
      <c r="A25" t="inlineStr">
        <is>
          <t>net_interest_after_tax_fy__20241231</t>
        </is>
      </c>
      <c r="B25" t="n">
        <v>24</v>
      </c>
      <c r="C25" t="inlineStr">
        <is>
          <t>Net interest after tax</t>
        </is>
      </c>
      <c r="D25" t="inlineStr">
        <is>
          <t>Apply the effective tax rate once to net interest.</t>
        </is>
      </c>
      <c r="E25" t="inlineStr">
        <is>
          <t>condensed.net_interest_after_tax.2024-12-31</t>
        </is>
      </c>
      <c r="F25" t="inlineStr">
        <is>
          <t>accounting</t>
        </is>
      </c>
      <c r="G25" t="inlineStr">
        <is>
          <t>Condensed Financials</t>
        </is>
      </c>
      <c r="H25" t="inlineStr">
        <is>
          <t>E27</t>
        </is>
      </c>
      <c r="I25">
        <f>IF(E26=0,0,IF(ISNA(E25),NA(),E26*(1-E25)))</f>
        <v/>
      </c>
      <c r="J25" t="n">
        <v>74.70615034168564</v>
      </c>
      <c r="K25" t="n">
        <v>0.01</v>
      </c>
      <c r="L25" t="inlineStr">
        <is>
          <t>effective_tax_rate_fy__20241231,net_interest_fy__20241231</t>
        </is>
      </c>
      <c r="M25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5" t="inlineStr">
        <is>
          <t>pending</t>
        </is>
      </c>
      <c r="P25" t="inlineStr">
        <is>
          <t>net_interest_after_tax_fy</t>
        </is>
      </c>
      <c r="Q25" t="n">
        <v>5</v>
      </c>
      <c r="R25" t="n">
        <v>3</v>
      </c>
      <c r="S25" t="inlineStr">
        <is>
          <t>2024-12-31</t>
        </is>
      </c>
    </row>
    <row r="26">
      <c r="A26" t="inlineStr">
        <is>
          <t>net_interest_after_tax_fy__20251231</t>
        </is>
      </c>
      <c r="B26" t="n">
        <v>25</v>
      </c>
      <c r="C26" t="inlineStr">
        <is>
          <t>Net interest after tax</t>
        </is>
      </c>
      <c r="D26" t="inlineStr">
        <is>
          <t>Apply the effective tax rate once to net interest.</t>
        </is>
      </c>
      <c r="E26" t="inlineStr">
        <is>
          <t>condensed.net_interest_after_tax.2025-12-31</t>
        </is>
      </c>
      <c r="F26" t="inlineStr">
        <is>
          <t>accounting</t>
        </is>
      </c>
      <c r="G26" t="inlineStr">
        <is>
          <t>Condensed Financials</t>
        </is>
      </c>
      <c r="H26" t="inlineStr">
        <is>
          <t>F27</t>
        </is>
      </c>
      <c r="I26">
        <f>IF(F26=0,0,IF(ISNA(F25),NA(),F26*(1-F25)))</f>
        <v/>
      </c>
      <c r="J26" t="n">
        <v>78.86646279306829</v>
      </c>
      <c r="K26" t="n">
        <v>0.01</v>
      </c>
      <c r="L26" t="inlineStr">
        <is>
          <t>effective_tax_rate_fy__20251231,net_interest_fy__20251231</t>
        </is>
      </c>
      <c r="M26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6" t="inlineStr">
        <is>
          <t>pending</t>
        </is>
      </c>
      <c r="P26" t="inlineStr">
        <is>
          <t>net_interest_after_tax_fy</t>
        </is>
      </c>
      <c r="Q26" t="n">
        <v>5</v>
      </c>
      <c r="R26" t="n">
        <v>4</v>
      </c>
      <c r="S26" t="inlineStr">
        <is>
          <t>2025-12-31</t>
        </is>
      </c>
    </row>
    <row r="27">
      <c r="A27" t="inlineStr">
        <is>
          <t>nopat_fy__20211231</t>
        </is>
      </c>
      <c r="B27" t="n">
        <v>26</v>
      </c>
      <c r="C27" t="inlineStr">
        <is>
          <t>NOPAT</t>
        </is>
      </c>
      <c r="D27" t="inlineStr">
        <is>
          <t>Reformulate net income to operating profit after tax.</t>
        </is>
      </c>
      <c r="E27" t="inlineStr">
        <is>
          <t>condensed.nopat.2021-12-31</t>
        </is>
      </c>
      <c r="F27" t="inlineStr">
        <is>
          <t>accounting</t>
        </is>
      </c>
      <c r="G27" t="inlineStr">
        <is>
          <t>Condensed Financials</t>
        </is>
      </c>
      <c r="H27" t="inlineStr">
        <is>
          <t>B28</t>
        </is>
      </c>
      <c r="I27">
        <f>B20+B27</f>
        <v/>
      </c>
      <c r="J27" t="n">
        <v>2822.255639097744</v>
      </c>
      <c r="K27" t="n">
        <v>0.01</v>
      </c>
      <c r="L27" t="inlineStr">
        <is>
          <t>net_income_link__20211231,net_interest_after_tax_fy__20211231</t>
        </is>
      </c>
      <c r="M27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7" t="inlineStr">
        <is>
          <t>pending</t>
        </is>
      </c>
      <c r="P27" t="inlineStr">
        <is>
          <t>nopat_fy</t>
        </is>
      </c>
      <c r="Q27" t="n">
        <v>6</v>
      </c>
      <c r="R27" t="n">
        <v>0</v>
      </c>
      <c r="S27" t="inlineStr">
        <is>
          <t>2021-12-31</t>
        </is>
      </c>
    </row>
    <row r="28">
      <c r="A28" t="inlineStr">
        <is>
          <t>nopat_fy__20221231</t>
        </is>
      </c>
      <c r="B28" t="n">
        <v>27</v>
      </c>
      <c r="C28" t="inlineStr">
        <is>
          <t>NOPAT</t>
        </is>
      </c>
      <c r="D28" t="inlineStr">
        <is>
          <t>Reformulate net income to operating profit after tax.</t>
        </is>
      </c>
      <c r="E28" t="inlineStr">
        <is>
          <t>condensed.nopat.2022-12-31</t>
        </is>
      </c>
      <c r="F28" t="inlineStr">
        <is>
          <t>accounting</t>
        </is>
      </c>
      <c r="G28" t="inlineStr">
        <is>
          <t>Condensed Financials</t>
        </is>
      </c>
      <c r="H28" t="inlineStr">
        <is>
          <t>C28</t>
        </is>
      </c>
      <c r="I28">
        <f>C20+C27</f>
        <v/>
      </c>
      <c r="J28" t="n">
        <v>3054.4</v>
      </c>
      <c r="K28" t="n">
        <v>0.01</v>
      </c>
      <c r="L28" t="inlineStr">
        <is>
          <t>net_income_link__20221231,net_interest_after_tax_fy__20221231</t>
        </is>
      </c>
      <c r="M28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8" t="inlineStr">
        <is>
          <t>pending</t>
        </is>
      </c>
      <c r="P28" t="inlineStr">
        <is>
          <t>nopat_fy</t>
        </is>
      </c>
      <c r="Q28" t="n">
        <v>6</v>
      </c>
      <c r="R28" t="n">
        <v>1</v>
      </c>
      <c r="S28" t="inlineStr">
        <is>
          <t>2022-12-31</t>
        </is>
      </c>
    </row>
    <row r="29">
      <c r="A29" t="inlineStr">
        <is>
          <t>nopat_fy__20231231</t>
        </is>
      </c>
      <c r="B29" t="n">
        <v>28</v>
      </c>
      <c r="C29" t="inlineStr">
        <is>
          <t>NOPAT</t>
        </is>
      </c>
      <c r="D29" t="inlineStr">
        <is>
          <t>Reformulate net income to operating profit after tax.</t>
        </is>
      </c>
      <c r="E29" t="inlineStr">
        <is>
          <t>condensed.nopat.2023-12-31</t>
        </is>
      </c>
      <c r="F29" t="inlineStr">
        <is>
          <t>accounting</t>
        </is>
      </c>
      <c r="G29" t="inlineStr">
        <is>
          <t>Condensed Financials</t>
        </is>
      </c>
      <c r="H29" t="inlineStr">
        <is>
          <t>D28</t>
        </is>
      </c>
      <c r="I29">
        <f>D20+D27</f>
        <v/>
      </c>
      <c r="J29" t="n">
        <v>3353.557522123894</v>
      </c>
      <c r="K29" t="n">
        <v>0.01</v>
      </c>
      <c r="L29" t="inlineStr">
        <is>
          <t>net_income_link__20231231,net_interest_after_tax_fy__20231231</t>
        </is>
      </c>
      <c r="M29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9" t="inlineStr">
        <is>
          <t>pending</t>
        </is>
      </c>
      <c r="P29" t="inlineStr">
        <is>
          <t>nopat_fy</t>
        </is>
      </c>
      <c r="Q29" t="n">
        <v>6</v>
      </c>
      <c r="R29" t="n">
        <v>2</v>
      </c>
      <c r="S29" t="inlineStr">
        <is>
          <t>2023-12-31</t>
        </is>
      </c>
    </row>
    <row r="30">
      <c r="A30" t="inlineStr">
        <is>
          <t>nopat_fy__20241231</t>
        </is>
      </c>
      <c r="B30" t="n">
        <v>29</v>
      </c>
      <c r="C30" t="inlineStr">
        <is>
          <t>NOPAT</t>
        </is>
      </c>
      <c r="D30" t="inlineStr">
        <is>
          <t>Reformulate net income to operating profit after tax.</t>
        </is>
      </c>
      <c r="E30" t="inlineStr">
        <is>
          <t>condensed.nopat.2024-12-31</t>
        </is>
      </c>
      <c r="F30" t="inlineStr">
        <is>
          <t>accounting</t>
        </is>
      </c>
      <c r="G30" t="inlineStr">
        <is>
          <t>Condensed Financials</t>
        </is>
      </c>
      <c r="H30" t="inlineStr">
        <is>
          <t>E28</t>
        </is>
      </c>
      <c r="I30">
        <f>E20+E27</f>
        <v/>
      </c>
      <c r="J30" t="n">
        <v>3718.706150341686</v>
      </c>
      <c r="K30" t="n">
        <v>0.01</v>
      </c>
      <c r="L30" t="inlineStr">
        <is>
          <t>net_income_link__20241231,net_interest_after_tax_fy__20241231</t>
        </is>
      </c>
      <c r="M30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30" t="inlineStr">
        <is>
          <t>pending</t>
        </is>
      </c>
      <c r="P30" t="inlineStr">
        <is>
          <t>nopat_fy</t>
        </is>
      </c>
      <c r="Q30" t="n">
        <v>6</v>
      </c>
      <c r="R30" t="n">
        <v>3</v>
      </c>
      <c r="S30" t="inlineStr">
        <is>
          <t>2024-12-31</t>
        </is>
      </c>
    </row>
    <row r="31">
      <c r="A31" t="inlineStr">
        <is>
          <t>nopat_fy__20251231</t>
        </is>
      </c>
      <c r="B31" t="n">
        <v>30</v>
      </c>
      <c r="C31" t="inlineStr">
        <is>
          <t>NOPAT</t>
        </is>
      </c>
      <c r="D31" t="inlineStr">
        <is>
          <t>Reformulate net income to operating profit after tax.</t>
        </is>
      </c>
      <c r="E31" t="inlineStr">
        <is>
          <t>condensed.nopat.2025-12-31</t>
        </is>
      </c>
      <c r="F31" t="inlineStr">
        <is>
          <t>accounting</t>
        </is>
      </c>
      <c r="G31" t="inlineStr">
        <is>
          <t>Condensed Financials</t>
        </is>
      </c>
      <c r="H31" t="inlineStr">
        <is>
          <t>F28</t>
        </is>
      </c>
      <c r="I31">
        <f>F20+F27</f>
        <v/>
      </c>
      <c r="J31" t="n">
        <v>4150.866462793068</v>
      </c>
      <c r="K31" t="n">
        <v>0.01</v>
      </c>
      <c r="L31" t="inlineStr">
        <is>
          <t>net_income_link__20251231,net_interest_after_tax_fy__20251231</t>
        </is>
      </c>
      <c r="M31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31" t="inlineStr">
        <is>
          <t>pending</t>
        </is>
      </c>
      <c r="P31" t="inlineStr">
        <is>
          <t>nopat_fy</t>
        </is>
      </c>
      <c r="Q31" t="n">
        <v>6</v>
      </c>
      <c r="R31" t="n">
        <v>4</v>
      </c>
      <c r="S31" t="inlineStr">
        <is>
          <t>2025-12-31</t>
        </is>
      </c>
    </row>
    <row r="32">
      <c r="A32" t="inlineStr">
        <is>
          <t>owca_agg__20211231</t>
        </is>
      </c>
      <c r="B32" t="n">
        <v>31</v>
      </c>
      <c r="C32" t="inlineStr">
        <is>
          <t>Operating working capital assets</t>
        </is>
      </c>
      <c r="D32" t="inlineStr">
        <is>
          <t>Aggregate the classified balance-sheet detail with the classification column.</t>
        </is>
      </c>
      <c r="E32" t="inlineStr">
        <is>
          <t>condensed.owca.2021-12-31</t>
        </is>
      </c>
      <c r="F32" t="inlineStr">
        <is>
          <t>accounting</t>
        </is>
      </c>
      <c r="G32" t="inlineStr">
        <is>
          <t>Condensed Financials</t>
        </is>
      </c>
      <c r="H32" t="inlineStr">
        <is>
          <t>B31</t>
        </is>
      </c>
      <c r="I32">
        <f>SUMIF($B$6:$B$16,"Operating Working Capital Asset",C$6:C$16)</f>
        <v/>
      </c>
      <c r="J32" t="n">
        <v>1530</v>
      </c>
      <c r="K32" t="n">
        <v>0.01</v>
      </c>
      <c r="M32" t="inlineStr">
        <is>
          <t>Use SUMIF over the classification column for Operating Working Capital Asset.</t>
        </is>
      </c>
      <c r="O32" t="inlineStr">
        <is>
          <t>pending</t>
        </is>
      </c>
      <c r="P32" t="inlineStr">
        <is>
          <t>owca_agg</t>
        </is>
      </c>
      <c r="Q32" t="n">
        <v>7</v>
      </c>
      <c r="R32" t="n">
        <v>0</v>
      </c>
      <c r="S32" t="inlineStr">
        <is>
          <t>2021-12-31</t>
        </is>
      </c>
    </row>
    <row r="33">
      <c r="A33" t="inlineStr">
        <is>
          <t>owca_agg__20221231</t>
        </is>
      </c>
      <c r="B33" t="n">
        <v>32</v>
      </c>
      <c r="C33" t="inlineStr">
        <is>
          <t>Operating working capital assets</t>
        </is>
      </c>
      <c r="D33" t="inlineStr">
        <is>
          <t>Aggregate the classified balance-sheet detail with the classification column.</t>
        </is>
      </c>
      <c r="E33" t="inlineStr">
        <is>
          <t>condensed.owca.2022-12-31</t>
        </is>
      </c>
      <c r="F33" t="inlineStr">
        <is>
          <t>accounting</t>
        </is>
      </c>
      <c r="G33" t="inlineStr">
        <is>
          <t>Condensed Financials</t>
        </is>
      </c>
      <c r="H33" t="inlineStr">
        <is>
          <t>C31</t>
        </is>
      </c>
      <c r="I33">
        <f>SUMIF($B$6:$B$16,"Operating Working Capital Asset",D$6:D$16)</f>
        <v/>
      </c>
      <c r="J33" t="n">
        <v>1656</v>
      </c>
      <c r="K33" t="n">
        <v>0.01</v>
      </c>
      <c r="M33" t="inlineStr">
        <is>
          <t>Use SUMIF over the classification column for Operating Working Capital Asset.</t>
        </is>
      </c>
      <c r="O33" t="inlineStr">
        <is>
          <t>pending</t>
        </is>
      </c>
      <c r="P33" t="inlineStr">
        <is>
          <t>owca_agg</t>
        </is>
      </c>
      <c r="Q33" t="n">
        <v>7</v>
      </c>
      <c r="R33" t="n">
        <v>1</v>
      </c>
      <c r="S33" t="inlineStr">
        <is>
          <t>2022-12-31</t>
        </is>
      </c>
    </row>
    <row r="34">
      <c r="A34" t="inlineStr">
        <is>
          <t>owca_agg__20231231</t>
        </is>
      </c>
      <c r="B34" t="n">
        <v>33</v>
      </c>
      <c r="C34" t="inlineStr">
        <is>
          <t>Operating working capital assets</t>
        </is>
      </c>
      <c r="D34" t="inlineStr">
        <is>
          <t>Aggregate the classified balance-sheet detail with the classification column.</t>
        </is>
      </c>
      <c r="E34" t="inlineStr">
        <is>
          <t>condensed.owca.2023-12-31</t>
        </is>
      </c>
      <c r="F34" t="inlineStr">
        <is>
          <t>accounting</t>
        </is>
      </c>
      <c r="G34" t="inlineStr">
        <is>
          <t>Condensed Financials</t>
        </is>
      </c>
      <c r="H34" t="inlineStr">
        <is>
          <t>D31</t>
        </is>
      </c>
      <c r="I34">
        <f>SUMIF($B$6:$B$16,"Operating Working Capital Asset",E$6:E$16)</f>
        <v/>
      </c>
      <c r="J34" t="n">
        <v>1818</v>
      </c>
      <c r="K34" t="n">
        <v>0.01</v>
      </c>
      <c r="M34" t="inlineStr">
        <is>
          <t>Use SUMIF over the classification column for Operating Working Capital Asset.</t>
        </is>
      </c>
      <c r="O34" t="inlineStr">
        <is>
          <t>pending</t>
        </is>
      </c>
      <c r="P34" t="inlineStr">
        <is>
          <t>owca_agg</t>
        </is>
      </c>
      <c r="Q34" t="n">
        <v>7</v>
      </c>
      <c r="R34" t="n">
        <v>2</v>
      </c>
      <c r="S34" t="inlineStr">
        <is>
          <t>2023-12-31</t>
        </is>
      </c>
    </row>
    <row r="35">
      <c r="A35" t="inlineStr">
        <is>
          <t>owca_agg__20241231</t>
        </is>
      </c>
      <c r="B35" t="n">
        <v>34</v>
      </c>
      <c r="C35" t="inlineStr">
        <is>
          <t>Operating working capital assets</t>
        </is>
      </c>
      <c r="D35" t="inlineStr">
        <is>
          <t>Aggregate the classified balance-sheet detail with the classification column.</t>
        </is>
      </c>
      <c r="E35" t="inlineStr">
        <is>
          <t>condensed.owca.2024-12-31</t>
        </is>
      </c>
      <c r="F35" t="inlineStr">
        <is>
          <t>accounting</t>
        </is>
      </c>
      <c r="G35" t="inlineStr">
        <is>
          <t>Condensed Financials</t>
        </is>
      </c>
      <c r="H35" t="inlineStr">
        <is>
          <t>E31</t>
        </is>
      </c>
      <c r="I35">
        <f>SUMIF($B$6:$B$16,"Operating Working Capital Asset",F$6:F$16)</f>
        <v/>
      </c>
      <c r="J35" t="n">
        <v>2016</v>
      </c>
      <c r="K35" t="n">
        <v>0.01</v>
      </c>
      <c r="M35" t="inlineStr">
        <is>
          <t>Use SUMIF over the classification column for Operating Working Capital Asset.</t>
        </is>
      </c>
      <c r="O35" t="inlineStr">
        <is>
          <t>pending</t>
        </is>
      </c>
      <c r="P35" t="inlineStr">
        <is>
          <t>owca_agg</t>
        </is>
      </c>
      <c r="Q35" t="n">
        <v>7</v>
      </c>
      <c r="R35" t="n">
        <v>3</v>
      </c>
      <c r="S35" t="inlineStr">
        <is>
          <t>2024-12-31</t>
        </is>
      </c>
    </row>
    <row r="36">
      <c r="A36" t="inlineStr">
        <is>
          <t>owca_agg__20251231</t>
        </is>
      </c>
      <c r="B36" t="n">
        <v>35</v>
      </c>
      <c r="C36" t="inlineStr">
        <is>
          <t>Operating working capital assets</t>
        </is>
      </c>
      <c r="D36" t="inlineStr">
        <is>
          <t>Aggregate the classified balance-sheet detail with the classification column.</t>
        </is>
      </c>
      <c r="E36" t="inlineStr">
        <is>
          <t>condensed.owca.2025-12-31</t>
        </is>
      </c>
      <c r="F36" t="inlineStr">
        <is>
          <t>accounting</t>
        </is>
      </c>
      <c r="G36" t="inlineStr">
        <is>
          <t>Condensed Financials</t>
        </is>
      </c>
      <c r="H36" t="inlineStr">
        <is>
          <t>F31</t>
        </is>
      </c>
      <c r="I36">
        <f>SUMIF($B$6:$B$16,"Operating Working Capital Asset",G$6:G$16)</f>
        <v/>
      </c>
      <c r="J36" t="n">
        <v>2250</v>
      </c>
      <c r="K36" t="n">
        <v>0.01</v>
      </c>
      <c r="M36" t="inlineStr">
        <is>
          <t>Use SUMIF over the classification column for Operating Working Capital Asset.</t>
        </is>
      </c>
      <c r="O36" t="inlineStr">
        <is>
          <t>pending</t>
        </is>
      </c>
      <c r="P36" t="inlineStr">
        <is>
          <t>owca_agg</t>
        </is>
      </c>
      <c r="Q36" t="n">
        <v>7</v>
      </c>
      <c r="R36" t="n">
        <v>4</v>
      </c>
      <c r="S36" t="inlineStr">
        <is>
          <t>2025-12-31</t>
        </is>
      </c>
    </row>
    <row r="37">
      <c r="A37" t="inlineStr">
        <is>
          <t>owcl_agg__20211231</t>
        </is>
      </c>
      <c r="B37" t="n">
        <v>36</v>
      </c>
      <c r="C37" t="inlineStr">
        <is>
          <t>Operating working capital liabilities</t>
        </is>
      </c>
      <c r="D37" t="inlineStr">
        <is>
          <t>Aggregate the classified balance-sheet detail with the classification column.</t>
        </is>
      </c>
      <c r="E37" t="inlineStr">
        <is>
          <t>condensed.owcl.2021-12-31</t>
        </is>
      </c>
      <c r="F37" t="inlineStr">
        <is>
          <t>accounting</t>
        </is>
      </c>
      <c r="G37" t="inlineStr">
        <is>
          <t>Condensed Financials</t>
        </is>
      </c>
      <c r="H37" t="inlineStr">
        <is>
          <t>B32</t>
        </is>
      </c>
      <c r="I37">
        <f>SUMIF($B$6:$B$16,"Operating Working Capital Liability",C$6:C$16)</f>
        <v/>
      </c>
      <c r="J37" t="n">
        <v>595</v>
      </c>
      <c r="K37" t="n">
        <v>0.01</v>
      </c>
      <c r="M37" t="inlineStr">
        <is>
          <t>Use SUMIF over the classification column for Operating Working Capital Liability.</t>
        </is>
      </c>
      <c r="O37" t="inlineStr">
        <is>
          <t>pending</t>
        </is>
      </c>
      <c r="P37" t="inlineStr">
        <is>
          <t>owcl_agg</t>
        </is>
      </c>
      <c r="Q37" t="n">
        <v>8</v>
      </c>
      <c r="R37" t="n">
        <v>0</v>
      </c>
      <c r="S37" t="inlineStr">
        <is>
          <t>2021-12-31</t>
        </is>
      </c>
    </row>
    <row r="38">
      <c r="A38" t="inlineStr">
        <is>
          <t>owcl_agg__20221231</t>
        </is>
      </c>
      <c r="B38" t="n">
        <v>37</v>
      </c>
      <c r="C38" t="inlineStr">
        <is>
          <t>Operating working capital liabilities</t>
        </is>
      </c>
      <c r="D38" t="inlineStr">
        <is>
          <t>Aggregate the classified balance-sheet detail with the classification column.</t>
        </is>
      </c>
      <c r="E38" t="inlineStr">
        <is>
          <t>condensed.owcl.2022-12-31</t>
        </is>
      </c>
      <c r="F38" t="inlineStr">
        <is>
          <t>accounting</t>
        </is>
      </c>
      <c r="G38" t="inlineStr">
        <is>
          <t>Condensed Financials</t>
        </is>
      </c>
      <c r="H38" t="inlineStr">
        <is>
          <t>C32</t>
        </is>
      </c>
      <c r="I38">
        <f>SUMIF($B$6:$B$16,"Operating Working Capital Liability",D$6:D$16)</f>
        <v/>
      </c>
      <c r="J38" t="n">
        <v>644</v>
      </c>
      <c r="K38" t="n">
        <v>0.01</v>
      </c>
      <c r="M38" t="inlineStr">
        <is>
          <t>Use SUMIF over the classification column for Operating Working Capital Liability.</t>
        </is>
      </c>
      <c r="O38" t="inlineStr">
        <is>
          <t>pending</t>
        </is>
      </c>
      <c r="P38" t="inlineStr">
        <is>
          <t>owcl_agg</t>
        </is>
      </c>
      <c r="Q38" t="n">
        <v>8</v>
      </c>
      <c r="R38" t="n">
        <v>1</v>
      </c>
      <c r="S38" t="inlineStr">
        <is>
          <t>2022-12-31</t>
        </is>
      </c>
    </row>
    <row r="39">
      <c r="A39" t="inlineStr">
        <is>
          <t>owcl_agg__20231231</t>
        </is>
      </c>
      <c r="B39" t="n">
        <v>38</v>
      </c>
      <c r="C39" t="inlineStr">
        <is>
          <t>Operating working capital liabilities</t>
        </is>
      </c>
      <c r="D39" t="inlineStr">
        <is>
          <t>Aggregate the classified balance-sheet detail with the classification column.</t>
        </is>
      </c>
      <c r="E39" t="inlineStr">
        <is>
          <t>condensed.owcl.2023-12-31</t>
        </is>
      </c>
      <c r="F39" t="inlineStr">
        <is>
          <t>accounting</t>
        </is>
      </c>
      <c r="G39" t="inlineStr">
        <is>
          <t>Condensed Financials</t>
        </is>
      </c>
      <c r="H39" t="inlineStr">
        <is>
          <t>D32</t>
        </is>
      </c>
      <c r="I39">
        <f>SUMIF($B$6:$B$16,"Operating Working Capital Liability",E$6:E$16)</f>
        <v/>
      </c>
      <c r="J39" t="n">
        <v>707</v>
      </c>
      <c r="K39" t="n">
        <v>0.01</v>
      </c>
      <c r="M39" t="inlineStr">
        <is>
          <t>Use SUMIF over the classification column for Operating Working Capital Liability.</t>
        </is>
      </c>
      <c r="O39" t="inlineStr">
        <is>
          <t>pending</t>
        </is>
      </c>
      <c r="P39" t="inlineStr">
        <is>
          <t>owcl_agg</t>
        </is>
      </c>
      <c r="Q39" t="n">
        <v>8</v>
      </c>
      <c r="R39" t="n">
        <v>2</v>
      </c>
      <c r="S39" t="inlineStr">
        <is>
          <t>2023-12-31</t>
        </is>
      </c>
    </row>
    <row r="40">
      <c r="A40" t="inlineStr">
        <is>
          <t>owcl_agg__20241231</t>
        </is>
      </c>
      <c r="B40" t="n">
        <v>39</v>
      </c>
      <c r="C40" t="inlineStr">
        <is>
          <t>Operating working capital liabilities</t>
        </is>
      </c>
      <c r="D40" t="inlineStr">
        <is>
          <t>Aggregate the classified balance-sheet detail with the classification column.</t>
        </is>
      </c>
      <c r="E40" t="inlineStr">
        <is>
          <t>condensed.owcl.2024-12-31</t>
        </is>
      </c>
      <c r="F40" t="inlineStr">
        <is>
          <t>accounting</t>
        </is>
      </c>
      <c r="G40" t="inlineStr">
        <is>
          <t>Condensed Financials</t>
        </is>
      </c>
      <c r="H40" t="inlineStr">
        <is>
          <t>E32</t>
        </is>
      </c>
      <c r="I40">
        <f>SUMIF($B$6:$B$16,"Operating Working Capital Liability",F$6:F$16)</f>
        <v/>
      </c>
      <c r="J40" t="n">
        <v>784</v>
      </c>
      <c r="K40" t="n">
        <v>0.01</v>
      </c>
      <c r="M40" t="inlineStr">
        <is>
          <t>Use SUMIF over the classification column for Operating Working Capital Liability.</t>
        </is>
      </c>
      <c r="O40" t="inlineStr">
        <is>
          <t>pending</t>
        </is>
      </c>
      <c r="P40" t="inlineStr">
        <is>
          <t>owcl_agg</t>
        </is>
      </c>
      <c r="Q40" t="n">
        <v>8</v>
      </c>
      <c r="R40" t="n">
        <v>3</v>
      </c>
      <c r="S40" t="inlineStr">
        <is>
          <t>2024-12-31</t>
        </is>
      </c>
    </row>
    <row r="41">
      <c r="A41" t="inlineStr">
        <is>
          <t>owcl_agg__20251231</t>
        </is>
      </c>
      <c r="B41" t="n">
        <v>40</v>
      </c>
      <c r="C41" t="inlineStr">
        <is>
          <t>Operating working capital liabilities</t>
        </is>
      </c>
      <c r="D41" t="inlineStr">
        <is>
          <t>Aggregate the classified balance-sheet detail with the classification column.</t>
        </is>
      </c>
      <c r="E41" t="inlineStr">
        <is>
          <t>condensed.owcl.2025-12-31</t>
        </is>
      </c>
      <c r="F41" t="inlineStr">
        <is>
          <t>accounting</t>
        </is>
      </c>
      <c r="G41" t="inlineStr">
        <is>
          <t>Condensed Financials</t>
        </is>
      </c>
      <c r="H41" t="inlineStr">
        <is>
          <t>F32</t>
        </is>
      </c>
      <c r="I41">
        <f>SUMIF($B$6:$B$16,"Operating Working Capital Liability",G$6:G$16)</f>
        <v/>
      </c>
      <c r="J41" t="n">
        <v>875</v>
      </c>
      <c r="K41" t="n">
        <v>0.01</v>
      </c>
      <c r="M41" t="inlineStr">
        <is>
          <t>Use SUMIF over the classification column for Operating Working Capital Liability.</t>
        </is>
      </c>
      <c r="O41" t="inlineStr">
        <is>
          <t>pending</t>
        </is>
      </c>
      <c r="P41" t="inlineStr">
        <is>
          <t>owcl_agg</t>
        </is>
      </c>
      <c r="Q41" t="n">
        <v>8</v>
      </c>
      <c r="R41" t="n">
        <v>4</v>
      </c>
      <c r="S41" t="inlineStr">
        <is>
          <t>2025-12-31</t>
        </is>
      </c>
    </row>
    <row r="42">
      <c r="A42" t="inlineStr">
        <is>
          <t>nowc_agg__20211231</t>
        </is>
      </c>
      <c r="B42" t="n">
        <v>41</v>
      </c>
      <c r="C42" t="inlineStr">
        <is>
          <t>Net Operating Working Capital (NOWC)</t>
        </is>
      </c>
      <c r="D42" t="inlineStr">
        <is>
          <t>Sum operating WC assets minus operating WC liabilities.</t>
        </is>
      </c>
      <c r="E42" t="inlineStr">
        <is>
          <t>condensed.nowc.2021-12-31</t>
        </is>
      </c>
      <c r="F42" t="inlineStr">
        <is>
          <t>accounting</t>
        </is>
      </c>
      <c r="G42" t="inlineStr">
        <is>
          <t>Condensed Financials</t>
        </is>
      </c>
      <c r="H42" t="inlineStr">
        <is>
          <t>B33</t>
        </is>
      </c>
      <c r="I42">
        <f>B31-B32</f>
        <v/>
      </c>
      <c r="J42" t="n">
        <v>935</v>
      </c>
      <c r="K42" t="n">
        <v>0.01</v>
      </c>
      <c r="L42" t="inlineStr">
        <is>
          <t>owca_agg__20211231,owcl_agg__20211231</t>
        </is>
      </c>
      <c r="M42" t="inlineStr">
        <is>
          <t>Use SUMIF over the classification column for 'Operating Working Capital Asset'.|Subtract SUMIF for 'Operating Working Capital Liability'.|NOWC = Op. WC Assets − Op. WC Liabilities.</t>
        </is>
      </c>
      <c r="O42" t="inlineStr">
        <is>
          <t>pending</t>
        </is>
      </c>
      <c r="P42" t="inlineStr">
        <is>
          <t>nowc_agg</t>
        </is>
      </c>
      <c r="Q42" t="n">
        <v>9</v>
      </c>
      <c r="R42" t="n">
        <v>0</v>
      </c>
      <c r="S42" t="inlineStr">
        <is>
          <t>2021-12-31</t>
        </is>
      </c>
    </row>
    <row r="43">
      <c r="A43" t="inlineStr">
        <is>
          <t>nowc_agg__20221231</t>
        </is>
      </c>
      <c r="B43" t="n">
        <v>42</v>
      </c>
      <c r="C43" t="inlineStr">
        <is>
          <t>Net Operating Working Capital (NOWC)</t>
        </is>
      </c>
      <c r="D43" t="inlineStr">
        <is>
          <t>Sum operating WC assets minus operating WC liabilities.</t>
        </is>
      </c>
      <c r="E43" t="inlineStr">
        <is>
          <t>condensed.nowc.2022-12-31</t>
        </is>
      </c>
      <c r="F43" t="inlineStr">
        <is>
          <t>accounting</t>
        </is>
      </c>
      <c r="G43" t="inlineStr">
        <is>
          <t>Condensed Financials</t>
        </is>
      </c>
      <c r="H43" t="inlineStr">
        <is>
          <t>C33</t>
        </is>
      </c>
      <c r="I43">
        <f>C31-C32</f>
        <v/>
      </c>
      <c r="J43" t="n">
        <v>1012</v>
      </c>
      <c r="K43" t="n">
        <v>0.01</v>
      </c>
      <c r="L43" t="inlineStr">
        <is>
          <t>owca_agg__20221231,owcl_agg__20221231</t>
        </is>
      </c>
      <c r="M43" t="inlineStr">
        <is>
          <t>Use SUMIF over the classification column for 'Operating Working Capital Asset'.|Subtract SUMIF for 'Operating Working Capital Liability'.|NOWC = Op. WC Assets − Op. WC Liabilities.</t>
        </is>
      </c>
      <c r="O43" t="inlineStr">
        <is>
          <t>pending</t>
        </is>
      </c>
      <c r="P43" t="inlineStr">
        <is>
          <t>nowc_agg</t>
        </is>
      </c>
      <c r="Q43" t="n">
        <v>9</v>
      </c>
      <c r="R43" t="n">
        <v>1</v>
      </c>
      <c r="S43" t="inlineStr">
        <is>
          <t>2022-12-31</t>
        </is>
      </c>
    </row>
    <row r="44">
      <c r="A44" t="inlineStr">
        <is>
          <t>nowc_agg__20231231</t>
        </is>
      </c>
      <c r="B44" t="n">
        <v>43</v>
      </c>
      <c r="C44" t="inlineStr">
        <is>
          <t>Net Operating Working Capital (NOWC)</t>
        </is>
      </c>
      <c r="D44" t="inlineStr">
        <is>
          <t>Sum operating WC assets minus operating WC liabilities.</t>
        </is>
      </c>
      <c r="E44" t="inlineStr">
        <is>
          <t>condensed.nowc.2023-12-31</t>
        </is>
      </c>
      <c r="F44" t="inlineStr">
        <is>
          <t>accounting</t>
        </is>
      </c>
      <c r="G44" t="inlineStr">
        <is>
          <t>Condensed Financials</t>
        </is>
      </c>
      <c r="H44" t="inlineStr">
        <is>
          <t>D33</t>
        </is>
      </c>
      <c r="I44">
        <f>D31-D32</f>
        <v/>
      </c>
      <c r="J44" t="n">
        <v>1111</v>
      </c>
      <c r="K44" t="n">
        <v>0.01</v>
      </c>
      <c r="L44" t="inlineStr">
        <is>
          <t>owca_agg__20231231,owcl_agg__20231231</t>
        </is>
      </c>
      <c r="M44" t="inlineStr">
        <is>
          <t>Use SUMIF over the classification column for 'Operating Working Capital Asset'.|Subtract SUMIF for 'Operating Working Capital Liability'.|NOWC = Op. WC Assets − Op. WC Liabilities.</t>
        </is>
      </c>
      <c r="O44" t="inlineStr">
        <is>
          <t>pending</t>
        </is>
      </c>
      <c r="P44" t="inlineStr">
        <is>
          <t>nowc_agg</t>
        </is>
      </c>
      <c r="Q44" t="n">
        <v>9</v>
      </c>
      <c r="R44" t="n">
        <v>2</v>
      </c>
      <c r="S44" t="inlineStr">
        <is>
          <t>2023-12-31</t>
        </is>
      </c>
    </row>
    <row r="45">
      <c r="A45" t="inlineStr">
        <is>
          <t>nowc_agg__20241231</t>
        </is>
      </c>
      <c r="B45" t="n">
        <v>44</v>
      </c>
      <c r="C45" t="inlineStr">
        <is>
          <t>Net Operating Working Capital (NOWC)</t>
        </is>
      </c>
      <c r="D45" t="inlineStr">
        <is>
          <t>Sum operating WC assets minus operating WC liabilities.</t>
        </is>
      </c>
      <c r="E45" t="inlineStr">
        <is>
          <t>condensed.nowc.2024-12-31</t>
        </is>
      </c>
      <c r="F45" t="inlineStr">
        <is>
          <t>accounting</t>
        </is>
      </c>
      <c r="G45" t="inlineStr">
        <is>
          <t>Condensed Financials</t>
        </is>
      </c>
      <c r="H45" t="inlineStr">
        <is>
          <t>E33</t>
        </is>
      </c>
      <c r="I45">
        <f>E31-E32</f>
        <v/>
      </c>
      <c r="J45" t="n">
        <v>1232</v>
      </c>
      <c r="K45" t="n">
        <v>0.01</v>
      </c>
      <c r="L45" t="inlineStr">
        <is>
          <t>owca_agg__20241231,owcl_agg__20241231</t>
        </is>
      </c>
      <c r="M45" t="inlineStr">
        <is>
          <t>Use SUMIF over the classification column for 'Operating Working Capital Asset'.|Subtract SUMIF for 'Operating Working Capital Liability'.|NOWC = Op. WC Assets − Op. WC Liabilities.</t>
        </is>
      </c>
      <c r="O45" t="inlineStr">
        <is>
          <t>pending</t>
        </is>
      </c>
      <c r="P45" t="inlineStr">
        <is>
          <t>nowc_agg</t>
        </is>
      </c>
      <c r="Q45" t="n">
        <v>9</v>
      </c>
      <c r="R45" t="n">
        <v>3</v>
      </c>
      <c r="S45" t="inlineStr">
        <is>
          <t>2024-12-31</t>
        </is>
      </c>
    </row>
    <row r="46">
      <c r="A46" t="inlineStr">
        <is>
          <t>nowc_agg__20251231</t>
        </is>
      </c>
      <c r="B46" t="n">
        <v>45</v>
      </c>
      <c r="C46" t="inlineStr">
        <is>
          <t>Net Operating Working Capital (NOWC)</t>
        </is>
      </c>
      <c r="D46" t="inlineStr">
        <is>
          <t>Sum operating WC assets minus operating WC liabilities.</t>
        </is>
      </c>
      <c r="E46" t="inlineStr">
        <is>
          <t>condensed.nowc.2025-12-31</t>
        </is>
      </c>
      <c r="F46" t="inlineStr">
        <is>
          <t>accounting</t>
        </is>
      </c>
      <c r="G46" t="inlineStr">
        <is>
          <t>Condensed Financials</t>
        </is>
      </c>
      <c r="H46" t="inlineStr">
        <is>
          <t>F33</t>
        </is>
      </c>
      <c r="I46">
        <f>F31-F32</f>
        <v/>
      </c>
      <c r="J46" t="n">
        <v>1375</v>
      </c>
      <c r="K46" t="n">
        <v>0.01</v>
      </c>
      <c r="L46" t="inlineStr">
        <is>
          <t>owca_agg__20251231,owcl_agg__20251231</t>
        </is>
      </c>
      <c r="M46" t="inlineStr">
        <is>
          <t>Use SUMIF over the classification column for 'Operating Working Capital Asset'.|Subtract SUMIF for 'Operating Working Capital Liability'.|NOWC = Op. WC Assets − Op. WC Liabilities.</t>
        </is>
      </c>
      <c r="O46" t="inlineStr">
        <is>
          <t>pending</t>
        </is>
      </c>
      <c r="P46" t="inlineStr">
        <is>
          <t>nowc_agg</t>
        </is>
      </c>
      <c r="Q46" t="n">
        <v>9</v>
      </c>
      <c r="R46" t="n">
        <v>4</v>
      </c>
      <c r="S46" t="inlineStr">
        <is>
          <t>2025-12-31</t>
        </is>
      </c>
    </row>
    <row r="47">
      <c r="A47" t="inlineStr">
        <is>
          <t>olta_agg__20211231</t>
        </is>
      </c>
      <c r="B47" t="n">
        <v>46</v>
      </c>
      <c r="C47" t="inlineStr">
        <is>
          <t>Operating long-term assets</t>
        </is>
      </c>
      <c r="D47" t="inlineStr">
        <is>
          <t>Aggregate the classified balance-sheet detail with the classification column.</t>
        </is>
      </c>
      <c r="E47" t="inlineStr">
        <is>
          <t>condensed.olta.2021-12-31</t>
        </is>
      </c>
      <c r="F47" t="inlineStr">
        <is>
          <t>accounting</t>
        </is>
      </c>
      <c r="G47" t="inlineStr">
        <is>
          <t>Condensed Financials</t>
        </is>
      </c>
      <c r="H47" t="inlineStr">
        <is>
          <t>B34</t>
        </is>
      </c>
      <c r="I47">
        <f>SUMIF($B$6:$B$16,"Operating Long-Term Asset",C$6:C$16)</f>
        <v/>
      </c>
      <c r="J47" t="n">
        <v>5770</v>
      </c>
      <c r="K47" t="n">
        <v>0.01</v>
      </c>
      <c r="M47" t="inlineStr">
        <is>
          <t>Use SUMIF over the classification column for Operating Long-Term Asset.</t>
        </is>
      </c>
      <c r="O47" t="inlineStr">
        <is>
          <t>pending</t>
        </is>
      </c>
      <c r="P47" t="inlineStr">
        <is>
          <t>olta_agg</t>
        </is>
      </c>
      <c r="Q47" t="n">
        <v>10</v>
      </c>
      <c r="R47" t="n">
        <v>0</v>
      </c>
      <c r="S47" t="inlineStr">
        <is>
          <t>2021-12-31</t>
        </is>
      </c>
    </row>
    <row r="48">
      <c r="A48" t="inlineStr">
        <is>
          <t>olta_agg__20221231</t>
        </is>
      </c>
      <c r="B48" t="n">
        <v>47</v>
      </c>
      <c r="C48" t="inlineStr">
        <is>
          <t>Operating long-term assets</t>
        </is>
      </c>
      <c r="D48" t="inlineStr">
        <is>
          <t>Aggregate the classified balance-sheet detail with the classification column.</t>
        </is>
      </c>
      <c r="E48" t="inlineStr">
        <is>
          <t>condensed.olta.2022-12-31</t>
        </is>
      </c>
      <c r="F48" t="inlineStr">
        <is>
          <t>accounting</t>
        </is>
      </c>
      <c r="G48" t="inlineStr">
        <is>
          <t>Condensed Financials</t>
        </is>
      </c>
      <c r="H48" t="inlineStr">
        <is>
          <t>C34</t>
        </is>
      </c>
      <c r="I48">
        <f>SUMIF($B$6:$B$16,"Operating Long-Term Asset",D$6:D$16)</f>
        <v/>
      </c>
      <c r="J48" t="n">
        <v>6194</v>
      </c>
      <c r="K48" t="n">
        <v>0.01</v>
      </c>
      <c r="M48" t="inlineStr">
        <is>
          <t>Use SUMIF over the classification column for Operating Long-Term Asset.</t>
        </is>
      </c>
      <c r="O48" t="inlineStr">
        <is>
          <t>pending</t>
        </is>
      </c>
      <c r="P48" t="inlineStr">
        <is>
          <t>olta_agg</t>
        </is>
      </c>
      <c r="Q48" t="n">
        <v>10</v>
      </c>
      <c r="R48" t="n">
        <v>1</v>
      </c>
      <c r="S48" t="inlineStr">
        <is>
          <t>2022-12-31</t>
        </is>
      </c>
    </row>
    <row r="49">
      <c r="A49" t="inlineStr">
        <is>
          <t>olta_agg__20231231</t>
        </is>
      </c>
      <c r="B49" t="n">
        <v>48</v>
      </c>
      <c r="C49" t="inlineStr">
        <is>
          <t>Operating long-term assets</t>
        </is>
      </c>
      <c r="D49" t="inlineStr">
        <is>
          <t>Aggregate the classified balance-sheet detail with the classification column.</t>
        </is>
      </c>
      <c r="E49" t="inlineStr">
        <is>
          <t>condensed.olta.2023-12-31</t>
        </is>
      </c>
      <c r="F49" t="inlineStr">
        <is>
          <t>accounting</t>
        </is>
      </c>
      <c r="G49" t="inlineStr">
        <is>
          <t>Condensed Financials</t>
        </is>
      </c>
      <c r="H49" t="inlineStr">
        <is>
          <t>D34</t>
        </is>
      </c>
      <c r="I49">
        <f>SUMIF($B$6:$B$16,"Operating Long-Term Asset",E$6:E$16)</f>
        <v/>
      </c>
      <c r="J49" t="n">
        <v>6782</v>
      </c>
      <c r="K49" t="n">
        <v>0.01</v>
      </c>
      <c r="M49" t="inlineStr">
        <is>
          <t>Use SUMIF over the classification column for Operating Long-Term Asset.</t>
        </is>
      </c>
      <c r="O49" t="inlineStr">
        <is>
          <t>pending</t>
        </is>
      </c>
      <c r="P49" t="inlineStr">
        <is>
          <t>olta_agg</t>
        </is>
      </c>
      <c r="Q49" t="n">
        <v>10</v>
      </c>
      <c r="R49" t="n">
        <v>2</v>
      </c>
      <c r="S49" t="inlineStr">
        <is>
          <t>2023-12-31</t>
        </is>
      </c>
    </row>
    <row r="50">
      <c r="A50" t="inlineStr">
        <is>
          <t>olta_agg__20241231</t>
        </is>
      </c>
      <c r="B50" t="n">
        <v>49</v>
      </c>
      <c r="C50" t="inlineStr">
        <is>
          <t>Operating long-term assets</t>
        </is>
      </c>
      <c r="D50" t="inlineStr">
        <is>
          <t>Aggregate the classified balance-sheet detail with the classification column.</t>
        </is>
      </c>
      <c r="E50" t="inlineStr">
        <is>
          <t>condensed.olta.2024-12-31</t>
        </is>
      </c>
      <c r="F50" t="inlineStr">
        <is>
          <t>accounting</t>
        </is>
      </c>
      <c r="G50" t="inlineStr">
        <is>
          <t>Condensed Financials</t>
        </is>
      </c>
      <c r="H50" t="inlineStr">
        <is>
          <t>E34</t>
        </is>
      </c>
      <c r="I50">
        <f>SUMIF($B$6:$B$16,"Operating Long-Term Asset",F$6:F$16)</f>
        <v/>
      </c>
      <c r="J50" t="n">
        <v>7504</v>
      </c>
      <c r="K50" t="n">
        <v>0.01</v>
      </c>
      <c r="M50" t="inlineStr">
        <is>
          <t>Use SUMIF over the classification column for Operating Long-Term Asset.</t>
        </is>
      </c>
      <c r="O50" t="inlineStr">
        <is>
          <t>pending</t>
        </is>
      </c>
      <c r="P50" t="inlineStr">
        <is>
          <t>olta_agg</t>
        </is>
      </c>
      <c r="Q50" t="n">
        <v>10</v>
      </c>
      <c r="R50" t="n">
        <v>3</v>
      </c>
      <c r="S50" t="inlineStr">
        <is>
          <t>2024-12-31</t>
        </is>
      </c>
    </row>
    <row r="51">
      <c r="A51" t="inlineStr">
        <is>
          <t>olta_agg__20251231</t>
        </is>
      </c>
      <c r="B51" t="n">
        <v>50</v>
      </c>
      <c r="C51" t="inlineStr">
        <is>
          <t>Operating long-term assets</t>
        </is>
      </c>
      <c r="D51" t="inlineStr">
        <is>
          <t>Aggregate the classified balance-sheet detail with the classification column.</t>
        </is>
      </c>
      <c r="E51" t="inlineStr">
        <is>
          <t>condensed.olta.2025-12-31</t>
        </is>
      </c>
      <c r="F51" t="inlineStr">
        <is>
          <t>accounting</t>
        </is>
      </c>
      <c r="G51" t="inlineStr">
        <is>
          <t>Condensed Financials</t>
        </is>
      </c>
      <c r="H51" t="inlineStr">
        <is>
          <t>F34</t>
        </is>
      </c>
      <c r="I51">
        <f>SUMIF($B$6:$B$16,"Operating Long-Term Asset",G$6:G$16)</f>
        <v/>
      </c>
      <c r="J51" t="n">
        <v>8400</v>
      </c>
      <c r="K51" t="n">
        <v>0.01</v>
      </c>
      <c r="M51" t="inlineStr">
        <is>
          <t>Use SUMIF over the classification column for Operating Long-Term Asset.</t>
        </is>
      </c>
      <c r="O51" t="inlineStr">
        <is>
          <t>pending</t>
        </is>
      </c>
      <c r="P51" t="inlineStr">
        <is>
          <t>olta_agg</t>
        </is>
      </c>
      <c r="Q51" t="n">
        <v>10</v>
      </c>
      <c r="R51" t="n">
        <v>4</v>
      </c>
      <c r="S51" t="inlineStr">
        <is>
          <t>2025-12-31</t>
        </is>
      </c>
    </row>
    <row r="52">
      <c r="A52" t="inlineStr">
        <is>
          <t>oltl_agg__20211231</t>
        </is>
      </c>
      <c r="B52" t="n">
        <v>51</v>
      </c>
      <c r="C52" t="inlineStr">
        <is>
          <t>Operating long-term liabilities</t>
        </is>
      </c>
      <c r="D52" t="inlineStr">
        <is>
          <t>Aggregate the classified balance-sheet detail with the classification column.</t>
        </is>
      </c>
      <c r="E52" t="inlineStr">
        <is>
          <t>condensed.oltl.2021-12-31</t>
        </is>
      </c>
      <c r="F52" t="inlineStr">
        <is>
          <t>accounting</t>
        </is>
      </c>
      <c r="G52" t="inlineStr">
        <is>
          <t>Condensed Financials</t>
        </is>
      </c>
      <c r="H52" t="inlineStr">
        <is>
          <t>B35</t>
        </is>
      </c>
      <c r="I52">
        <f>SUMIF($B$6:$B$16,"Operating Long-Term Liability",C$6:C$16)</f>
        <v/>
      </c>
      <c r="J52" t="n">
        <v>1305</v>
      </c>
      <c r="K52" t="n">
        <v>0.01</v>
      </c>
      <c r="M52" t="inlineStr">
        <is>
          <t>Use SUMIF over the classification column for Operating Long-Term Liability.</t>
        </is>
      </c>
      <c r="O52" t="inlineStr">
        <is>
          <t>pending</t>
        </is>
      </c>
      <c r="P52" t="inlineStr">
        <is>
          <t>oltl_agg</t>
        </is>
      </c>
      <c r="Q52" t="n">
        <v>11</v>
      </c>
      <c r="R52" t="n">
        <v>0</v>
      </c>
      <c r="S52" t="inlineStr">
        <is>
          <t>2021-12-31</t>
        </is>
      </c>
    </row>
    <row r="53">
      <c r="A53" t="inlineStr">
        <is>
          <t>oltl_agg__20221231</t>
        </is>
      </c>
      <c r="B53" t="n">
        <v>52</v>
      </c>
      <c r="C53" t="inlineStr">
        <is>
          <t>Operating long-term liabilities</t>
        </is>
      </c>
      <c r="D53" t="inlineStr">
        <is>
          <t>Aggregate the classified balance-sheet detail with the classification column.</t>
        </is>
      </c>
      <c r="E53" t="inlineStr">
        <is>
          <t>condensed.oltl.2022-12-31</t>
        </is>
      </c>
      <c r="F53" t="inlineStr">
        <is>
          <t>accounting</t>
        </is>
      </c>
      <c r="G53" t="inlineStr">
        <is>
          <t>Condensed Financials</t>
        </is>
      </c>
      <c r="H53" t="inlineStr">
        <is>
          <t>C35</t>
        </is>
      </c>
      <c r="I53">
        <f>SUMIF($B$6:$B$16,"Operating Long-Term Liability",D$6:D$16)</f>
        <v/>
      </c>
      <c r="J53" t="n">
        <v>1456</v>
      </c>
      <c r="K53" t="n">
        <v>0.01</v>
      </c>
      <c r="M53" t="inlineStr">
        <is>
          <t>Use SUMIF over the classification column for Operating Long-Term Liability.</t>
        </is>
      </c>
      <c r="O53" t="inlineStr">
        <is>
          <t>pending</t>
        </is>
      </c>
      <c r="P53" t="inlineStr">
        <is>
          <t>oltl_agg</t>
        </is>
      </c>
      <c r="Q53" t="n">
        <v>11</v>
      </c>
      <c r="R53" t="n">
        <v>1</v>
      </c>
      <c r="S53" t="inlineStr">
        <is>
          <t>2022-12-31</t>
        </is>
      </c>
    </row>
    <row r="54">
      <c r="A54" t="inlineStr">
        <is>
          <t>oltl_agg__20231231</t>
        </is>
      </c>
      <c r="B54" t="n">
        <v>53</v>
      </c>
      <c r="C54" t="inlineStr">
        <is>
          <t>Operating long-term liabilities</t>
        </is>
      </c>
      <c r="D54" t="inlineStr">
        <is>
          <t>Aggregate the classified balance-sheet detail with the classification column.</t>
        </is>
      </c>
      <c r="E54" t="inlineStr">
        <is>
          <t>condensed.oltl.2023-12-31</t>
        </is>
      </c>
      <c r="F54" t="inlineStr">
        <is>
          <t>accounting</t>
        </is>
      </c>
      <c r="G54" t="inlineStr">
        <is>
          <t>Condensed Financials</t>
        </is>
      </c>
      <c r="H54" t="inlineStr">
        <is>
          <t>D35</t>
        </is>
      </c>
      <c r="I54">
        <f>SUMIF($B$6:$B$16,"Operating Long-Term Liability",E$6:E$16)</f>
        <v/>
      </c>
      <c r="J54" t="n">
        <v>1593</v>
      </c>
      <c r="K54" t="n">
        <v>0.01</v>
      </c>
      <c r="M54" t="inlineStr">
        <is>
          <t>Use SUMIF over the classification column for Operating Long-Term Liability.</t>
        </is>
      </c>
      <c r="O54" t="inlineStr">
        <is>
          <t>pending</t>
        </is>
      </c>
      <c r="P54" t="inlineStr">
        <is>
          <t>oltl_agg</t>
        </is>
      </c>
      <c r="Q54" t="n">
        <v>11</v>
      </c>
      <c r="R54" t="n">
        <v>2</v>
      </c>
      <c r="S54" t="inlineStr">
        <is>
          <t>2023-12-31</t>
        </is>
      </c>
    </row>
    <row r="55">
      <c r="A55" t="inlineStr">
        <is>
          <t>oltl_agg__20241231</t>
        </is>
      </c>
      <c r="B55" t="n">
        <v>54</v>
      </c>
      <c r="C55" t="inlineStr">
        <is>
          <t>Operating long-term liabilities</t>
        </is>
      </c>
      <c r="D55" t="inlineStr">
        <is>
          <t>Aggregate the classified balance-sheet detail with the classification column.</t>
        </is>
      </c>
      <c r="E55" t="inlineStr">
        <is>
          <t>condensed.oltl.2024-12-31</t>
        </is>
      </c>
      <c r="F55" t="inlineStr">
        <is>
          <t>accounting</t>
        </is>
      </c>
      <c r="G55" t="inlineStr">
        <is>
          <t>Condensed Financials</t>
        </is>
      </c>
      <c r="H55" t="inlineStr">
        <is>
          <t>E35</t>
        </is>
      </c>
      <c r="I55">
        <f>SUMIF($B$6:$B$16,"Operating Long-Term Liability",F$6:F$16)</f>
        <v/>
      </c>
      <c r="J55" t="n">
        <v>1716</v>
      </c>
      <c r="K55" t="n">
        <v>0.01</v>
      </c>
      <c r="M55" t="inlineStr">
        <is>
          <t>Use SUMIF over the classification column for Operating Long-Term Liability.</t>
        </is>
      </c>
      <c r="O55" t="inlineStr">
        <is>
          <t>pending</t>
        </is>
      </c>
      <c r="P55" t="inlineStr">
        <is>
          <t>oltl_agg</t>
        </is>
      </c>
      <c r="Q55" t="n">
        <v>11</v>
      </c>
      <c r="R55" t="n">
        <v>3</v>
      </c>
      <c r="S55" t="inlineStr">
        <is>
          <t>2024-12-31</t>
        </is>
      </c>
    </row>
    <row r="56">
      <c r="A56" t="inlineStr">
        <is>
          <t>oltl_agg__20251231</t>
        </is>
      </c>
      <c r="B56" t="n">
        <v>55</v>
      </c>
      <c r="C56" t="inlineStr">
        <is>
          <t>Operating long-term liabilities</t>
        </is>
      </c>
      <c r="D56" t="inlineStr">
        <is>
          <t>Aggregate the classified balance-sheet detail with the classification column.</t>
        </is>
      </c>
      <c r="E56" t="inlineStr">
        <is>
          <t>condensed.oltl.2025-12-31</t>
        </is>
      </c>
      <c r="F56" t="inlineStr">
        <is>
          <t>accounting</t>
        </is>
      </c>
      <c r="G56" t="inlineStr">
        <is>
          <t>Condensed Financials</t>
        </is>
      </c>
      <c r="H56" t="inlineStr">
        <is>
          <t>F35</t>
        </is>
      </c>
      <c r="I56">
        <f>SUMIF($B$6:$B$16,"Operating Long-Term Liability",G$6:G$16)</f>
        <v/>
      </c>
      <c r="J56" t="n">
        <v>1825</v>
      </c>
      <c r="K56" t="n">
        <v>0.01</v>
      </c>
      <c r="M56" t="inlineStr">
        <is>
          <t>Use SUMIF over the classification column for Operating Long-Term Liability.</t>
        </is>
      </c>
      <c r="O56" t="inlineStr">
        <is>
          <t>pending</t>
        </is>
      </c>
      <c r="P56" t="inlineStr">
        <is>
          <t>oltl_agg</t>
        </is>
      </c>
      <c r="Q56" t="n">
        <v>11</v>
      </c>
      <c r="R56" t="n">
        <v>4</v>
      </c>
      <c r="S56" t="inlineStr">
        <is>
          <t>2025-12-31</t>
        </is>
      </c>
    </row>
    <row r="57">
      <c r="A57" t="inlineStr">
        <is>
          <t>nola_agg__20211231</t>
        </is>
      </c>
      <c r="B57" t="n">
        <v>56</v>
      </c>
      <c r="C57" t="inlineStr">
        <is>
          <t>Net operating long-term assets (NOLA)</t>
        </is>
      </c>
      <c r="D57" t="inlineStr">
        <is>
          <t>Operating long-term assets less operating long-term liabilities.</t>
        </is>
      </c>
      <c r="E57" t="inlineStr">
        <is>
          <t>condensed.nola.2021-12-31</t>
        </is>
      </c>
      <c r="F57" t="inlineStr">
        <is>
          <t>accounting</t>
        </is>
      </c>
      <c r="G57" t="inlineStr">
        <is>
          <t>Condensed Financials</t>
        </is>
      </c>
      <c r="H57" t="inlineStr">
        <is>
          <t>B36</t>
        </is>
      </c>
      <c r="I57">
        <f>B34-B35</f>
        <v/>
      </c>
      <c r="J57" t="n">
        <v>4465</v>
      </c>
      <c r="K57" t="n">
        <v>0.01</v>
      </c>
      <c r="L57" t="inlineStr">
        <is>
          <t>olta_agg__20211231,oltl_agg__20211231</t>
        </is>
      </c>
      <c r="M57" t="inlineStr">
        <is>
          <t>NOLA = Operating LT Assets − Operating LT Liabilities.</t>
        </is>
      </c>
      <c r="O57" t="inlineStr">
        <is>
          <t>pending</t>
        </is>
      </c>
      <c r="P57" t="inlineStr">
        <is>
          <t>nola_agg</t>
        </is>
      </c>
      <c r="Q57" t="n">
        <v>12</v>
      </c>
      <c r="R57" t="n">
        <v>0</v>
      </c>
      <c r="S57" t="inlineStr">
        <is>
          <t>2021-12-31</t>
        </is>
      </c>
    </row>
    <row r="58">
      <c r="A58" t="inlineStr">
        <is>
          <t>nola_agg__20221231</t>
        </is>
      </c>
      <c r="B58" t="n">
        <v>57</v>
      </c>
      <c r="C58" t="inlineStr">
        <is>
          <t>Net operating long-term assets (NOLA)</t>
        </is>
      </c>
      <c r="D58" t="inlineStr">
        <is>
          <t>Operating long-term assets less operating long-term liabilities.</t>
        </is>
      </c>
      <c r="E58" t="inlineStr">
        <is>
          <t>condensed.nola.2022-12-31</t>
        </is>
      </c>
      <c r="F58" t="inlineStr">
        <is>
          <t>accounting</t>
        </is>
      </c>
      <c r="G58" t="inlineStr">
        <is>
          <t>Condensed Financials</t>
        </is>
      </c>
      <c r="H58" t="inlineStr">
        <is>
          <t>C36</t>
        </is>
      </c>
      <c r="I58">
        <f>C34-C35</f>
        <v/>
      </c>
      <c r="J58" t="n">
        <v>4738</v>
      </c>
      <c r="K58" t="n">
        <v>0.01</v>
      </c>
      <c r="L58" t="inlineStr">
        <is>
          <t>olta_agg__20221231,oltl_agg__20221231</t>
        </is>
      </c>
      <c r="M58" t="inlineStr">
        <is>
          <t>NOLA = Operating LT Assets − Operating LT Liabilities.</t>
        </is>
      </c>
      <c r="O58" t="inlineStr">
        <is>
          <t>pending</t>
        </is>
      </c>
      <c r="P58" t="inlineStr">
        <is>
          <t>nola_agg</t>
        </is>
      </c>
      <c r="Q58" t="n">
        <v>12</v>
      </c>
      <c r="R58" t="n">
        <v>1</v>
      </c>
      <c r="S58" t="inlineStr">
        <is>
          <t>2022-12-31</t>
        </is>
      </c>
    </row>
    <row r="59">
      <c r="A59" t="inlineStr">
        <is>
          <t>nola_agg__20231231</t>
        </is>
      </c>
      <c r="B59" t="n">
        <v>58</v>
      </c>
      <c r="C59" t="inlineStr">
        <is>
          <t>Net operating long-term assets (NOLA)</t>
        </is>
      </c>
      <c r="D59" t="inlineStr">
        <is>
          <t>Operating long-term assets less operating long-term liabilities.</t>
        </is>
      </c>
      <c r="E59" t="inlineStr">
        <is>
          <t>condensed.nola.2023-12-31</t>
        </is>
      </c>
      <c r="F59" t="inlineStr">
        <is>
          <t>accounting</t>
        </is>
      </c>
      <c r="G59" t="inlineStr">
        <is>
          <t>Condensed Financials</t>
        </is>
      </c>
      <c r="H59" t="inlineStr">
        <is>
          <t>D36</t>
        </is>
      </c>
      <c r="I59">
        <f>D34-D35</f>
        <v/>
      </c>
      <c r="J59" t="n">
        <v>5189</v>
      </c>
      <c r="K59" t="n">
        <v>0.01</v>
      </c>
      <c r="L59" t="inlineStr">
        <is>
          <t>olta_agg__20231231,oltl_agg__20231231</t>
        </is>
      </c>
      <c r="M59" t="inlineStr">
        <is>
          <t>NOLA = Operating LT Assets − Operating LT Liabilities.</t>
        </is>
      </c>
      <c r="O59" t="inlineStr">
        <is>
          <t>pending</t>
        </is>
      </c>
      <c r="P59" t="inlineStr">
        <is>
          <t>nola_agg</t>
        </is>
      </c>
      <c r="Q59" t="n">
        <v>12</v>
      </c>
      <c r="R59" t="n">
        <v>2</v>
      </c>
      <c r="S59" t="inlineStr">
        <is>
          <t>2023-12-31</t>
        </is>
      </c>
    </row>
    <row r="60">
      <c r="A60" t="inlineStr">
        <is>
          <t>nola_agg__20241231</t>
        </is>
      </c>
      <c r="B60" t="n">
        <v>59</v>
      </c>
      <c r="C60" t="inlineStr">
        <is>
          <t>Net operating long-term assets (NOLA)</t>
        </is>
      </c>
      <c r="D60" t="inlineStr">
        <is>
          <t>Operating long-term assets less operating long-term liabilities.</t>
        </is>
      </c>
      <c r="E60" t="inlineStr">
        <is>
          <t>condensed.nola.2024-12-31</t>
        </is>
      </c>
      <c r="F60" t="inlineStr">
        <is>
          <t>accounting</t>
        </is>
      </c>
      <c r="G60" t="inlineStr">
        <is>
          <t>Condensed Financials</t>
        </is>
      </c>
      <c r="H60" t="inlineStr">
        <is>
          <t>E36</t>
        </is>
      </c>
      <c r="I60">
        <f>E34-E35</f>
        <v/>
      </c>
      <c r="J60" t="n">
        <v>5788</v>
      </c>
      <c r="K60" t="n">
        <v>0.01</v>
      </c>
      <c r="L60" t="inlineStr">
        <is>
          <t>olta_agg__20241231,oltl_agg__20241231</t>
        </is>
      </c>
      <c r="M60" t="inlineStr">
        <is>
          <t>NOLA = Operating LT Assets − Operating LT Liabilities.</t>
        </is>
      </c>
      <c r="O60" t="inlineStr">
        <is>
          <t>pending</t>
        </is>
      </c>
      <c r="P60" t="inlineStr">
        <is>
          <t>nola_agg</t>
        </is>
      </c>
      <c r="Q60" t="n">
        <v>12</v>
      </c>
      <c r="R60" t="n">
        <v>3</v>
      </c>
      <c r="S60" t="inlineStr">
        <is>
          <t>2024-12-31</t>
        </is>
      </c>
    </row>
    <row r="61">
      <c r="A61" t="inlineStr">
        <is>
          <t>nola_agg__20251231</t>
        </is>
      </c>
      <c r="B61" t="n">
        <v>60</v>
      </c>
      <c r="C61" t="inlineStr">
        <is>
          <t>Net operating long-term assets (NOLA)</t>
        </is>
      </c>
      <c r="D61" t="inlineStr">
        <is>
          <t>Operating long-term assets less operating long-term liabilities.</t>
        </is>
      </c>
      <c r="E61" t="inlineStr">
        <is>
          <t>condensed.nola.2025-12-31</t>
        </is>
      </c>
      <c r="F61" t="inlineStr">
        <is>
          <t>accounting</t>
        </is>
      </c>
      <c r="G61" t="inlineStr">
        <is>
          <t>Condensed Financials</t>
        </is>
      </c>
      <c r="H61" t="inlineStr">
        <is>
          <t>F36</t>
        </is>
      </c>
      <c r="I61">
        <f>F34-F35</f>
        <v/>
      </c>
      <c r="J61" t="n">
        <v>6575</v>
      </c>
      <c r="K61" t="n">
        <v>0.01</v>
      </c>
      <c r="L61" t="inlineStr">
        <is>
          <t>olta_agg__20251231,oltl_agg__20251231</t>
        </is>
      </c>
      <c r="M61" t="inlineStr">
        <is>
          <t>NOLA = Operating LT Assets − Operating LT Liabilities.</t>
        </is>
      </c>
      <c r="O61" t="inlineStr">
        <is>
          <t>pending</t>
        </is>
      </c>
      <c r="P61" t="inlineStr">
        <is>
          <t>nola_agg</t>
        </is>
      </c>
      <c r="Q61" t="n">
        <v>12</v>
      </c>
      <c r="R61" t="n">
        <v>4</v>
      </c>
      <c r="S61" t="inlineStr">
        <is>
          <t>2025-12-31</t>
        </is>
      </c>
    </row>
    <row r="62">
      <c r="A62" t="inlineStr">
        <is>
          <t>noa_agg__20211231</t>
        </is>
      </c>
      <c r="B62" t="n">
        <v>61</v>
      </c>
      <c r="C62" t="inlineStr">
        <is>
          <t>Net Operating Assets (NOA)</t>
        </is>
      </c>
      <c r="D62" t="inlineStr">
        <is>
          <t>NOWC plus net operating long-term assets.</t>
        </is>
      </c>
      <c r="E62" t="inlineStr">
        <is>
          <t>condensed.noa.2021-12-31</t>
        </is>
      </c>
      <c r="F62" t="inlineStr">
        <is>
          <t>accounting</t>
        </is>
      </c>
      <c r="G62" t="inlineStr">
        <is>
          <t>Condensed Financials</t>
        </is>
      </c>
      <c r="H62" t="inlineStr">
        <is>
          <t>B37</t>
        </is>
      </c>
      <c r="I62">
        <f>B33+B36</f>
        <v/>
      </c>
      <c r="J62" t="n">
        <v>5400</v>
      </c>
      <c r="K62" t="n">
        <v>0.01</v>
      </c>
      <c r="L62" t="inlineStr">
        <is>
          <t>nowc_agg__20211231,nola_agg__20211231</t>
        </is>
      </c>
      <c r="M62" t="inlineStr">
        <is>
          <t>Net Operating LT Assets = Op. LT Assets − Op. LT Liabilities (SUMIF).|NOA = NOWC + Net Operating LT Assets.</t>
        </is>
      </c>
      <c r="O62" t="inlineStr">
        <is>
          <t>pending</t>
        </is>
      </c>
      <c r="P62" t="inlineStr">
        <is>
          <t>noa_agg</t>
        </is>
      </c>
      <c r="Q62" t="n">
        <v>13</v>
      </c>
      <c r="R62" t="n">
        <v>0</v>
      </c>
      <c r="S62" t="inlineStr">
        <is>
          <t>2021-12-31</t>
        </is>
      </c>
    </row>
    <row r="63">
      <c r="A63" t="inlineStr">
        <is>
          <t>noa_agg__20221231</t>
        </is>
      </c>
      <c r="B63" t="n">
        <v>62</v>
      </c>
      <c r="C63" t="inlineStr">
        <is>
          <t>Net Operating Assets (NOA)</t>
        </is>
      </c>
      <c r="D63" t="inlineStr">
        <is>
          <t>NOWC plus net operating long-term assets.</t>
        </is>
      </c>
      <c r="E63" t="inlineStr">
        <is>
          <t>condensed.noa.2022-12-31</t>
        </is>
      </c>
      <c r="F63" t="inlineStr">
        <is>
          <t>accounting</t>
        </is>
      </c>
      <c r="G63" t="inlineStr">
        <is>
          <t>Condensed Financials</t>
        </is>
      </c>
      <c r="H63" t="inlineStr">
        <is>
          <t>C37</t>
        </is>
      </c>
      <c r="I63">
        <f>C33+C36</f>
        <v/>
      </c>
      <c r="J63" t="n">
        <v>5750</v>
      </c>
      <c r="K63" t="n">
        <v>0.01</v>
      </c>
      <c r="L63" t="inlineStr">
        <is>
          <t>nowc_agg__20221231,nola_agg__20221231</t>
        </is>
      </c>
      <c r="M63" t="inlineStr">
        <is>
          <t>Net Operating LT Assets = Op. LT Assets − Op. LT Liabilities (SUMIF).|NOA = NOWC + Net Operating LT Assets.</t>
        </is>
      </c>
      <c r="O63" t="inlineStr">
        <is>
          <t>pending</t>
        </is>
      </c>
      <c r="P63" t="inlineStr">
        <is>
          <t>noa_agg</t>
        </is>
      </c>
      <c r="Q63" t="n">
        <v>13</v>
      </c>
      <c r="R63" t="n">
        <v>1</v>
      </c>
      <c r="S63" t="inlineStr">
        <is>
          <t>2022-12-31</t>
        </is>
      </c>
    </row>
    <row r="64">
      <c r="A64" t="inlineStr">
        <is>
          <t>noa_agg__20231231</t>
        </is>
      </c>
      <c r="B64" t="n">
        <v>63</v>
      </c>
      <c r="C64" t="inlineStr">
        <is>
          <t>Net Operating Assets (NOA)</t>
        </is>
      </c>
      <c r="D64" t="inlineStr">
        <is>
          <t>NOWC plus net operating long-term assets.</t>
        </is>
      </c>
      <c r="E64" t="inlineStr">
        <is>
          <t>condensed.noa.2023-12-31</t>
        </is>
      </c>
      <c r="F64" t="inlineStr">
        <is>
          <t>accounting</t>
        </is>
      </c>
      <c r="G64" t="inlineStr">
        <is>
          <t>Condensed Financials</t>
        </is>
      </c>
      <c r="H64" t="inlineStr">
        <is>
          <t>D37</t>
        </is>
      </c>
      <c r="I64">
        <f>D33+D36</f>
        <v/>
      </c>
      <c r="J64" t="n">
        <v>6300</v>
      </c>
      <c r="K64" t="n">
        <v>0.01</v>
      </c>
      <c r="L64" t="inlineStr">
        <is>
          <t>nowc_agg__20231231,nola_agg__20231231</t>
        </is>
      </c>
      <c r="M64" t="inlineStr">
        <is>
          <t>Net Operating LT Assets = Op. LT Assets − Op. LT Liabilities (SUMIF).|NOA = NOWC + Net Operating LT Assets.</t>
        </is>
      </c>
      <c r="O64" t="inlineStr">
        <is>
          <t>pending</t>
        </is>
      </c>
      <c r="P64" t="inlineStr">
        <is>
          <t>noa_agg</t>
        </is>
      </c>
      <c r="Q64" t="n">
        <v>13</v>
      </c>
      <c r="R64" t="n">
        <v>2</v>
      </c>
      <c r="S64" t="inlineStr">
        <is>
          <t>2023-12-31</t>
        </is>
      </c>
    </row>
    <row r="65">
      <c r="A65" t="inlineStr">
        <is>
          <t>noa_agg__20241231</t>
        </is>
      </c>
      <c r="B65" t="n">
        <v>64</v>
      </c>
      <c r="C65" t="inlineStr">
        <is>
          <t>Net Operating Assets (NOA)</t>
        </is>
      </c>
      <c r="D65" t="inlineStr">
        <is>
          <t>NOWC plus net operating long-term assets.</t>
        </is>
      </c>
      <c r="E65" t="inlineStr">
        <is>
          <t>condensed.noa.2024-12-31</t>
        </is>
      </c>
      <c r="F65" t="inlineStr">
        <is>
          <t>accounting</t>
        </is>
      </c>
      <c r="G65" t="inlineStr">
        <is>
          <t>Condensed Financials</t>
        </is>
      </c>
      <c r="H65" t="inlineStr">
        <is>
          <t>E37</t>
        </is>
      </c>
      <c r="I65">
        <f>E33+E36</f>
        <v/>
      </c>
      <c r="J65" t="n">
        <v>7020</v>
      </c>
      <c r="K65" t="n">
        <v>0.01</v>
      </c>
      <c r="L65" t="inlineStr">
        <is>
          <t>nowc_agg__20241231,nola_agg__20241231</t>
        </is>
      </c>
      <c r="M65" t="inlineStr">
        <is>
          <t>Net Operating LT Assets = Op. LT Assets − Op. LT Liabilities (SUMIF).|NOA = NOWC + Net Operating LT Assets.</t>
        </is>
      </c>
      <c r="O65" t="inlineStr">
        <is>
          <t>pending</t>
        </is>
      </c>
      <c r="P65" t="inlineStr">
        <is>
          <t>noa_agg</t>
        </is>
      </c>
      <c r="Q65" t="n">
        <v>13</v>
      </c>
      <c r="R65" t="n">
        <v>3</v>
      </c>
      <c r="S65" t="inlineStr">
        <is>
          <t>2024-12-31</t>
        </is>
      </c>
    </row>
    <row r="66">
      <c r="A66" t="inlineStr">
        <is>
          <t>noa_agg__20251231</t>
        </is>
      </c>
      <c r="B66" t="n">
        <v>65</v>
      </c>
      <c r="C66" t="inlineStr">
        <is>
          <t>Net Operating Assets (NOA)</t>
        </is>
      </c>
      <c r="D66" t="inlineStr">
        <is>
          <t>NOWC plus net operating long-term assets.</t>
        </is>
      </c>
      <c r="E66" t="inlineStr">
        <is>
          <t>condensed.noa.2025-12-31</t>
        </is>
      </c>
      <c r="F66" t="inlineStr">
        <is>
          <t>accounting</t>
        </is>
      </c>
      <c r="G66" t="inlineStr">
        <is>
          <t>Condensed Financials</t>
        </is>
      </c>
      <c r="H66" t="inlineStr">
        <is>
          <t>F37</t>
        </is>
      </c>
      <c r="I66">
        <f>F33+F36</f>
        <v/>
      </c>
      <c r="J66" t="n">
        <v>7950</v>
      </c>
      <c r="K66" t="n">
        <v>0.01</v>
      </c>
      <c r="L66" t="inlineStr">
        <is>
          <t>nowc_agg__20251231,nola_agg__20251231</t>
        </is>
      </c>
      <c r="M66" t="inlineStr">
        <is>
          <t>Net Operating LT Assets = Op. LT Assets − Op. LT Liabilities (SUMIF).|NOA = NOWC + Net Operating LT Assets.</t>
        </is>
      </c>
      <c r="O66" t="inlineStr">
        <is>
          <t>pending</t>
        </is>
      </c>
      <c r="P66" t="inlineStr">
        <is>
          <t>noa_agg</t>
        </is>
      </c>
      <c r="Q66" t="n">
        <v>13</v>
      </c>
      <c r="R66" t="n">
        <v>4</v>
      </c>
      <c r="S66" t="inlineStr">
        <is>
          <t>2025-12-31</t>
        </is>
      </c>
    </row>
    <row r="67">
      <c r="A67" t="inlineStr">
        <is>
          <t>financial_assets_agg__20211231</t>
        </is>
      </c>
      <c r="B67" t="n">
        <v>66</v>
      </c>
      <c r="C67" t="inlineStr">
        <is>
          <t>Financial assets</t>
        </is>
      </c>
      <c r="D67" t="inlineStr">
        <is>
          <t>Aggregate the classified balance-sheet detail with the classification column.</t>
        </is>
      </c>
      <c r="E67" t="inlineStr">
        <is>
          <t>condensed.financial_assets.2021-12-31</t>
        </is>
      </c>
      <c r="F67" t="inlineStr">
        <is>
          <t>accounting</t>
        </is>
      </c>
      <c r="G67" t="inlineStr">
        <is>
          <t>Condensed Financials</t>
        </is>
      </c>
      <c r="H67" t="inlineStr">
        <is>
          <t>B38</t>
        </is>
      </c>
      <c r="I67">
        <f>SUMIF($B$6:$B$16,"Financial Asset",C$6:C$16)</f>
        <v/>
      </c>
      <c r="J67" t="n">
        <v>1200</v>
      </c>
      <c r="K67" t="n">
        <v>0.01</v>
      </c>
      <c r="M67" t="inlineStr">
        <is>
          <t>Use SUMIF over the classification column for Financial Asset.</t>
        </is>
      </c>
      <c r="O67" t="inlineStr">
        <is>
          <t>pending</t>
        </is>
      </c>
      <c r="P67" t="inlineStr">
        <is>
          <t>financial_assets_agg</t>
        </is>
      </c>
      <c r="Q67" t="n">
        <v>14</v>
      </c>
      <c r="R67" t="n">
        <v>0</v>
      </c>
      <c r="S67" t="inlineStr">
        <is>
          <t>2021-12-31</t>
        </is>
      </c>
    </row>
    <row r="68">
      <c r="A68" t="inlineStr">
        <is>
          <t>financial_assets_agg__20221231</t>
        </is>
      </c>
      <c r="B68" t="n">
        <v>67</v>
      </c>
      <c r="C68" t="inlineStr">
        <is>
          <t>Financial assets</t>
        </is>
      </c>
      <c r="D68" t="inlineStr">
        <is>
          <t>Aggregate the classified balance-sheet detail with the classification column.</t>
        </is>
      </c>
      <c r="E68" t="inlineStr">
        <is>
          <t>condensed.financial_assets.2022-12-31</t>
        </is>
      </c>
      <c r="F68" t="inlineStr">
        <is>
          <t>accounting</t>
        </is>
      </c>
      <c r="G68" t="inlineStr">
        <is>
          <t>Condensed Financials</t>
        </is>
      </c>
      <c r="H68" t="inlineStr">
        <is>
          <t>C38</t>
        </is>
      </c>
      <c r="I68">
        <f>SUMIF($B$6:$B$16,"Financial Asset",D$6:D$16)</f>
        <v/>
      </c>
      <c r="J68" t="n">
        <v>1350</v>
      </c>
      <c r="K68" t="n">
        <v>0.01</v>
      </c>
      <c r="M68" t="inlineStr">
        <is>
          <t>Use SUMIF over the classification column for Financial Asset.</t>
        </is>
      </c>
      <c r="O68" t="inlineStr">
        <is>
          <t>pending</t>
        </is>
      </c>
      <c r="P68" t="inlineStr">
        <is>
          <t>financial_assets_agg</t>
        </is>
      </c>
      <c r="Q68" t="n">
        <v>14</v>
      </c>
      <c r="R68" t="n">
        <v>1</v>
      </c>
      <c r="S68" t="inlineStr">
        <is>
          <t>2022-12-31</t>
        </is>
      </c>
    </row>
    <row r="69">
      <c r="A69" t="inlineStr">
        <is>
          <t>financial_assets_agg__20231231</t>
        </is>
      </c>
      <c r="B69" t="n">
        <v>68</v>
      </c>
      <c r="C69" t="inlineStr">
        <is>
          <t>Financial assets</t>
        </is>
      </c>
      <c r="D69" t="inlineStr">
        <is>
          <t>Aggregate the classified balance-sheet detail with the classification column.</t>
        </is>
      </c>
      <c r="E69" t="inlineStr">
        <is>
          <t>condensed.financial_assets.2023-12-31</t>
        </is>
      </c>
      <c r="F69" t="inlineStr">
        <is>
          <t>accounting</t>
        </is>
      </c>
      <c r="G69" t="inlineStr">
        <is>
          <t>Condensed Financials</t>
        </is>
      </c>
      <c r="H69" t="inlineStr">
        <is>
          <t>D38</t>
        </is>
      </c>
      <c r="I69">
        <f>SUMIF($B$6:$B$16,"Financial Asset",E$6:E$16)</f>
        <v/>
      </c>
      <c r="J69" t="n">
        <v>1500</v>
      </c>
      <c r="K69" t="n">
        <v>0.01</v>
      </c>
      <c r="M69" t="inlineStr">
        <is>
          <t>Use SUMIF over the classification column for Financial Asset.</t>
        </is>
      </c>
      <c r="O69" t="inlineStr">
        <is>
          <t>pending</t>
        </is>
      </c>
      <c r="P69" t="inlineStr">
        <is>
          <t>financial_assets_agg</t>
        </is>
      </c>
      <c r="Q69" t="n">
        <v>14</v>
      </c>
      <c r="R69" t="n">
        <v>2</v>
      </c>
      <c r="S69" t="inlineStr">
        <is>
          <t>2023-12-31</t>
        </is>
      </c>
    </row>
    <row r="70">
      <c r="A70" t="inlineStr">
        <is>
          <t>financial_assets_agg__20241231</t>
        </is>
      </c>
      <c r="B70" t="n">
        <v>69</v>
      </c>
      <c r="C70" t="inlineStr">
        <is>
          <t>Financial assets</t>
        </is>
      </c>
      <c r="D70" t="inlineStr">
        <is>
          <t>Aggregate the classified balance-sheet detail with the classification column.</t>
        </is>
      </c>
      <c r="E70" t="inlineStr">
        <is>
          <t>condensed.financial_assets.2024-12-31</t>
        </is>
      </c>
      <c r="F70" t="inlineStr">
        <is>
          <t>accounting</t>
        </is>
      </c>
      <c r="G70" t="inlineStr">
        <is>
          <t>Condensed Financials</t>
        </is>
      </c>
      <c r="H70" t="inlineStr">
        <is>
          <t>E38</t>
        </is>
      </c>
      <c r="I70">
        <f>SUMIF($B$6:$B$16,"Financial Asset",F$6:F$16)</f>
        <v/>
      </c>
      <c r="J70" t="n">
        <v>1680</v>
      </c>
      <c r="K70" t="n">
        <v>0.01</v>
      </c>
      <c r="M70" t="inlineStr">
        <is>
          <t>Use SUMIF over the classification column for Financial Asset.</t>
        </is>
      </c>
      <c r="O70" t="inlineStr">
        <is>
          <t>pending</t>
        </is>
      </c>
      <c r="P70" t="inlineStr">
        <is>
          <t>financial_assets_agg</t>
        </is>
      </c>
      <c r="Q70" t="n">
        <v>14</v>
      </c>
      <c r="R70" t="n">
        <v>3</v>
      </c>
      <c r="S70" t="inlineStr">
        <is>
          <t>2024-12-31</t>
        </is>
      </c>
    </row>
    <row r="71">
      <c r="A71" t="inlineStr">
        <is>
          <t>financial_assets_agg__20251231</t>
        </is>
      </c>
      <c r="B71" t="n">
        <v>70</v>
      </c>
      <c r="C71" t="inlineStr">
        <is>
          <t>Financial assets</t>
        </is>
      </c>
      <c r="D71" t="inlineStr">
        <is>
          <t>Aggregate the classified balance-sheet detail with the classification column.</t>
        </is>
      </c>
      <c r="E71" t="inlineStr">
        <is>
          <t>condensed.financial_assets.2025-12-31</t>
        </is>
      </c>
      <c r="F71" t="inlineStr">
        <is>
          <t>accounting</t>
        </is>
      </c>
      <c r="G71" t="inlineStr">
        <is>
          <t>Condensed Financials</t>
        </is>
      </c>
      <c r="H71" t="inlineStr">
        <is>
          <t>F38</t>
        </is>
      </c>
      <c r="I71">
        <f>SUMIF($B$6:$B$16,"Financial Asset",G$6:G$16)</f>
        <v/>
      </c>
      <c r="J71" t="n">
        <v>1850</v>
      </c>
      <c r="K71" t="n">
        <v>0.01</v>
      </c>
      <c r="M71" t="inlineStr">
        <is>
          <t>Use SUMIF over the classification column for Financial Asset.</t>
        </is>
      </c>
      <c r="O71" t="inlineStr">
        <is>
          <t>pending</t>
        </is>
      </c>
      <c r="P71" t="inlineStr">
        <is>
          <t>financial_assets_agg</t>
        </is>
      </c>
      <c r="Q71" t="n">
        <v>14</v>
      </c>
      <c r="R71" t="n">
        <v>4</v>
      </c>
      <c r="S71" t="inlineStr">
        <is>
          <t>2025-12-31</t>
        </is>
      </c>
    </row>
    <row r="72">
      <c r="A72" t="inlineStr">
        <is>
          <t>financial_liabilities_agg__20211231</t>
        </is>
      </c>
      <c r="B72" t="n">
        <v>71</v>
      </c>
      <c r="C72" t="inlineStr">
        <is>
          <t>Financial liabilities</t>
        </is>
      </c>
      <c r="D72" t="inlineStr">
        <is>
          <t>Aggregate the classified balance-sheet detail with the classification column.</t>
        </is>
      </c>
      <c r="E72" t="inlineStr">
        <is>
          <t>condensed.financial_liabilities.2021-12-31</t>
        </is>
      </c>
      <c r="F72" t="inlineStr">
        <is>
          <t>accounting</t>
        </is>
      </c>
      <c r="G72" t="inlineStr">
        <is>
          <t>Condensed Financials</t>
        </is>
      </c>
      <c r="H72" t="inlineStr">
        <is>
          <t>B39</t>
        </is>
      </c>
      <c r="I72">
        <f>SUMIF($B$6:$B$16,"Financial Liability",C$6:C$16)</f>
        <v/>
      </c>
      <c r="J72" t="n">
        <v>1500</v>
      </c>
      <c r="K72" t="n">
        <v>0.01</v>
      </c>
      <c r="M72" t="inlineStr">
        <is>
          <t>Use SUMIF over the classification column for Financial Liability.</t>
        </is>
      </c>
      <c r="O72" t="inlineStr">
        <is>
          <t>pending</t>
        </is>
      </c>
      <c r="P72" t="inlineStr">
        <is>
          <t>financial_liabilities_agg</t>
        </is>
      </c>
      <c r="Q72" t="n">
        <v>15</v>
      </c>
      <c r="R72" t="n">
        <v>0</v>
      </c>
      <c r="S72" t="inlineStr">
        <is>
          <t>2021-12-31</t>
        </is>
      </c>
    </row>
    <row r="73">
      <c r="A73" t="inlineStr">
        <is>
          <t>financial_liabilities_agg__20221231</t>
        </is>
      </c>
      <c r="B73" t="n">
        <v>72</v>
      </c>
      <c r="C73" t="inlineStr">
        <is>
          <t>Financial liabilities</t>
        </is>
      </c>
      <c r="D73" t="inlineStr">
        <is>
          <t>Aggregate the classified balance-sheet detail with the classification column.</t>
        </is>
      </c>
      <c r="E73" t="inlineStr">
        <is>
          <t>condensed.financial_liabilities.2022-12-31</t>
        </is>
      </c>
      <c r="F73" t="inlineStr">
        <is>
          <t>accounting</t>
        </is>
      </c>
      <c r="G73" t="inlineStr">
        <is>
          <t>Condensed Financials</t>
        </is>
      </c>
      <c r="H73" t="inlineStr">
        <is>
          <t>C39</t>
        </is>
      </c>
      <c r="I73">
        <f>SUMIF($B$6:$B$16,"Financial Liability",D$6:D$16)</f>
        <v/>
      </c>
      <c r="J73" t="n">
        <v>1400</v>
      </c>
      <c r="K73" t="n">
        <v>0.01</v>
      </c>
      <c r="M73" t="inlineStr">
        <is>
          <t>Use SUMIF over the classification column for Financial Liability.</t>
        </is>
      </c>
      <c r="O73" t="inlineStr">
        <is>
          <t>pending</t>
        </is>
      </c>
      <c r="P73" t="inlineStr">
        <is>
          <t>financial_liabilities_agg</t>
        </is>
      </c>
      <c r="Q73" t="n">
        <v>15</v>
      </c>
      <c r="R73" t="n">
        <v>1</v>
      </c>
      <c r="S73" t="inlineStr">
        <is>
          <t>2022-12-31</t>
        </is>
      </c>
    </row>
    <row r="74">
      <c r="A74" t="inlineStr">
        <is>
          <t>financial_liabilities_agg__20231231</t>
        </is>
      </c>
      <c r="B74" t="n">
        <v>73</v>
      </c>
      <c r="C74" t="inlineStr">
        <is>
          <t>Financial liabilities</t>
        </is>
      </c>
      <c r="D74" t="inlineStr">
        <is>
          <t>Aggregate the classified balance-sheet detail with the classification column.</t>
        </is>
      </c>
      <c r="E74" t="inlineStr">
        <is>
          <t>condensed.financial_liabilities.2023-12-31</t>
        </is>
      </c>
      <c r="F74" t="inlineStr">
        <is>
          <t>accounting</t>
        </is>
      </c>
      <c r="G74" t="inlineStr">
        <is>
          <t>Condensed Financials</t>
        </is>
      </c>
      <c r="H74" t="inlineStr">
        <is>
          <t>D39</t>
        </is>
      </c>
      <c r="I74">
        <f>SUMIF($B$6:$B$16,"Financial Liability",E$6:E$16)</f>
        <v/>
      </c>
      <c r="J74" t="n">
        <v>1300</v>
      </c>
      <c r="K74" t="n">
        <v>0.01</v>
      </c>
      <c r="M74" t="inlineStr">
        <is>
          <t>Use SUMIF over the classification column for Financial Liability.</t>
        </is>
      </c>
      <c r="O74" t="inlineStr">
        <is>
          <t>pending</t>
        </is>
      </c>
      <c r="P74" t="inlineStr">
        <is>
          <t>financial_liabilities_agg</t>
        </is>
      </c>
      <c r="Q74" t="n">
        <v>15</v>
      </c>
      <c r="R74" t="n">
        <v>2</v>
      </c>
      <c r="S74" t="inlineStr">
        <is>
          <t>2023-12-31</t>
        </is>
      </c>
    </row>
    <row r="75">
      <c r="A75" t="inlineStr">
        <is>
          <t>financial_liabilities_agg__20241231</t>
        </is>
      </c>
      <c r="B75" t="n">
        <v>74</v>
      </c>
      <c r="C75" t="inlineStr">
        <is>
          <t>Financial liabilities</t>
        </is>
      </c>
      <c r="D75" t="inlineStr">
        <is>
          <t>Aggregate the classified balance-sheet detail with the classification column.</t>
        </is>
      </c>
      <c r="E75" t="inlineStr">
        <is>
          <t>condensed.financial_liabilities.2024-12-31</t>
        </is>
      </c>
      <c r="F75" t="inlineStr">
        <is>
          <t>accounting</t>
        </is>
      </c>
      <c r="G75" t="inlineStr">
        <is>
          <t>Condensed Financials</t>
        </is>
      </c>
      <c r="H75" t="inlineStr">
        <is>
          <t>E39</t>
        </is>
      </c>
      <c r="I75">
        <f>SUMIF($B$6:$B$16,"Financial Liability",F$6:F$16)</f>
        <v/>
      </c>
      <c r="J75" t="n">
        <v>1200</v>
      </c>
      <c r="K75" t="n">
        <v>0.01</v>
      </c>
      <c r="M75" t="inlineStr">
        <is>
          <t>Use SUMIF over the classification column for Financial Liability.</t>
        </is>
      </c>
      <c r="O75" t="inlineStr">
        <is>
          <t>pending</t>
        </is>
      </c>
      <c r="P75" t="inlineStr">
        <is>
          <t>financial_liabilities_agg</t>
        </is>
      </c>
      <c r="Q75" t="n">
        <v>15</v>
      </c>
      <c r="R75" t="n">
        <v>3</v>
      </c>
      <c r="S75" t="inlineStr">
        <is>
          <t>2024-12-31</t>
        </is>
      </c>
    </row>
    <row r="76">
      <c r="A76" t="inlineStr">
        <is>
          <t>financial_liabilities_agg__20251231</t>
        </is>
      </c>
      <c r="B76" t="n">
        <v>75</v>
      </c>
      <c r="C76" t="inlineStr">
        <is>
          <t>Financial liabilities</t>
        </is>
      </c>
      <c r="D76" t="inlineStr">
        <is>
          <t>Aggregate the classified balance-sheet detail with the classification column.</t>
        </is>
      </c>
      <c r="E76" t="inlineStr">
        <is>
          <t>condensed.financial_liabilities.2025-12-31</t>
        </is>
      </c>
      <c r="F76" t="inlineStr">
        <is>
          <t>accounting</t>
        </is>
      </c>
      <c r="G76" t="inlineStr">
        <is>
          <t>Condensed Financials</t>
        </is>
      </c>
      <c r="H76" t="inlineStr">
        <is>
          <t>F39</t>
        </is>
      </c>
      <c r="I76">
        <f>SUMIF($B$6:$B$16,"Financial Liability",G$6:G$16)</f>
        <v/>
      </c>
      <c r="J76" t="n">
        <v>1100</v>
      </c>
      <c r="K76" t="n">
        <v>0.01</v>
      </c>
      <c r="M76" t="inlineStr">
        <is>
          <t>Use SUMIF over the classification column for Financial Liability.</t>
        </is>
      </c>
      <c r="O76" t="inlineStr">
        <is>
          <t>pending</t>
        </is>
      </c>
      <c r="P76" t="inlineStr">
        <is>
          <t>financial_liabilities_agg</t>
        </is>
      </c>
      <c r="Q76" t="n">
        <v>15</v>
      </c>
      <c r="R76" t="n">
        <v>4</v>
      </c>
      <c r="S76" t="inlineStr">
        <is>
          <t>2025-12-31</t>
        </is>
      </c>
    </row>
    <row r="77">
      <c r="A77" t="inlineStr">
        <is>
          <t>net_debt__20211231</t>
        </is>
      </c>
      <c r="B77" t="n">
        <v>76</v>
      </c>
      <c r="C77" t="inlineStr">
        <is>
          <t>Net Debt</t>
        </is>
      </c>
      <c r="D77" t="inlineStr">
        <is>
          <t>Financial liabilities minus financial assets.</t>
        </is>
      </c>
      <c r="E77" t="inlineStr">
        <is>
          <t>condensed.net_debt.2021-12-31</t>
        </is>
      </c>
      <c r="F77" t="inlineStr">
        <is>
          <t>accounting</t>
        </is>
      </c>
      <c r="G77" t="inlineStr">
        <is>
          <t>Condensed Financials</t>
        </is>
      </c>
      <c r="H77" t="inlineStr">
        <is>
          <t>B40</t>
        </is>
      </c>
      <c r="I77">
        <f>B39-B38</f>
        <v/>
      </c>
      <c r="J77" t="n">
        <v>300</v>
      </c>
      <c r="K77" t="n">
        <v>0.01</v>
      </c>
      <c r="L77" t="inlineStr">
        <is>
          <t>financial_assets_agg__20211231,financial_liabilities_agg__20211231</t>
        </is>
      </c>
      <c r="M77" t="inlineStr">
        <is>
          <t>Net Debt = SUMIF(Financial Liability) − SUMIF(Financial Asset).|Positive net debt means the firm carries net financial obligations.</t>
        </is>
      </c>
      <c r="O77" t="inlineStr">
        <is>
          <t>pending</t>
        </is>
      </c>
      <c r="P77" t="inlineStr">
        <is>
          <t>net_debt</t>
        </is>
      </c>
      <c r="Q77" t="n">
        <v>16</v>
      </c>
      <c r="R77" t="n">
        <v>0</v>
      </c>
      <c r="S77" t="inlineStr">
        <is>
          <t>2021-12-31</t>
        </is>
      </c>
    </row>
    <row r="78">
      <c r="A78" t="inlineStr">
        <is>
          <t>net_debt__20221231</t>
        </is>
      </c>
      <c r="B78" t="n">
        <v>77</v>
      </c>
      <c r="C78" t="inlineStr">
        <is>
          <t>Net Debt</t>
        </is>
      </c>
      <c r="D78" t="inlineStr">
        <is>
          <t>Financial liabilities minus financial assets.</t>
        </is>
      </c>
      <c r="E78" t="inlineStr">
        <is>
          <t>condensed.net_debt.2022-12-31</t>
        </is>
      </c>
      <c r="F78" t="inlineStr">
        <is>
          <t>accounting</t>
        </is>
      </c>
      <c r="G78" t="inlineStr">
        <is>
          <t>Condensed Financials</t>
        </is>
      </c>
      <c r="H78" t="inlineStr">
        <is>
          <t>C40</t>
        </is>
      </c>
      <c r="I78">
        <f>C39-C38</f>
        <v/>
      </c>
      <c r="J78" t="n">
        <v>50</v>
      </c>
      <c r="K78" t="n">
        <v>0.01</v>
      </c>
      <c r="L78" t="inlineStr">
        <is>
          <t>financial_assets_agg__20221231,financial_liabilities_agg__20221231</t>
        </is>
      </c>
      <c r="M78" t="inlineStr">
        <is>
          <t>Net Debt = SUMIF(Financial Liability) − SUMIF(Financial Asset).|Positive net debt means the firm carries net financial obligations.</t>
        </is>
      </c>
      <c r="O78" t="inlineStr">
        <is>
          <t>pending</t>
        </is>
      </c>
      <c r="P78" t="inlineStr">
        <is>
          <t>net_debt</t>
        </is>
      </c>
      <c r="Q78" t="n">
        <v>16</v>
      </c>
      <c r="R78" t="n">
        <v>1</v>
      </c>
      <c r="S78" t="inlineStr">
        <is>
          <t>2022-12-31</t>
        </is>
      </c>
    </row>
    <row r="79">
      <c r="A79" t="inlineStr">
        <is>
          <t>net_debt__20231231</t>
        </is>
      </c>
      <c r="B79" t="n">
        <v>78</v>
      </c>
      <c r="C79" t="inlineStr">
        <is>
          <t>Net Debt</t>
        </is>
      </c>
      <c r="D79" t="inlineStr">
        <is>
          <t>Financial liabilities minus financial assets.</t>
        </is>
      </c>
      <c r="E79" t="inlineStr">
        <is>
          <t>condensed.net_debt.2023-12-31</t>
        </is>
      </c>
      <c r="F79" t="inlineStr">
        <is>
          <t>accounting</t>
        </is>
      </c>
      <c r="G79" t="inlineStr">
        <is>
          <t>Condensed Financials</t>
        </is>
      </c>
      <c r="H79" t="inlineStr">
        <is>
          <t>D40</t>
        </is>
      </c>
      <c r="I79">
        <f>D39-D38</f>
        <v/>
      </c>
      <c r="J79" t="n">
        <v>-200</v>
      </c>
      <c r="K79" t="n">
        <v>0.01</v>
      </c>
      <c r="L79" t="inlineStr">
        <is>
          <t>financial_assets_agg__20231231,financial_liabilities_agg__20231231</t>
        </is>
      </c>
      <c r="M79" t="inlineStr">
        <is>
          <t>Net Debt = SUMIF(Financial Liability) − SUMIF(Financial Asset).|Positive net debt means the firm carries net financial obligations.</t>
        </is>
      </c>
      <c r="O79" t="inlineStr">
        <is>
          <t>pending</t>
        </is>
      </c>
      <c r="P79" t="inlineStr">
        <is>
          <t>net_debt</t>
        </is>
      </c>
      <c r="Q79" t="n">
        <v>16</v>
      </c>
      <c r="R79" t="n">
        <v>2</v>
      </c>
      <c r="S79" t="inlineStr">
        <is>
          <t>2023-12-31</t>
        </is>
      </c>
    </row>
    <row r="80">
      <c r="A80" t="inlineStr">
        <is>
          <t>net_debt__20241231</t>
        </is>
      </c>
      <c r="B80" t="n">
        <v>79</v>
      </c>
      <c r="C80" t="inlineStr">
        <is>
          <t>Net Debt</t>
        </is>
      </c>
      <c r="D80" t="inlineStr">
        <is>
          <t>Financial liabilities minus financial assets.</t>
        </is>
      </c>
      <c r="E80" t="inlineStr">
        <is>
          <t>condensed.net_debt.2024-12-31</t>
        </is>
      </c>
      <c r="F80" t="inlineStr">
        <is>
          <t>accounting</t>
        </is>
      </c>
      <c r="G80" t="inlineStr">
        <is>
          <t>Condensed Financials</t>
        </is>
      </c>
      <c r="H80" t="inlineStr">
        <is>
          <t>E40</t>
        </is>
      </c>
      <c r="I80">
        <f>E39-E38</f>
        <v/>
      </c>
      <c r="J80" t="n">
        <v>-480</v>
      </c>
      <c r="K80" t="n">
        <v>0.01</v>
      </c>
      <c r="L80" t="inlineStr">
        <is>
          <t>financial_assets_agg__20241231,financial_liabilities_agg__20241231</t>
        </is>
      </c>
      <c r="M80" t="inlineStr">
        <is>
          <t>Net Debt = SUMIF(Financial Liability) − SUMIF(Financial Asset).|Positive net debt means the firm carries net financial obligations.</t>
        </is>
      </c>
      <c r="O80" t="inlineStr">
        <is>
          <t>pending</t>
        </is>
      </c>
      <c r="P80" t="inlineStr">
        <is>
          <t>net_debt</t>
        </is>
      </c>
      <c r="Q80" t="n">
        <v>16</v>
      </c>
      <c r="R80" t="n">
        <v>3</v>
      </c>
      <c r="S80" t="inlineStr">
        <is>
          <t>2024-12-31</t>
        </is>
      </c>
    </row>
    <row r="81">
      <c r="A81" t="inlineStr">
        <is>
          <t>net_debt__20251231</t>
        </is>
      </c>
      <c r="B81" t="n">
        <v>80</v>
      </c>
      <c r="C81" t="inlineStr">
        <is>
          <t>Net Debt</t>
        </is>
      </c>
      <c r="D81" t="inlineStr">
        <is>
          <t>Financial liabilities minus financial assets.</t>
        </is>
      </c>
      <c r="E81" t="inlineStr">
        <is>
          <t>condensed.net_debt.2025-12-31</t>
        </is>
      </c>
      <c r="F81" t="inlineStr">
        <is>
          <t>accounting</t>
        </is>
      </c>
      <c r="G81" t="inlineStr">
        <is>
          <t>Condensed Financials</t>
        </is>
      </c>
      <c r="H81" t="inlineStr">
        <is>
          <t>F40</t>
        </is>
      </c>
      <c r="I81">
        <f>F39-F38</f>
        <v/>
      </c>
      <c r="J81" t="n">
        <v>-750</v>
      </c>
      <c r="K81" t="n">
        <v>0.01</v>
      </c>
      <c r="L81" t="inlineStr">
        <is>
          <t>financial_assets_agg__20251231,financial_liabilities_agg__20251231</t>
        </is>
      </c>
      <c r="M81" t="inlineStr">
        <is>
          <t>Net Debt = SUMIF(Financial Liability) − SUMIF(Financial Asset).|Positive net debt means the firm carries net financial obligations.</t>
        </is>
      </c>
      <c r="O81" t="inlineStr">
        <is>
          <t>pending</t>
        </is>
      </c>
      <c r="P81" t="inlineStr">
        <is>
          <t>net_debt</t>
        </is>
      </c>
      <c r="Q81" t="n">
        <v>16</v>
      </c>
      <c r="R81" t="n">
        <v>4</v>
      </c>
      <c r="S81" t="inlineStr">
        <is>
          <t>2025-12-31</t>
        </is>
      </c>
    </row>
    <row r="82">
      <c r="A82" t="inlineStr">
        <is>
          <t>equity_reformulated_fy__20211231</t>
        </is>
      </c>
      <c r="B82" t="n">
        <v>81</v>
      </c>
      <c r="C82" t="inlineStr">
        <is>
          <t>Reformulated equity</t>
        </is>
      </c>
      <c r="D82" t="inlineStr">
        <is>
          <t>Use the operating/financing identity linking NOA, Net Debt, and Equity.</t>
        </is>
      </c>
      <c r="E82" t="inlineStr">
        <is>
          <t>condensed.equity.2021-12-31</t>
        </is>
      </c>
      <c r="F82" t="inlineStr">
        <is>
          <t>accounting</t>
        </is>
      </c>
      <c r="G82" t="inlineStr">
        <is>
          <t>Condensed Financials</t>
        </is>
      </c>
      <c r="H82" t="inlineStr">
        <is>
          <t>B41</t>
        </is>
      </c>
      <c r="I82">
        <f>B37-B40</f>
        <v/>
      </c>
      <c r="J82" t="n">
        <v>5100</v>
      </c>
      <c r="K82" t="n">
        <v>0.01</v>
      </c>
      <c r="L82" t="inlineStr">
        <is>
          <t>noa_agg__20211231,net_debt__20211231</t>
        </is>
      </c>
      <c r="M82" t="inlineStr">
        <is>
          <t>Reformulated Equity = NOA − Net Debt.|This identity must reconcile to reported equity within tolerance.</t>
        </is>
      </c>
      <c r="O82" t="inlineStr">
        <is>
          <t>pending</t>
        </is>
      </c>
      <c r="P82" t="inlineStr">
        <is>
          <t>equity_reformulated_fy</t>
        </is>
      </c>
      <c r="Q82" t="n">
        <v>17</v>
      </c>
      <c r="R82" t="n">
        <v>0</v>
      </c>
      <c r="S82" t="inlineStr">
        <is>
          <t>2021-12-31</t>
        </is>
      </c>
    </row>
    <row r="83">
      <c r="A83" t="inlineStr">
        <is>
          <t>equity_reformulated_fy__20221231</t>
        </is>
      </c>
      <c r="B83" t="n">
        <v>82</v>
      </c>
      <c r="C83" t="inlineStr">
        <is>
          <t>Reformulated equity</t>
        </is>
      </c>
      <c r="D83" t="inlineStr">
        <is>
          <t>Use the operating/financing identity linking NOA, Net Debt, and Equity.</t>
        </is>
      </c>
      <c r="E83" t="inlineStr">
        <is>
          <t>condensed.equity.2022-12-31</t>
        </is>
      </c>
      <c r="F83" t="inlineStr">
        <is>
          <t>accounting</t>
        </is>
      </c>
      <c r="G83" t="inlineStr">
        <is>
          <t>Condensed Financials</t>
        </is>
      </c>
      <c r="H83" t="inlineStr">
        <is>
          <t>C41</t>
        </is>
      </c>
      <c r="I83">
        <f>C37-C40</f>
        <v/>
      </c>
      <c r="J83" t="n">
        <v>5700</v>
      </c>
      <c r="K83" t="n">
        <v>0.01</v>
      </c>
      <c r="L83" t="inlineStr">
        <is>
          <t>noa_agg__20221231,net_debt__20221231</t>
        </is>
      </c>
      <c r="M83" t="inlineStr">
        <is>
          <t>Reformulated Equity = NOA − Net Debt.|This identity must reconcile to reported equity within tolerance.</t>
        </is>
      </c>
      <c r="O83" t="inlineStr">
        <is>
          <t>pending</t>
        </is>
      </c>
      <c r="P83" t="inlineStr">
        <is>
          <t>equity_reformulated_fy</t>
        </is>
      </c>
      <c r="Q83" t="n">
        <v>17</v>
      </c>
      <c r="R83" t="n">
        <v>1</v>
      </c>
      <c r="S83" t="inlineStr">
        <is>
          <t>2022-12-31</t>
        </is>
      </c>
    </row>
    <row r="84">
      <c r="A84" t="inlineStr">
        <is>
          <t>equity_reformulated_fy__20231231</t>
        </is>
      </c>
      <c r="B84" t="n">
        <v>83</v>
      </c>
      <c r="C84" t="inlineStr">
        <is>
          <t>Reformulated equity</t>
        </is>
      </c>
      <c r="D84" t="inlineStr">
        <is>
          <t>Use the operating/financing identity linking NOA, Net Debt, and Equity.</t>
        </is>
      </c>
      <c r="E84" t="inlineStr">
        <is>
          <t>condensed.equity.2023-12-31</t>
        </is>
      </c>
      <c r="F84" t="inlineStr">
        <is>
          <t>accounting</t>
        </is>
      </c>
      <c r="G84" t="inlineStr">
        <is>
          <t>Condensed Financials</t>
        </is>
      </c>
      <c r="H84" t="inlineStr">
        <is>
          <t>D41</t>
        </is>
      </c>
      <c r="I84">
        <f>D37-D40</f>
        <v/>
      </c>
      <c r="J84" t="n">
        <v>6500</v>
      </c>
      <c r="K84" t="n">
        <v>0.01</v>
      </c>
      <c r="L84" t="inlineStr">
        <is>
          <t>noa_agg__20231231,net_debt__20231231</t>
        </is>
      </c>
      <c r="M84" t="inlineStr">
        <is>
          <t>Reformulated Equity = NOA − Net Debt.|This identity must reconcile to reported equity within tolerance.</t>
        </is>
      </c>
      <c r="O84" t="inlineStr">
        <is>
          <t>pending</t>
        </is>
      </c>
      <c r="P84" t="inlineStr">
        <is>
          <t>equity_reformulated_fy</t>
        </is>
      </c>
      <c r="Q84" t="n">
        <v>17</v>
      </c>
      <c r="R84" t="n">
        <v>2</v>
      </c>
      <c r="S84" t="inlineStr">
        <is>
          <t>2023-12-31</t>
        </is>
      </c>
    </row>
    <row r="85">
      <c r="A85" t="inlineStr">
        <is>
          <t>equity_reformulated_fy__20241231</t>
        </is>
      </c>
      <c r="B85" t="n">
        <v>84</v>
      </c>
      <c r="C85" t="inlineStr">
        <is>
          <t>Reformulated equity</t>
        </is>
      </c>
      <c r="D85" t="inlineStr">
        <is>
          <t>Use the operating/financing identity linking NOA, Net Debt, and Equity.</t>
        </is>
      </c>
      <c r="E85" t="inlineStr">
        <is>
          <t>condensed.equity.2024-12-31</t>
        </is>
      </c>
      <c r="F85" t="inlineStr">
        <is>
          <t>accounting</t>
        </is>
      </c>
      <c r="G85" t="inlineStr">
        <is>
          <t>Condensed Financials</t>
        </is>
      </c>
      <c r="H85" t="inlineStr">
        <is>
          <t>E41</t>
        </is>
      </c>
      <c r="I85">
        <f>E37-E40</f>
        <v/>
      </c>
      <c r="J85" t="n">
        <v>7500</v>
      </c>
      <c r="K85" t="n">
        <v>0.01</v>
      </c>
      <c r="L85" t="inlineStr">
        <is>
          <t>noa_agg__20241231,net_debt__20241231</t>
        </is>
      </c>
      <c r="M85" t="inlineStr">
        <is>
          <t>Reformulated Equity = NOA − Net Debt.|This identity must reconcile to reported equity within tolerance.</t>
        </is>
      </c>
      <c r="O85" t="inlineStr">
        <is>
          <t>pending</t>
        </is>
      </c>
      <c r="P85" t="inlineStr">
        <is>
          <t>equity_reformulated_fy</t>
        </is>
      </c>
      <c r="Q85" t="n">
        <v>17</v>
      </c>
      <c r="R85" t="n">
        <v>3</v>
      </c>
      <c r="S85" t="inlineStr">
        <is>
          <t>2024-12-31</t>
        </is>
      </c>
    </row>
    <row r="86">
      <c r="A86" t="inlineStr">
        <is>
          <t>equity_reformulated_fy__20251231</t>
        </is>
      </c>
      <c r="B86" t="n">
        <v>85</v>
      </c>
      <c r="C86" t="inlineStr">
        <is>
          <t>Reformulated equity</t>
        </is>
      </c>
      <c r="D86" t="inlineStr">
        <is>
          <t>Use the operating/financing identity linking NOA, Net Debt, and Equity.</t>
        </is>
      </c>
      <c r="E86" t="inlineStr">
        <is>
          <t>condensed.equity.2025-12-31</t>
        </is>
      </c>
      <c r="F86" t="inlineStr">
        <is>
          <t>accounting</t>
        </is>
      </c>
      <c r="G86" t="inlineStr">
        <is>
          <t>Condensed Financials</t>
        </is>
      </c>
      <c r="H86" t="inlineStr">
        <is>
          <t>F41</t>
        </is>
      </c>
      <c r="I86">
        <f>F37-F40</f>
        <v/>
      </c>
      <c r="J86" t="n">
        <v>8700</v>
      </c>
      <c r="K86" t="n">
        <v>0.01</v>
      </c>
      <c r="L86" t="inlineStr">
        <is>
          <t>noa_agg__20251231,net_debt__20251231</t>
        </is>
      </c>
      <c r="M86" t="inlineStr">
        <is>
          <t>Reformulated Equity = NOA − Net Debt.|This identity must reconcile to reported equity within tolerance.</t>
        </is>
      </c>
      <c r="O86" t="inlineStr">
        <is>
          <t>pending</t>
        </is>
      </c>
      <c r="P86" t="inlineStr">
        <is>
          <t>equity_reformulated_fy</t>
        </is>
      </c>
      <c r="Q86" t="n">
        <v>17</v>
      </c>
      <c r="R86" t="n">
        <v>4</v>
      </c>
      <c r="S86" t="inlineStr">
        <is>
          <t>2025-12-31</t>
        </is>
      </c>
    </row>
    <row r="87">
      <c r="A87" t="inlineStr">
        <is>
          <t>sales_growth__20221231</t>
        </is>
      </c>
      <c r="B87" t="n">
        <v>86</v>
      </c>
      <c r="C87" t="inlineStr">
        <is>
          <t>Sales Growth</t>
        </is>
      </c>
      <c r="D87" t="inlineStr">
        <is>
          <t>Current Revenue relative to the immediately preceding fiscal year.</t>
        </is>
      </c>
      <c r="E87" t="inlineStr">
        <is>
          <t>dupont.sales_growth.2022-12-31</t>
        </is>
      </c>
      <c r="F87" t="inlineStr">
        <is>
          <t>dupont</t>
        </is>
      </c>
      <c r="G87" t="inlineStr">
        <is>
          <t>ALT DuPont</t>
        </is>
      </c>
      <c r="H87" t="inlineStr">
        <is>
          <t>C5</t>
        </is>
      </c>
      <c r="I87">
        <f>IF('Condensed Financials'!B19=0,NA(),'Condensed Financials'!C19/'Condensed Financials'!B19-1)</f>
        <v/>
      </c>
      <c r="J87" t="n">
        <v>0.08235294117647052</v>
      </c>
      <c r="K87" t="n">
        <v>0.01</v>
      </c>
      <c r="L87" t="inlineStr">
        <is>
          <t>revenue_link__20221231,revenue_link__20211231</t>
        </is>
      </c>
      <c r="M87" t="inlineStr">
        <is>
          <t>Sales Growth = Current Revenue / Prior Revenue − 1.|A zero denominator makes this ratio undefined (#N/A), not 0%.</t>
        </is>
      </c>
      <c r="O87" t="inlineStr">
        <is>
          <t>pending</t>
        </is>
      </c>
      <c r="P87" t="inlineStr">
        <is>
          <t>sales_growth</t>
        </is>
      </c>
      <c r="Q87" t="n">
        <v>18</v>
      </c>
      <c r="R87" t="n">
        <v>1</v>
      </c>
      <c r="S87" t="inlineStr">
        <is>
          <t>2022-12-31</t>
        </is>
      </c>
    </row>
    <row r="88">
      <c r="A88" t="inlineStr">
        <is>
          <t>sales_growth__20231231</t>
        </is>
      </c>
      <c r="B88" t="n">
        <v>87</v>
      </c>
      <c r="C88" t="inlineStr">
        <is>
          <t>Sales Growth</t>
        </is>
      </c>
      <c r="D88" t="inlineStr">
        <is>
          <t>Current Revenue relative to the immediately preceding fiscal year.</t>
        </is>
      </c>
      <c r="E88" t="inlineStr">
        <is>
          <t>dupont.sales_growth.2023-12-31</t>
        </is>
      </c>
      <c r="F88" t="inlineStr">
        <is>
          <t>dupont</t>
        </is>
      </c>
      <c r="G88" t="inlineStr">
        <is>
          <t>ALT DuPont</t>
        </is>
      </c>
      <c r="H88" t="inlineStr">
        <is>
          <t>D5</t>
        </is>
      </c>
      <c r="I88">
        <f>IF('Condensed Financials'!C19=0,NA(),'Condensed Financials'!D19/'Condensed Financials'!C19-1)</f>
        <v/>
      </c>
      <c r="J88" t="n">
        <v>0.09782608695652173</v>
      </c>
      <c r="K88" t="n">
        <v>0.01</v>
      </c>
      <c r="L88" t="inlineStr">
        <is>
          <t>revenue_link__20231231,revenue_link__20221231</t>
        </is>
      </c>
      <c r="M88" t="inlineStr">
        <is>
          <t>Sales Growth = Current Revenue / Prior Revenue − 1.|A zero denominator makes this ratio undefined (#N/A), not 0%.</t>
        </is>
      </c>
      <c r="O88" t="inlineStr">
        <is>
          <t>pending</t>
        </is>
      </c>
      <c r="P88" t="inlineStr">
        <is>
          <t>sales_growth</t>
        </is>
      </c>
      <c r="Q88" t="n">
        <v>18</v>
      </c>
      <c r="R88" t="n">
        <v>2</v>
      </c>
      <c r="S88" t="inlineStr">
        <is>
          <t>2023-12-31</t>
        </is>
      </c>
    </row>
    <row r="89">
      <c r="A89" t="inlineStr">
        <is>
          <t>sales_growth__20241231</t>
        </is>
      </c>
      <c r="B89" t="n">
        <v>88</v>
      </c>
      <c r="C89" t="inlineStr">
        <is>
          <t>Sales Growth</t>
        </is>
      </c>
      <c r="D89" t="inlineStr">
        <is>
          <t>Current Revenue relative to the immediately preceding fiscal year.</t>
        </is>
      </c>
      <c r="E89" t="inlineStr">
        <is>
          <t>dupont.sales_growth.2024-12-31</t>
        </is>
      </c>
      <c r="F89" t="inlineStr">
        <is>
          <t>dupont</t>
        </is>
      </c>
      <c r="G89" t="inlineStr">
        <is>
          <t>ALT DuPont</t>
        </is>
      </c>
      <c r="H89" t="inlineStr">
        <is>
          <t>E5</t>
        </is>
      </c>
      <c r="I89">
        <f>IF('Condensed Financials'!D19=0,NA(),'Condensed Financials'!E19/'Condensed Financials'!D19-1)</f>
        <v/>
      </c>
      <c r="J89" t="n">
        <v>0.108910891089109</v>
      </c>
      <c r="K89" t="n">
        <v>0.01</v>
      </c>
      <c r="L89" t="inlineStr">
        <is>
          <t>revenue_link__20241231,revenue_link__20231231</t>
        </is>
      </c>
      <c r="M89" t="inlineStr">
        <is>
          <t>Sales Growth = Current Revenue / Prior Revenue − 1.|A zero denominator makes this ratio undefined (#N/A), not 0%.</t>
        </is>
      </c>
      <c r="O89" t="inlineStr">
        <is>
          <t>pending</t>
        </is>
      </c>
      <c r="P89" t="inlineStr">
        <is>
          <t>sales_growth</t>
        </is>
      </c>
      <c r="Q89" t="n">
        <v>18</v>
      </c>
      <c r="R89" t="n">
        <v>3</v>
      </c>
      <c r="S89" t="inlineStr">
        <is>
          <t>2024-12-31</t>
        </is>
      </c>
    </row>
    <row r="90">
      <c r="A90" t="inlineStr">
        <is>
          <t>sales_growth__20251231</t>
        </is>
      </c>
      <c r="B90" t="n">
        <v>89</v>
      </c>
      <c r="C90" t="inlineStr">
        <is>
          <t>Sales Growth</t>
        </is>
      </c>
      <c r="D90" t="inlineStr">
        <is>
          <t>Current Revenue relative to the immediately preceding fiscal year.</t>
        </is>
      </c>
      <c r="E90" t="inlineStr">
        <is>
          <t>dupont.sales_growth.2025-12-31</t>
        </is>
      </c>
      <c r="F90" t="inlineStr">
        <is>
          <t>dupont</t>
        </is>
      </c>
      <c r="G90" t="inlineStr">
        <is>
          <t>ALT DuPont</t>
        </is>
      </c>
      <c r="H90" t="inlineStr">
        <is>
          <t>F5</t>
        </is>
      </c>
      <c r="I90">
        <f>IF('Condensed Financials'!E19=0,NA(),'Condensed Financials'!F19/'Condensed Financials'!E19-1)</f>
        <v/>
      </c>
      <c r="J90" t="n">
        <v>0.1160714285714286</v>
      </c>
      <c r="K90" t="n">
        <v>0.01</v>
      </c>
      <c r="L90" t="inlineStr">
        <is>
          <t>revenue_link__20251231,revenue_link__20241231</t>
        </is>
      </c>
      <c r="M90" t="inlineStr">
        <is>
          <t>Sales Growth = Current Revenue / Prior Revenue − 1.|A zero denominator makes this ratio undefined (#N/A), not 0%.</t>
        </is>
      </c>
      <c r="O90" t="inlineStr">
        <is>
          <t>pending</t>
        </is>
      </c>
      <c r="P90" t="inlineStr">
        <is>
          <t>sales_growth</t>
        </is>
      </c>
      <c r="Q90" t="n">
        <v>18</v>
      </c>
      <c r="R90" t="n">
        <v>4</v>
      </c>
      <c r="S90" t="inlineStr">
        <is>
          <t>2025-12-31</t>
        </is>
      </c>
    </row>
    <row r="91">
      <c r="A91" t="inlineStr">
        <is>
          <t>nopat_margin__20211231</t>
        </is>
      </c>
      <c r="B91" t="n">
        <v>90</v>
      </c>
      <c r="C91" t="inlineStr">
        <is>
          <t>NOPAT Margin</t>
        </is>
      </c>
      <c r="D91" t="inlineStr">
        <is>
          <t>NOPAT divided by Revenue for the same fiscal period.</t>
        </is>
      </c>
      <c r="E91" t="inlineStr">
        <is>
          <t>dupont.nopat_margin.2021-12-31</t>
        </is>
      </c>
      <c r="F91" t="inlineStr">
        <is>
          <t>dupont</t>
        </is>
      </c>
      <c r="G91" t="inlineStr">
        <is>
          <t>ALT DuPont</t>
        </is>
      </c>
      <c r="H91" t="inlineStr">
        <is>
          <t>B6</t>
        </is>
      </c>
      <c r="I91">
        <f>IF('Condensed Financials'!B19=0,NA(),'Condensed Financials'!B28/'Condensed Financials'!B19)</f>
        <v/>
      </c>
      <c r="J91" t="n">
        <v>0.3320300751879699</v>
      </c>
      <c r="K91" t="n">
        <v>0.01</v>
      </c>
      <c r="L91" t="inlineStr">
        <is>
          <t>nopat_fy__20211231,revenue_link__20211231</t>
        </is>
      </c>
      <c r="M91" t="inlineStr">
        <is>
          <t>NOPAT Margin = NOPAT / Revenue.|A zero denominator makes this ratio undefined (#N/A), not 0%.</t>
        </is>
      </c>
      <c r="O91" t="inlineStr">
        <is>
          <t>pending</t>
        </is>
      </c>
      <c r="P91" t="inlineStr">
        <is>
          <t>nopat_margin</t>
        </is>
      </c>
      <c r="Q91" t="n">
        <v>19</v>
      </c>
      <c r="R91" t="n">
        <v>0</v>
      </c>
      <c r="S91" t="inlineStr">
        <is>
          <t>2021-12-31</t>
        </is>
      </c>
    </row>
    <row r="92">
      <c r="A92" t="inlineStr">
        <is>
          <t>nopat_margin__20221231</t>
        </is>
      </c>
      <c r="B92" t="n">
        <v>91</v>
      </c>
      <c r="C92" t="inlineStr">
        <is>
          <t>NOPAT Margin</t>
        </is>
      </c>
      <c r="D92" t="inlineStr">
        <is>
          <t>NOPAT divided by Revenue for the same fiscal period.</t>
        </is>
      </c>
      <c r="E92" t="inlineStr">
        <is>
          <t>dupont.nopat_margin.2022-12-31</t>
        </is>
      </c>
      <c r="F92" t="inlineStr">
        <is>
          <t>dupont</t>
        </is>
      </c>
      <c r="G92" t="inlineStr">
        <is>
          <t>ALT DuPont</t>
        </is>
      </c>
      <c r="H92" t="inlineStr">
        <is>
          <t>C6</t>
        </is>
      </c>
      <c r="I92">
        <f>IF('Condensed Financials'!C19=0,NA(),'Condensed Financials'!C28/'Condensed Financials'!C19)</f>
        <v/>
      </c>
      <c r="J92" t="n">
        <v>0.332</v>
      </c>
      <c r="K92" t="n">
        <v>0.01</v>
      </c>
      <c r="L92" t="inlineStr">
        <is>
          <t>nopat_fy__20221231,revenue_link__20221231</t>
        </is>
      </c>
      <c r="M92" t="inlineStr">
        <is>
          <t>NOPAT Margin = NOPAT / Revenue.|A zero denominator makes this ratio undefined (#N/A), not 0%.</t>
        </is>
      </c>
      <c r="O92" t="inlineStr">
        <is>
          <t>pending</t>
        </is>
      </c>
      <c r="P92" t="inlineStr">
        <is>
          <t>nopat_margin</t>
        </is>
      </c>
      <c r="Q92" t="n">
        <v>19</v>
      </c>
      <c r="R92" t="n">
        <v>1</v>
      </c>
      <c r="S92" t="inlineStr">
        <is>
          <t>2022-12-31</t>
        </is>
      </c>
    </row>
    <row r="93">
      <c r="A93" t="inlineStr">
        <is>
          <t>nopat_margin__20231231</t>
        </is>
      </c>
      <c r="B93" t="n">
        <v>92</v>
      </c>
      <c r="C93" t="inlineStr">
        <is>
          <t>NOPAT Margin</t>
        </is>
      </c>
      <c r="D93" t="inlineStr">
        <is>
          <t>NOPAT divided by Revenue for the same fiscal period.</t>
        </is>
      </c>
      <c r="E93" t="inlineStr">
        <is>
          <t>dupont.nopat_margin.2023-12-31</t>
        </is>
      </c>
      <c r="F93" t="inlineStr">
        <is>
          <t>dupont</t>
        </is>
      </c>
      <c r="G93" t="inlineStr">
        <is>
          <t>ALT DuPont</t>
        </is>
      </c>
      <c r="H93" t="inlineStr">
        <is>
          <t>D6</t>
        </is>
      </c>
      <c r="I93">
        <f>IF('Condensed Financials'!D19=0,NA(),'Condensed Financials'!D28/'Condensed Financials'!D19)</f>
        <v/>
      </c>
      <c r="J93" t="n">
        <v>0.3320353982300885</v>
      </c>
      <c r="K93" t="n">
        <v>0.01</v>
      </c>
      <c r="L93" t="inlineStr">
        <is>
          <t>nopat_fy__20231231,revenue_link__20231231</t>
        </is>
      </c>
      <c r="M93" t="inlineStr">
        <is>
          <t>NOPAT Margin = NOPAT / Revenue.|A zero denominator makes this ratio undefined (#N/A), not 0%.</t>
        </is>
      </c>
      <c r="O93" t="inlineStr">
        <is>
          <t>pending</t>
        </is>
      </c>
      <c r="P93" t="inlineStr">
        <is>
          <t>nopat_margin</t>
        </is>
      </c>
      <c r="Q93" t="n">
        <v>19</v>
      </c>
      <c r="R93" t="n">
        <v>2</v>
      </c>
      <c r="S93" t="inlineStr">
        <is>
          <t>2023-12-31</t>
        </is>
      </c>
    </row>
    <row r="94">
      <c r="A94" t="inlineStr">
        <is>
          <t>nopat_margin__20241231</t>
        </is>
      </c>
      <c r="B94" t="n">
        <v>93</v>
      </c>
      <c r="C94" t="inlineStr">
        <is>
          <t>NOPAT Margin</t>
        </is>
      </c>
      <c r="D94" t="inlineStr">
        <is>
          <t>NOPAT divided by Revenue for the same fiscal period.</t>
        </is>
      </c>
      <c r="E94" t="inlineStr">
        <is>
          <t>dupont.nopat_margin.2024-12-31</t>
        </is>
      </c>
      <c r="F94" t="inlineStr">
        <is>
          <t>dupont</t>
        </is>
      </c>
      <c r="G94" t="inlineStr">
        <is>
          <t>ALT DuPont</t>
        </is>
      </c>
      <c r="H94" t="inlineStr">
        <is>
          <t>E6</t>
        </is>
      </c>
      <c r="I94">
        <f>IF('Condensed Financials'!E19=0,NA(),'Condensed Financials'!E28/'Condensed Financials'!E19)</f>
        <v/>
      </c>
      <c r="J94" t="n">
        <v>0.3320273348519363</v>
      </c>
      <c r="K94" t="n">
        <v>0.01</v>
      </c>
      <c r="L94" t="inlineStr">
        <is>
          <t>nopat_fy__20241231,revenue_link__20241231</t>
        </is>
      </c>
      <c r="M94" t="inlineStr">
        <is>
          <t>NOPAT Margin = NOPAT / Revenue.|A zero denominator makes this ratio undefined (#N/A), not 0%.</t>
        </is>
      </c>
      <c r="O94" t="inlineStr">
        <is>
          <t>pending</t>
        </is>
      </c>
      <c r="P94" t="inlineStr">
        <is>
          <t>nopat_margin</t>
        </is>
      </c>
      <c r="Q94" t="n">
        <v>19</v>
      </c>
      <c r="R94" t="n">
        <v>3</v>
      </c>
      <c r="S94" t="inlineStr">
        <is>
          <t>2024-12-31</t>
        </is>
      </c>
    </row>
    <row r="95">
      <c r="A95" t="inlineStr">
        <is>
          <t>nopat_margin__20251231</t>
        </is>
      </c>
      <c r="B95" t="n">
        <v>94</v>
      </c>
      <c r="C95" t="inlineStr">
        <is>
          <t>NOPAT Margin</t>
        </is>
      </c>
      <c r="D95" t="inlineStr">
        <is>
          <t>NOPAT divided by Revenue for the same fiscal period.</t>
        </is>
      </c>
      <c r="E95" t="inlineStr">
        <is>
          <t>dupont.nopat_margin.2025-12-31</t>
        </is>
      </c>
      <c r="F95" t="inlineStr">
        <is>
          <t>dupont</t>
        </is>
      </c>
      <c r="G95" t="inlineStr">
        <is>
          <t>ALT DuPont</t>
        </is>
      </c>
      <c r="H95" t="inlineStr">
        <is>
          <t>F6</t>
        </is>
      </c>
      <c r="I95">
        <f>IF('Condensed Financials'!F19=0,NA(),'Condensed Financials'!F28/'Condensed Financials'!F19)</f>
        <v/>
      </c>
      <c r="J95" t="n">
        <v>0.3320693170234455</v>
      </c>
      <c r="K95" t="n">
        <v>0.01</v>
      </c>
      <c r="L95" t="inlineStr">
        <is>
          <t>nopat_fy__20251231,revenue_link__20251231</t>
        </is>
      </c>
      <c r="M95" t="inlineStr">
        <is>
          <t>NOPAT Margin = NOPAT / Revenue.|A zero denominator makes this ratio undefined (#N/A), not 0%.</t>
        </is>
      </c>
      <c r="O95" t="inlineStr">
        <is>
          <t>pending</t>
        </is>
      </c>
      <c r="P95" t="inlineStr">
        <is>
          <t>nopat_margin</t>
        </is>
      </c>
      <c r="Q95" t="n">
        <v>19</v>
      </c>
      <c r="R95" t="n">
        <v>4</v>
      </c>
      <c r="S95" t="inlineStr">
        <is>
          <t>2025-12-31</t>
        </is>
      </c>
    </row>
    <row r="96">
      <c r="A96" t="inlineStr">
        <is>
          <t>rnoa__20221231</t>
        </is>
      </c>
      <c r="B96" t="n">
        <v>95</v>
      </c>
      <c r="C96" t="inlineStr">
        <is>
          <t>Return on Net Operating Assets (RNOA)</t>
        </is>
      </c>
      <c r="D96" t="inlineStr">
        <is>
          <t>NOPAT divided by average NOA.</t>
        </is>
      </c>
      <c r="E96" t="inlineStr">
        <is>
          <t>dupont.rnoa.2022-12-31</t>
        </is>
      </c>
      <c r="F96" t="inlineStr">
        <is>
          <t>dupont</t>
        </is>
      </c>
      <c r="G96" t="inlineStr">
        <is>
          <t>ALT DuPont</t>
        </is>
      </c>
      <c r="H96" t="inlineStr">
        <is>
          <t>C7</t>
        </is>
      </c>
      <c r="I96">
        <f>IF((('Condensed Financials'!C37+'Condensed Financials'!B37)/2)=0,NA(),'Condensed Financials'!C28/(('Condensed Financials'!C37+'Condensed Financials'!B37)/2))</f>
        <v/>
      </c>
      <c r="J96" t="n">
        <v>0.5478744394618834</v>
      </c>
      <c r="K96" t="n">
        <v>0.01</v>
      </c>
      <c r="L96" t="inlineStr">
        <is>
          <t>nopat_fy__20221231,noa_agg__20221231,noa_agg__20211231</t>
        </is>
      </c>
      <c r="M96" t="inlineStr">
        <is>
          <t>RNOA = NOPAT / Average NOA.|Average NOA = (Beginning NOA + Ending NOA) / 2.|A zero denominator makes this ratio undefined (#N/A), not 0%.</t>
        </is>
      </c>
      <c r="O96" t="inlineStr">
        <is>
          <t>pending</t>
        </is>
      </c>
      <c r="P96" t="inlineStr">
        <is>
          <t>rnoa</t>
        </is>
      </c>
      <c r="Q96" t="n">
        <v>20</v>
      </c>
      <c r="R96" t="n">
        <v>1</v>
      </c>
      <c r="S96" t="inlineStr">
        <is>
          <t>2022-12-31</t>
        </is>
      </c>
    </row>
    <row r="97">
      <c r="A97" t="inlineStr">
        <is>
          <t>rnoa__20231231</t>
        </is>
      </c>
      <c r="B97" t="n">
        <v>96</v>
      </c>
      <c r="C97" t="inlineStr">
        <is>
          <t>Return on Net Operating Assets (RNOA)</t>
        </is>
      </c>
      <c r="D97" t="inlineStr">
        <is>
          <t>NOPAT divided by average NOA.</t>
        </is>
      </c>
      <c r="E97" t="inlineStr">
        <is>
          <t>dupont.rnoa.2023-12-31</t>
        </is>
      </c>
      <c r="F97" t="inlineStr">
        <is>
          <t>dupont</t>
        </is>
      </c>
      <c r="G97" t="inlineStr">
        <is>
          <t>ALT DuPont</t>
        </is>
      </c>
      <c r="H97" t="inlineStr">
        <is>
          <t>D7</t>
        </is>
      </c>
      <c r="I97">
        <f>IF((('Condensed Financials'!D37+'Condensed Financials'!C37)/2)=0,NA(),'Condensed Financials'!D28/(('Condensed Financials'!D37+'Condensed Financials'!C37)/2))</f>
        <v/>
      </c>
      <c r="J97" t="n">
        <v>0.5566070576139243</v>
      </c>
      <c r="K97" t="n">
        <v>0.01</v>
      </c>
      <c r="L97" t="inlineStr">
        <is>
          <t>nopat_fy__20231231,noa_agg__20231231,noa_agg__20221231</t>
        </is>
      </c>
      <c r="M97" t="inlineStr">
        <is>
          <t>RNOA = NOPAT / Average NOA.|Average NOA = (Beginning NOA + Ending NOA) / 2.|A zero denominator makes this ratio undefined (#N/A), not 0%.</t>
        </is>
      </c>
      <c r="O97" t="inlineStr">
        <is>
          <t>pending</t>
        </is>
      </c>
      <c r="P97" t="inlineStr">
        <is>
          <t>rnoa</t>
        </is>
      </c>
      <c r="Q97" t="n">
        <v>20</v>
      </c>
      <c r="R97" t="n">
        <v>2</v>
      </c>
      <c r="S97" t="inlineStr">
        <is>
          <t>2023-12-31</t>
        </is>
      </c>
    </row>
    <row r="98">
      <c r="A98" t="inlineStr">
        <is>
          <t>rnoa__20241231</t>
        </is>
      </c>
      <c r="B98" t="n">
        <v>97</v>
      </c>
      <c r="C98" t="inlineStr">
        <is>
          <t>Return on Net Operating Assets (RNOA)</t>
        </is>
      </c>
      <c r="D98" t="inlineStr">
        <is>
          <t>NOPAT divided by average NOA.</t>
        </is>
      </c>
      <c r="E98" t="inlineStr">
        <is>
          <t>dupont.rnoa.2024-12-31</t>
        </is>
      </c>
      <c r="F98" t="inlineStr">
        <is>
          <t>dupont</t>
        </is>
      </c>
      <c r="G98" t="inlineStr">
        <is>
          <t>ALT DuPont</t>
        </is>
      </c>
      <c r="H98" t="inlineStr">
        <is>
          <t>E7</t>
        </is>
      </c>
      <c r="I98">
        <f>IF((('Condensed Financials'!E37+'Condensed Financials'!D37)/2)=0,NA(),'Condensed Financials'!E28/(('Condensed Financials'!E37+'Condensed Financials'!D37)/2))</f>
        <v/>
      </c>
      <c r="J98" t="n">
        <v>0.5583642868380909</v>
      </c>
      <c r="K98" t="n">
        <v>0.01</v>
      </c>
      <c r="L98" t="inlineStr">
        <is>
          <t>nopat_fy__20241231,noa_agg__20241231,noa_agg__20231231</t>
        </is>
      </c>
      <c r="M98" t="inlineStr">
        <is>
          <t>RNOA = NOPAT / Average NOA.|Average NOA = (Beginning NOA + Ending NOA) / 2.|A zero denominator makes this ratio undefined (#N/A), not 0%.</t>
        </is>
      </c>
      <c r="O98" t="inlineStr">
        <is>
          <t>pending</t>
        </is>
      </c>
      <c r="P98" t="inlineStr">
        <is>
          <t>rnoa</t>
        </is>
      </c>
      <c r="Q98" t="n">
        <v>20</v>
      </c>
      <c r="R98" t="n">
        <v>3</v>
      </c>
      <c r="S98" t="inlineStr">
        <is>
          <t>2024-12-31</t>
        </is>
      </c>
    </row>
    <row r="99">
      <c r="A99" t="inlineStr">
        <is>
          <t>rnoa__20251231</t>
        </is>
      </c>
      <c r="B99" t="n">
        <v>98</v>
      </c>
      <c r="C99" t="inlineStr">
        <is>
          <t>Return on Net Operating Assets (RNOA)</t>
        </is>
      </c>
      <c r="D99" t="inlineStr">
        <is>
          <t>NOPAT divided by average NOA.</t>
        </is>
      </c>
      <c r="E99" t="inlineStr">
        <is>
          <t>dupont.rnoa.2025-12-31</t>
        </is>
      </c>
      <c r="F99" t="inlineStr">
        <is>
          <t>dupont</t>
        </is>
      </c>
      <c r="G99" t="inlineStr">
        <is>
          <t>ALT DuPont</t>
        </is>
      </c>
      <c r="H99" t="inlineStr">
        <is>
          <t>F7</t>
        </is>
      </c>
      <c r="I99">
        <f>IF((('Condensed Financials'!F37+'Condensed Financials'!E37)/2)=0,NA(),'Condensed Financials'!F28/(('Condensed Financials'!F37+'Condensed Financials'!E37)/2))</f>
        <v/>
      </c>
      <c r="J99" t="n">
        <v>0.5545579776610646</v>
      </c>
      <c r="K99" t="n">
        <v>0.01</v>
      </c>
      <c r="L99" t="inlineStr">
        <is>
          <t>nopat_fy__20251231,noa_agg__20251231,noa_agg__20241231</t>
        </is>
      </c>
      <c r="M99" t="inlineStr">
        <is>
          <t>RNOA = NOPAT / Average NOA.|Average NOA = (Beginning NOA + Ending NOA) / 2.|A zero denominator makes this ratio undefined (#N/A), not 0%.</t>
        </is>
      </c>
      <c r="O99" t="inlineStr">
        <is>
          <t>pending</t>
        </is>
      </c>
      <c r="P99" t="inlineStr">
        <is>
          <t>rnoa</t>
        </is>
      </c>
      <c r="Q99" t="n">
        <v>20</v>
      </c>
      <c r="R99" t="n">
        <v>4</v>
      </c>
      <c r="S99" t="inlineStr">
        <is>
          <t>2025-12-31</t>
        </is>
      </c>
    </row>
    <row r="100">
      <c r="A100" t="inlineStr">
        <is>
          <t>after_tax_cod__20221231</t>
        </is>
      </c>
      <c r="B100" t="n">
        <v>99</v>
      </c>
      <c r="C100" t="inlineStr">
        <is>
          <t>After-tax cost of debt</t>
        </is>
      </c>
      <c r="D100" t="inlineStr">
        <is>
          <t>Relate net interest after tax to average net debt.</t>
        </is>
      </c>
      <c r="E100" t="inlineStr">
        <is>
          <t>dupont.after_tax_cod.2022-12-31</t>
        </is>
      </c>
      <c r="F100" t="inlineStr">
        <is>
          <t>dupont</t>
        </is>
      </c>
      <c r="G100" t="inlineStr">
        <is>
          <t>ALT DuPont</t>
        </is>
      </c>
      <c r="H100" t="inlineStr">
        <is>
          <t>C8</t>
        </is>
      </c>
      <c r="I100">
        <f>IF((('Condensed Financials'!C40+'Condensed Financials'!B40)/2)=0,NA(),'Condensed Financials'!C27/(('Condensed Financials'!C40+'Condensed Financials'!B40)/2))</f>
        <v/>
      </c>
      <c r="J100" t="n">
        <v>0.3794285714285714</v>
      </c>
      <c r="K100" t="n">
        <v>0.01</v>
      </c>
      <c r="L100" t="inlineStr">
        <is>
          <t>net_interest_after_tax_fy__20221231,net_debt__20221231,net_debt__20211231</t>
        </is>
      </c>
      <c r="M100" t="inlineStr">
        <is>
          <t>After-tax CoD = Net Interest After Tax / Average Net Debt.|Do not apply the tax rate a second time.|A zero denominator makes this ratio undefined (#N/A), not 0%.</t>
        </is>
      </c>
      <c r="O100" t="inlineStr">
        <is>
          <t>pending</t>
        </is>
      </c>
      <c r="P100" t="inlineStr">
        <is>
          <t>after_tax_cod</t>
        </is>
      </c>
      <c r="Q100" t="n">
        <v>21</v>
      </c>
      <c r="R100" t="n">
        <v>1</v>
      </c>
      <c r="S100" t="inlineStr">
        <is>
          <t>2022-12-31</t>
        </is>
      </c>
    </row>
    <row r="101">
      <c r="A101" t="inlineStr">
        <is>
          <t>after_tax_cod__20231231</t>
        </is>
      </c>
      <c r="B101" t="n">
        <v>100</v>
      </c>
      <c r="C101" t="inlineStr">
        <is>
          <t>After-tax cost of debt</t>
        </is>
      </c>
      <c r="D101" t="inlineStr">
        <is>
          <t>Relate net interest after tax to average net debt.</t>
        </is>
      </c>
      <c r="E101" t="inlineStr">
        <is>
          <t>dupont.after_tax_cod.2023-12-31</t>
        </is>
      </c>
      <c r="F101" t="inlineStr">
        <is>
          <t>dupont</t>
        </is>
      </c>
      <c r="G101" t="inlineStr">
        <is>
          <t>ALT DuPont</t>
        </is>
      </c>
      <c r="H101" t="inlineStr">
        <is>
          <t>D8</t>
        </is>
      </c>
      <c r="I101">
        <f>IF((('Condensed Financials'!D40+'Condensed Financials'!C40)/2)=0,NA(),'Condensed Financials'!D27/(('Condensed Financials'!D40+'Condensed Financials'!C40)/2))</f>
        <v/>
      </c>
      <c r="J101" t="n">
        <v>-0.9407669616519174</v>
      </c>
      <c r="K101" t="n">
        <v>0.01</v>
      </c>
      <c r="L101" t="inlineStr">
        <is>
          <t>net_interest_after_tax_fy__20231231,net_debt__20231231,net_debt__20221231</t>
        </is>
      </c>
      <c r="M101" t="inlineStr">
        <is>
          <t>After-tax CoD = Net Interest After Tax / Average Net Debt.|Do not apply the tax rate a second time.|A zero denominator makes this ratio undefined (#N/A), not 0%.</t>
        </is>
      </c>
      <c r="O101" t="inlineStr">
        <is>
          <t>pending</t>
        </is>
      </c>
      <c r="P101" t="inlineStr">
        <is>
          <t>after_tax_cod</t>
        </is>
      </c>
      <c r="Q101" t="n">
        <v>21</v>
      </c>
      <c r="R101" t="n">
        <v>2</v>
      </c>
      <c r="S101" t="inlineStr">
        <is>
          <t>2023-12-31</t>
        </is>
      </c>
    </row>
    <row r="102">
      <c r="A102" t="inlineStr">
        <is>
          <t>after_tax_cod__20241231</t>
        </is>
      </c>
      <c r="B102" t="n">
        <v>101</v>
      </c>
      <c r="C102" t="inlineStr">
        <is>
          <t>After-tax cost of debt</t>
        </is>
      </c>
      <c r="D102" t="inlineStr">
        <is>
          <t>Relate net interest after tax to average net debt.</t>
        </is>
      </c>
      <c r="E102" t="inlineStr">
        <is>
          <t>dupont.after_tax_cod.2024-12-31</t>
        </is>
      </c>
      <c r="F102" t="inlineStr">
        <is>
          <t>dupont</t>
        </is>
      </c>
      <c r="G102" t="inlineStr">
        <is>
          <t>ALT DuPont</t>
        </is>
      </c>
      <c r="H102" t="inlineStr">
        <is>
          <t>E8</t>
        </is>
      </c>
      <c r="I102">
        <f>IF((('Condensed Financials'!E40+'Condensed Financials'!D40)/2)=0,NA(),'Condensed Financials'!E27/(('Condensed Financials'!E40+'Condensed Financials'!D40)/2))</f>
        <v/>
      </c>
      <c r="J102" t="n">
        <v>-0.2197239715931931</v>
      </c>
      <c r="K102" t="n">
        <v>0.01</v>
      </c>
      <c r="L102" t="inlineStr">
        <is>
          <t>net_interest_after_tax_fy__20241231,net_debt__20241231,net_debt__20231231</t>
        </is>
      </c>
      <c r="M102" t="inlineStr">
        <is>
          <t>After-tax CoD = Net Interest After Tax / Average Net Debt.|Do not apply the tax rate a second time.|A zero denominator makes this ratio undefined (#N/A), not 0%.</t>
        </is>
      </c>
      <c r="O102" t="inlineStr">
        <is>
          <t>pending</t>
        </is>
      </c>
      <c r="P102" t="inlineStr">
        <is>
          <t>after_tax_cod</t>
        </is>
      </c>
      <c r="Q102" t="n">
        <v>21</v>
      </c>
      <c r="R102" t="n">
        <v>3</v>
      </c>
      <c r="S102" t="inlineStr">
        <is>
          <t>2024-12-31</t>
        </is>
      </c>
    </row>
    <row r="103">
      <c r="A103" t="inlineStr">
        <is>
          <t>after_tax_cod__20251231</t>
        </is>
      </c>
      <c r="B103" t="n">
        <v>102</v>
      </c>
      <c r="C103" t="inlineStr">
        <is>
          <t>After-tax cost of debt</t>
        </is>
      </c>
      <c r="D103" t="inlineStr">
        <is>
          <t>Relate net interest after tax to average net debt.</t>
        </is>
      </c>
      <c r="E103" t="inlineStr">
        <is>
          <t>dupont.after_tax_cod.2025-12-31</t>
        </is>
      </c>
      <c r="F103" t="inlineStr">
        <is>
          <t>dupont</t>
        </is>
      </c>
      <c r="G103" t="inlineStr">
        <is>
          <t>ALT DuPont</t>
        </is>
      </c>
      <c r="H103" t="inlineStr">
        <is>
          <t>F8</t>
        </is>
      </c>
      <c r="I103">
        <f>IF((('Condensed Financials'!F40+'Condensed Financials'!E40)/2)=0,NA(),'Condensed Financials'!F27/(('Condensed Financials'!F40+'Condensed Financials'!E40)/2))</f>
        <v/>
      </c>
      <c r="J103" t="n">
        <v>-0.1282381508830379</v>
      </c>
      <c r="K103" t="n">
        <v>0.01</v>
      </c>
      <c r="L103" t="inlineStr">
        <is>
          <t>net_interest_after_tax_fy__20251231,net_debt__20251231,net_debt__20241231</t>
        </is>
      </c>
      <c r="M103" t="inlineStr">
        <is>
          <t>After-tax CoD = Net Interest After Tax / Average Net Debt.|Do not apply the tax rate a second time.|A zero denominator makes this ratio undefined (#N/A), not 0%.</t>
        </is>
      </c>
      <c r="O103" t="inlineStr">
        <is>
          <t>pending</t>
        </is>
      </c>
      <c r="P103" t="inlineStr">
        <is>
          <t>after_tax_cod</t>
        </is>
      </c>
      <c r="Q103" t="n">
        <v>21</v>
      </c>
      <c r="R103" t="n">
        <v>4</v>
      </c>
      <c r="S103" t="inlineStr">
        <is>
          <t>2025-12-31</t>
        </is>
      </c>
    </row>
    <row r="104">
      <c r="A104" t="inlineStr">
        <is>
          <t>spread__20221231</t>
        </is>
      </c>
      <c r="B104" t="n">
        <v>103</v>
      </c>
      <c r="C104" t="inlineStr">
        <is>
          <t>Operating Spread (RNOA − After-tax CoD)</t>
        </is>
      </c>
      <c r="D104" t="inlineStr">
        <is>
          <t>Operating return minus after-tax cost of debt.</t>
        </is>
      </c>
      <c r="E104" t="inlineStr">
        <is>
          <t>dupont.spread.2022-12-31</t>
        </is>
      </c>
      <c r="F104" t="inlineStr">
        <is>
          <t>dupont</t>
        </is>
      </c>
      <c r="G104" t="inlineStr">
        <is>
          <t>ALT DuPont</t>
        </is>
      </c>
      <c r="H104" t="inlineStr">
        <is>
          <t>C9</t>
        </is>
      </c>
      <c r="I104">
        <f>C7-C8</f>
        <v/>
      </c>
      <c r="J104" t="n">
        <v>0.168445868033312</v>
      </c>
      <c r="K104" t="n">
        <v>0.01</v>
      </c>
      <c r="L104" t="inlineStr">
        <is>
          <t>rnoa__20221231,after_tax_cod__20221231</t>
        </is>
      </c>
      <c r="M104" t="inlineStr">
        <is>
          <t>After-tax CoD = Net Interest After Tax / Average Net Debt.|Spread = RNOA − After-tax CoD.|An undefined required upstream ratio propagates into Spread.</t>
        </is>
      </c>
      <c r="O104" t="inlineStr">
        <is>
          <t>pending</t>
        </is>
      </c>
      <c r="P104" t="inlineStr">
        <is>
          <t>spread</t>
        </is>
      </c>
      <c r="Q104" t="n">
        <v>22</v>
      </c>
      <c r="R104" t="n">
        <v>1</v>
      </c>
      <c r="S104" t="inlineStr">
        <is>
          <t>2022-12-31</t>
        </is>
      </c>
    </row>
    <row r="105">
      <c r="A105" t="inlineStr">
        <is>
          <t>spread__20231231</t>
        </is>
      </c>
      <c r="B105" t="n">
        <v>104</v>
      </c>
      <c r="C105" t="inlineStr">
        <is>
          <t>Operating Spread (RNOA − After-tax CoD)</t>
        </is>
      </c>
      <c r="D105" t="inlineStr">
        <is>
          <t>Operating return minus after-tax cost of debt.</t>
        </is>
      </c>
      <c r="E105" t="inlineStr">
        <is>
          <t>dupont.spread.2023-12-31</t>
        </is>
      </c>
      <c r="F105" t="inlineStr">
        <is>
          <t>dupont</t>
        </is>
      </c>
      <c r="G105" t="inlineStr">
        <is>
          <t>ALT DuPont</t>
        </is>
      </c>
      <c r="H105" t="inlineStr">
        <is>
          <t>D9</t>
        </is>
      </c>
      <c r="I105">
        <f>D7-D8</f>
        <v/>
      </c>
      <c r="J105" t="n">
        <v>1.497374019265842</v>
      </c>
      <c r="K105" t="n">
        <v>0.01</v>
      </c>
      <c r="L105" t="inlineStr">
        <is>
          <t>rnoa__20231231,after_tax_cod__20231231</t>
        </is>
      </c>
      <c r="M105" t="inlineStr">
        <is>
          <t>After-tax CoD = Net Interest After Tax / Average Net Debt.|Spread = RNOA − After-tax CoD.|An undefined required upstream ratio propagates into Spread.</t>
        </is>
      </c>
      <c r="O105" t="inlineStr">
        <is>
          <t>pending</t>
        </is>
      </c>
      <c r="P105" t="inlineStr">
        <is>
          <t>spread</t>
        </is>
      </c>
      <c r="Q105" t="n">
        <v>22</v>
      </c>
      <c r="R105" t="n">
        <v>2</v>
      </c>
      <c r="S105" t="inlineStr">
        <is>
          <t>2023-12-31</t>
        </is>
      </c>
    </row>
    <row r="106">
      <c r="A106" t="inlineStr">
        <is>
          <t>spread__20241231</t>
        </is>
      </c>
      <c r="B106" t="n">
        <v>105</v>
      </c>
      <c r="C106" t="inlineStr">
        <is>
          <t>Operating Spread (RNOA − After-tax CoD)</t>
        </is>
      </c>
      <c r="D106" t="inlineStr">
        <is>
          <t>Operating return minus after-tax cost of debt.</t>
        </is>
      </c>
      <c r="E106" t="inlineStr">
        <is>
          <t>dupont.spread.2024-12-31</t>
        </is>
      </c>
      <c r="F106" t="inlineStr">
        <is>
          <t>dupont</t>
        </is>
      </c>
      <c r="G106" t="inlineStr">
        <is>
          <t>ALT DuPont</t>
        </is>
      </c>
      <c r="H106" t="inlineStr">
        <is>
          <t>E9</t>
        </is>
      </c>
      <c r="I106">
        <f>E7-E8</f>
        <v/>
      </c>
      <c r="J106" t="n">
        <v>0.778088258431284</v>
      </c>
      <c r="K106" t="n">
        <v>0.01</v>
      </c>
      <c r="L106" t="inlineStr">
        <is>
          <t>rnoa__20241231,after_tax_cod__20241231</t>
        </is>
      </c>
      <c r="M106" t="inlineStr">
        <is>
          <t>After-tax CoD = Net Interest After Tax / Average Net Debt.|Spread = RNOA − After-tax CoD.|An undefined required upstream ratio propagates into Spread.</t>
        </is>
      </c>
      <c r="O106" t="inlineStr">
        <is>
          <t>pending</t>
        </is>
      </c>
      <c r="P106" t="inlineStr">
        <is>
          <t>spread</t>
        </is>
      </c>
      <c r="Q106" t="n">
        <v>22</v>
      </c>
      <c r="R106" t="n">
        <v>3</v>
      </c>
      <c r="S106" t="inlineStr">
        <is>
          <t>2024-12-31</t>
        </is>
      </c>
    </row>
    <row r="107">
      <c r="A107" t="inlineStr">
        <is>
          <t>spread__20251231</t>
        </is>
      </c>
      <c r="B107" t="n">
        <v>106</v>
      </c>
      <c r="C107" t="inlineStr">
        <is>
          <t>Operating Spread (RNOA − After-tax CoD)</t>
        </is>
      </c>
      <c r="D107" t="inlineStr">
        <is>
          <t>Operating return minus after-tax cost of debt.</t>
        </is>
      </c>
      <c r="E107" t="inlineStr">
        <is>
          <t>dupont.spread.2025-12-31</t>
        </is>
      </c>
      <c r="F107" t="inlineStr">
        <is>
          <t>dupont</t>
        </is>
      </c>
      <c r="G107" t="inlineStr">
        <is>
          <t>ALT DuPont</t>
        </is>
      </c>
      <c r="H107" t="inlineStr">
        <is>
          <t>F9</t>
        </is>
      </c>
      <c r="I107">
        <f>F7-F8</f>
        <v/>
      </c>
      <c r="J107" t="n">
        <v>0.6827961285441025</v>
      </c>
      <c r="K107" t="n">
        <v>0.01</v>
      </c>
      <c r="L107" t="inlineStr">
        <is>
          <t>rnoa__20251231,after_tax_cod__20251231</t>
        </is>
      </c>
      <c r="M107" t="inlineStr">
        <is>
          <t>After-tax CoD = Net Interest After Tax / Average Net Debt.|Spread = RNOA − After-tax CoD.|An undefined required upstream ratio propagates into Spread.</t>
        </is>
      </c>
      <c r="O107" t="inlineStr">
        <is>
          <t>pending</t>
        </is>
      </c>
      <c r="P107" t="inlineStr">
        <is>
          <t>spread</t>
        </is>
      </c>
      <c r="Q107" t="n">
        <v>22</v>
      </c>
      <c r="R107" t="n">
        <v>4</v>
      </c>
      <c r="S107" t="inlineStr">
        <is>
          <t>2025-12-31</t>
        </is>
      </c>
    </row>
    <row r="108">
      <c r="A108" t="inlineStr">
        <is>
          <t>flev__20221231</t>
        </is>
      </c>
      <c r="B108" t="n">
        <v>107</v>
      </c>
      <c r="C108" t="inlineStr">
        <is>
          <t>Financial leverage (FLEV)</t>
        </is>
      </c>
      <c r="D108" t="inlineStr">
        <is>
          <t>Relate average net debt to average reformulated equity.</t>
        </is>
      </c>
      <c r="E108" t="inlineStr">
        <is>
          <t>dupont.flev.2022-12-31</t>
        </is>
      </c>
      <c r="F108" t="inlineStr">
        <is>
          <t>dupont</t>
        </is>
      </c>
      <c r="G108" t="inlineStr">
        <is>
          <t>ALT DuPont</t>
        </is>
      </c>
      <c r="H108" t="inlineStr">
        <is>
          <t>C10</t>
        </is>
      </c>
      <c r="I108">
        <f>IF((('Condensed Financials'!C41+'Condensed Financials'!B41)/2)=0,NA(),(('Condensed Financials'!C40+'Condensed Financials'!B40)/2)/(('Condensed Financials'!C41+'Condensed Financials'!B41)/2))</f>
        <v/>
      </c>
      <c r="J108" t="n">
        <v>0.03240740740740741</v>
      </c>
      <c r="K108" t="n">
        <v>0.01</v>
      </c>
      <c r="L108" t="inlineStr">
        <is>
          <t>net_debt__20221231,equity_reformulated_fy__20221231,net_debt__20211231,equity_reformulated_fy__20211231</t>
        </is>
      </c>
      <c r="M108" t="inlineStr">
        <is>
          <t>FLEV = Average Net Debt / Average Equity.|A zero denominator makes this ratio undefined (#N/A), not 0%.</t>
        </is>
      </c>
      <c r="O108" t="inlineStr">
        <is>
          <t>pending</t>
        </is>
      </c>
      <c r="P108" t="inlineStr">
        <is>
          <t>flev</t>
        </is>
      </c>
      <c r="Q108" t="n">
        <v>23</v>
      </c>
      <c r="R108" t="n">
        <v>1</v>
      </c>
      <c r="S108" t="inlineStr">
        <is>
          <t>2022-12-31</t>
        </is>
      </c>
    </row>
    <row r="109">
      <c r="A109" t="inlineStr">
        <is>
          <t>flev__20231231</t>
        </is>
      </c>
      <c r="B109" t="n">
        <v>108</v>
      </c>
      <c r="C109" t="inlineStr">
        <is>
          <t>Financial leverage (FLEV)</t>
        </is>
      </c>
      <c r="D109" t="inlineStr">
        <is>
          <t>Relate average net debt to average reformulated equity.</t>
        </is>
      </c>
      <c r="E109" t="inlineStr">
        <is>
          <t>dupont.flev.2023-12-31</t>
        </is>
      </c>
      <c r="F109" t="inlineStr">
        <is>
          <t>dupont</t>
        </is>
      </c>
      <c r="G109" t="inlineStr">
        <is>
          <t>ALT DuPont</t>
        </is>
      </c>
      <c r="H109" t="inlineStr">
        <is>
          <t>D10</t>
        </is>
      </c>
      <c r="I109">
        <f>IF((('Condensed Financials'!D41+'Condensed Financials'!C41)/2)=0,NA(),(('Condensed Financials'!D40+'Condensed Financials'!C40)/2)/(('Condensed Financials'!D41+'Condensed Financials'!C41)/2))</f>
        <v/>
      </c>
      <c r="J109" t="n">
        <v>-0.01229508196721311</v>
      </c>
      <c r="K109" t="n">
        <v>0.01</v>
      </c>
      <c r="L109" t="inlineStr">
        <is>
          <t>net_debt__20231231,equity_reformulated_fy__20231231,net_debt__20221231,equity_reformulated_fy__20221231</t>
        </is>
      </c>
      <c r="M109" t="inlineStr">
        <is>
          <t>FLEV = Average Net Debt / Average Equity.|A zero denominator makes this ratio undefined (#N/A), not 0%.</t>
        </is>
      </c>
      <c r="O109" t="inlineStr">
        <is>
          <t>pending</t>
        </is>
      </c>
      <c r="P109" t="inlineStr">
        <is>
          <t>flev</t>
        </is>
      </c>
      <c r="Q109" t="n">
        <v>23</v>
      </c>
      <c r="R109" t="n">
        <v>2</v>
      </c>
      <c r="S109" t="inlineStr">
        <is>
          <t>2023-12-31</t>
        </is>
      </c>
    </row>
    <row r="110">
      <c r="A110" t="inlineStr">
        <is>
          <t>flev__20241231</t>
        </is>
      </c>
      <c r="B110" t="n">
        <v>109</v>
      </c>
      <c r="C110" t="inlineStr">
        <is>
          <t>Financial leverage (FLEV)</t>
        </is>
      </c>
      <c r="D110" t="inlineStr">
        <is>
          <t>Relate average net debt to average reformulated equity.</t>
        </is>
      </c>
      <c r="E110" t="inlineStr">
        <is>
          <t>dupont.flev.2024-12-31</t>
        </is>
      </c>
      <c r="F110" t="inlineStr">
        <is>
          <t>dupont</t>
        </is>
      </c>
      <c r="G110" t="inlineStr">
        <is>
          <t>ALT DuPont</t>
        </is>
      </c>
      <c r="H110" t="inlineStr">
        <is>
          <t>E10</t>
        </is>
      </c>
      <c r="I110">
        <f>IF((('Condensed Financials'!E41+'Condensed Financials'!D41)/2)=0,NA(),(('Condensed Financials'!E40+'Condensed Financials'!D40)/2)/(('Condensed Financials'!E41+'Condensed Financials'!D41)/2))</f>
        <v/>
      </c>
      <c r="J110" t="n">
        <v>-0.04857142857142857</v>
      </c>
      <c r="K110" t="n">
        <v>0.01</v>
      </c>
      <c r="L110" t="inlineStr">
        <is>
          <t>net_debt__20241231,equity_reformulated_fy__20241231,net_debt__20231231,equity_reformulated_fy__20231231</t>
        </is>
      </c>
      <c r="M110" t="inlineStr">
        <is>
          <t>FLEV = Average Net Debt / Average Equity.|A zero denominator makes this ratio undefined (#N/A), not 0%.</t>
        </is>
      </c>
      <c r="O110" t="inlineStr">
        <is>
          <t>pending</t>
        </is>
      </c>
      <c r="P110" t="inlineStr">
        <is>
          <t>flev</t>
        </is>
      </c>
      <c r="Q110" t="n">
        <v>23</v>
      </c>
      <c r="R110" t="n">
        <v>3</v>
      </c>
      <c r="S110" t="inlineStr">
        <is>
          <t>2024-12-31</t>
        </is>
      </c>
    </row>
    <row r="111">
      <c r="A111" t="inlineStr">
        <is>
          <t>flev__20251231</t>
        </is>
      </c>
      <c r="B111" t="n">
        <v>110</v>
      </c>
      <c r="C111" t="inlineStr">
        <is>
          <t>Financial leverage (FLEV)</t>
        </is>
      </c>
      <c r="D111" t="inlineStr">
        <is>
          <t>Relate average net debt to average reformulated equity.</t>
        </is>
      </c>
      <c r="E111" t="inlineStr">
        <is>
          <t>dupont.flev.2025-12-31</t>
        </is>
      </c>
      <c r="F111" t="inlineStr">
        <is>
          <t>dupont</t>
        </is>
      </c>
      <c r="G111" t="inlineStr">
        <is>
          <t>ALT DuPont</t>
        </is>
      </c>
      <c r="H111" t="inlineStr">
        <is>
          <t>F10</t>
        </is>
      </c>
      <c r="I111">
        <f>IF((('Condensed Financials'!F41+'Condensed Financials'!E41)/2)=0,NA(),(('Condensed Financials'!F40+'Condensed Financials'!E40)/2)/(('Condensed Financials'!F41+'Condensed Financials'!E41)/2))</f>
        <v/>
      </c>
      <c r="J111" t="n">
        <v>-0.07592592592592592</v>
      </c>
      <c r="K111" t="n">
        <v>0.01</v>
      </c>
      <c r="L111" t="inlineStr">
        <is>
          <t>net_debt__20251231,equity_reformulated_fy__20251231,net_debt__20241231,equity_reformulated_fy__20241231</t>
        </is>
      </c>
      <c r="M111" t="inlineStr">
        <is>
          <t>FLEV = Average Net Debt / Average Equity.|A zero denominator makes this ratio undefined (#N/A), not 0%.</t>
        </is>
      </c>
      <c r="O111" t="inlineStr">
        <is>
          <t>pending</t>
        </is>
      </c>
      <c r="P111" t="inlineStr">
        <is>
          <t>flev</t>
        </is>
      </c>
      <c r="Q111" t="n">
        <v>23</v>
      </c>
      <c r="R111" t="n">
        <v>4</v>
      </c>
      <c r="S111" t="inlineStr">
        <is>
          <t>2025-12-31</t>
        </is>
      </c>
    </row>
    <row r="112">
      <c r="A112" t="inlineStr">
        <is>
          <t>roe_decomp__20221231</t>
        </is>
      </c>
      <c r="B112" t="n">
        <v>111</v>
      </c>
      <c r="C112" t="inlineStr">
        <is>
          <t>ROE decomposition</t>
        </is>
      </c>
      <c r="D112" t="inlineStr">
        <is>
          <t>ROE = RNOA + FLEV × Spread.</t>
        </is>
      </c>
      <c r="E112" t="inlineStr">
        <is>
          <t>dupont.roe_decomposed.2022-12-31</t>
        </is>
      </c>
      <c r="F112" t="inlineStr">
        <is>
          <t>dupont</t>
        </is>
      </c>
      <c r="G112" t="inlineStr">
        <is>
          <t>ALT DuPont</t>
        </is>
      </c>
      <c r="H112" t="inlineStr">
        <is>
          <t>C11</t>
        </is>
      </c>
      <c r="I112">
        <f>C7+C10*(C9)</f>
        <v/>
      </c>
      <c r="J112" t="n">
        <v>0.5533333333333333</v>
      </c>
      <c r="K112" t="n">
        <v>0.01</v>
      </c>
      <c r="L112" t="inlineStr">
        <is>
          <t>rnoa__20221231,spread__20221231,flev__20221231</t>
        </is>
      </c>
      <c r="M112" t="inlineStr">
        <is>
          <t>Financial leverage (FLEV) = Average Net Debt / Average Equity.|ROE (decomposed) = RNOA + FLEV × (RNOA − After-tax CoD).|An undefined required upstream ratio propagates into decomposed ROE.</t>
        </is>
      </c>
      <c r="O112" t="inlineStr">
        <is>
          <t>pending</t>
        </is>
      </c>
      <c r="P112" t="inlineStr">
        <is>
          <t>roe_decomp</t>
        </is>
      </c>
      <c r="Q112" t="n">
        <v>24</v>
      </c>
      <c r="R112" t="n">
        <v>1</v>
      </c>
      <c r="S112" t="inlineStr">
        <is>
          <t>2022-12-31</t>
        </is>
      </c>
    </row>
    <row r="113">
      <c r="A113" t="inlineStr">
        <is>
          <t>roe_decomp__20231231</t>
        </is>
      </c>
      <c r="B113" t="n">
        <v>112</v>
      </c>
      <c r="C113" t="inlineStr">
        <is>
          <t>ROE decomposition</t>
        </is>
      </c>
      <c r="D113" t="inlineStr">
        <is>
          <t>ROE = RNOA + FLEV × Spread.</t>
        </is>
      </c>
      <c r="E113" t="inlineStr">
        <is>
          <t>dupont.roe_decomposed.2023-12-31</t>
        </is>
      </c>
      <c r="F113" t="inlineStr">
        <is>
          <t>dupont</t>
        </is>
      </c>
      <c r="G113" t="inlineStr">
        <is>
          <t>ALT DuPont</t>
        </is>
      </c>
      <c r="H113" t="inlineStr">
        <is>
          <t>D11</t>
        </is>
      </c>
      <c r="I113">
        <f>D7+D10*(D9)</f>
        <v/>
      </c>
      <c r="J113" t="n">
        <v>0.5381967213114753</v>
      </c>
      <c r="K113" t="n">
        <v>0.01</v>
      </c>
      <c r="L113" t="inlineStr">
        <is>
          <t>rnoa__20231231,spread__20231231,flev__20231231</t>
        </is>
      </c>
      <c r="M113" t="inlineStr">
        <is>
          <t>Financial leverage (FLEV) = Average Net Debt / Average Equity.|ROE (decomposed) = RNOA + FLEV × (RNOA − After-tax CoD).|An undefined required upstream ratio propagates into decomposed ROE.</t>
        </is>
      </c>
      <c r="O113" t="inlineStr">
        <is>
          <t>pending</t>
        </is>
      </c>
      <c r="P113" t="inlineStr">
        <is>
          <t>roe_decomp</t>
        </is>
      </c>
      <c r="Q113" t="n">
        <v>24</v>
      </c>
      <c r="R113" t="n">
        <v>2</v>
      </c>
      <c r="S113" t="inlineStr">
        <is>
          <t>2023-12-31</t>
        </is>
      </c>
    </row>
    <row r="114">
      <c r="A114" t="inlineStr">
        <is>
          <t>roe_decomp__20241231</t>
        </is>
      </c>
      <c r="B114" t="n">
        <v>113</v>
      </c>
      <c r="C114" t="inlineStr">
        <is>
          <t>ROE decomposition</t>
        </is>
      </c>
      <c r="D114" t="inlineStr">
        <is>
          <t>ROE = RNOA + FLEV × Spread.</t>
        </is>
      </c>
      <c r="E114" t="inlineStr">
        <is>
          <t>dupont.roe_decomposed.2024-12-31</t>
        </is>
      </c>
      <c r="F114" t="inlineStr">
        <is>
          <t>dupont</t>
        </is>
      </c>
      <c r="G114" t="inlineStr">
        <is>
          <t>ALT DuPont</t>
        </is>
      </c>
      <c r="H114" t="inlineStr">
        <is>
          <t>E11</t>
        </is>
      </c>
      <c r="I114">
        <f>E7+E10*(E9)</f>
        <v/>
      </c>
      <c r="J114" t="n">
        <v>0.5205714285714286</v>
      </c>
      <c r="K114" t="n">
        <v>0.01</v>
      </c>
      <c r="L114" t="inlineStr">
        <is>
          <t>rnoa__20241231,spread__20241231,flev__20241231</t>
        </is>
      </c>
      <c r="M114" t="inlineStr">
        <is>
          <t>Financial leverage (FLEV) = Average Net Debt / Average Equity.|ROE (decomposed) = RNOA + FLEV × (RNOA − After-tax CoD).|An undefined required upstream ratio propagates into decomposed ROE.</t>
        </is>
      </c>
      <c r="O114" t="inlineStr">
        <is>
          <t>pending</t>
        </is>
      </c>
      <c r="P114" t="inlineStr">
        <is>
          <t>roe_decomp</t>
        </is>
      </c>
      <c r="Q114" t="n">
        <v>24</v>
      </c>
      <c r="R114" t="n">
        <v>3</v>
      </c>
      <c r="S114" t="inlineStr">
        <is>
          <t>2024-12-31</t>
        </is>
      </c>
    </row>
    <row r="115">
      <c r="A115" t="inlineStr">
        <is>
          <t>roe_decomp__20251231</t>
        </is>
      </c>
      <c r="B115" t="n">
        <v>114</v>
      </c>
      <c r="C115" t="inlineStr">
        <is>
          <t>ROE decomposition</t>
        </is>
      </c>
      <c r="D115" t="inlineStr">
        <is>
          <t>ROE = RNOA + FLEV × Spread.</t>
        </is>
      </c>
      <c r="E115" t="inlineStr">
        <is>
          <t>dupont.roe_decomposed.2025-12-31</t>
        </is>
      </c>
      <c r="F115" t="inlineStr">
        <is>
          <t>dupont</t>
        </is>
      </c>
      <c r="G115" t="inlineStr">
        <is>
          <t>ALT DuPont</t>
        </is>
      </c>
      <c r="H115" t="inlineStr">
        <is>
          <t>F11</t>
        </is>
      </c>
      <c r="I115">
        <f>F7+F10*(F9)</f>
        <v/>
      </c>
      <c r="J115" t="n">
        <v>0.5027160493827161</v>
      </c>
      <c r="K115" t="n">
        <v>0.01</v>
      </c>
      <c r="L115" t="inlineStr">
        <is>
          <t>rnoa__20251231,spread__20251231,flev__20251231</t>
        </is>
      </c>
      <c r="M115" t="inlineStr">
        <is>
          <t>Financial leverage (FLEV) = Average Net Debt / Average Equity.|ROE (decomposed) = RNOA + FLEV × (RNOA − After-tax CoD).|An undefined required upstream ratio propagates into decomposed ROE.</t>
        </is>
      </c>
      <c r="O115" t="inlineStr">
        <is>
          <t>pending</t>
        </is>
      </c>
      <c r="P115" t="inlineStr">
        <is>
          <t>roe_decomp</t>
        </is>
      </c>
      <c r="Q115" t="n">
        <v>24</v>
      </c>
      <c r="R115" t="n">
        <v>4</v>
      </c>
      <c r="S115" t="inlineStr">
        <is>
          <t>2025-12-31</t>
        </is>
      </c>
    </row>
    <row r="116">
      <c r="A116" t="inlineStr">
        <is>
          <t>actual_roe__20221231</t>
        </is>
      </c>
      <c r="B116" t="n">
        <v>115</v>
      </c>
      <c r="C116" t="inlineStr">
        <is>
          <t>Actual ROE</t>
        </is>
      </c>
      <c r="D116" t="inlineStr">
        <is>
          <t>Relate net income to average reformulated equity.</t>
        </is>
      </c>
      <c r="E116" t="inlineStr">
        <is>
          <t>dupont.actual_roe.2022-12-31</t>
        </is>
      </c>
      <c r="F116" t="inlineStr">
        <is>
          <t>dupont</t>
        </is>
      </c>
      <c r="G116" t="inlineStr">
        <is>
          <t>ALT DuPont</t>
        </is>
      </c>
      <c r="H116" t="inlineStr">
        <is>
          <t>C12</t>
        </is>
      </c>
      <c r="I116">
        <f>IF((('Condensed Financials'!C41+'Condensed Financials'!B41)/2)=0,NA(),'Condensed Financials'!C20/(('Condensed Financials'!C41+'Condensed Financials'!B41)/2))</f>
        <v/>
      </c>
      <c r="J116" t="n">
        <v>0.5533333333333333</v>
      </c>
      <c r="K116" t="n">
        <v>0.01</v>
      </c>
      <c r="L116" t="inlineStr">
        <is>
          <t>net_income_link__20221231,equity_reformulated_fy__20221231,equity_reformulated_fy__20211231</t>
        </is>
      </c>
      <c r="M116" t="inlineStr">
        <is>
          <t>Actual ROE = Net Income / Average Equity.|A zero denominator makes this ratio undefined (#N/A), not 0%.</t>
        </is>
      </c>
      <c r="O116" t="inlineStr">
        <is>
          <t>pending</t>
        </is>
      </c>
      <c r="P116" t="inlineStr">
        <is>
          <t>actual_roe</t>
        </is>
      </c>
      <c r="Q116" t="n">
        <v>25</v>
      </c>
      <c r="R116" t="n">
        <v>1</v>
      </c>
      <c r="S116" t="inlineStr">
        <is>
          <t>2022-12-31</t>
        </is>
      </c>
    </row>
    <row r="117">
      <c r="A117" t="inlineStr">
        <is>
          <t>actual_roe__20231231</t>
        </is>
      </c>
      <c r="B117" t="n">
        <v>116</v>
      </c>
      <c r="C117" t="inlineStr">
        <is>
          <t>Actual ROE</t>
        </is>
      </c>
      <c r="D117" t="inlineStr">
        <is>
          <t>Relate net income to average reformulated equity.</t>
        </is>
      </c>
      <c r="E117" t="inlineStr">
        <is>
          <t>dupont.actual_roe.2023-12-31</t>
        </is>
      </c>
      <c r="F117" t="inlineStr">
        <is>
          <t>dupont</t>
        </is>
      </c>
      <c r="G117" t="inlineStr">
        <is>
          <t>ALT DuPont</t>
        </is>
      </c>
      <c r="H117" t="inlineStr">
        <is>
          <t>D12</t>
        </is>
      </c>
      <c r="I117">
        <f>IF((('Condensed Financials'!D41+'Condensed Financials'!C41)/2)=0,NA(),'Condensed Financials'!D20/(('Condensed Financials'!D41+'Condensed Financials'!C41)/2))</f>
        <v/>
      </c>
      <c r="J117" t="n">
        <v>0.5381967213114754</v>
      </c>
      <c r="K117" t="n">
        <v>0.01</v>
      </c>
      <c r="L117" t="inlineStr">
        <is>
          <t>net_income_link__20231231,equity_reformulated_fy__20231231,equity_reformulated_fy__20221231</t>
        </is>
      </c>
      <c r="M117" t="inlineStr">
        <is>
          <t>Actual ROE = Net Income / Average Equity.|A zero denominator makes this ratio undefined (#N/A), not 0%.</t>
        </is>
      </c>
      <c r="O117" t="inlineStr">
        <is>
          <t>pending</t>
        </is>
      </c>
      <c r="P117" t="inlineStr">
        <is>
          <t>actual_roe</t>
        </is>
      </c>
      <c r="Q117" t="n">
        <v>25</v>
      </c>
      <c r="R117" t="n">
        <v>2</v>
      </c>
      <c r="S117" t="inlineStr">
        <is>
          <t>2023-12-31</t>
        </is>
      </c>
    </row>
    <row r="118">
      <c r="A118" t="inlineStr">
        <is>
          <t>actual_roe__20241231</t>
        </is>
      </c>
      <c r="B118" t="n">
        <v>117</v>
      </c>
      <c r="C118" t="inlineStr">
        <is>
          <t>Actual ROE</t>
        </is>
      </c>
      <c r="D118" t="inlineStr">
        <is>
          <t>Relate net income to average reformulated equity.</t>
        </is>
      </c>
      <c r="E118" t="inlineStr">
        <is>
          <t>dupont.actual_roe.2024-12-31</t>
        </is>
      </c>
      <c r="F118" t="inlineStr">
        <is>
          <t>dupont</t>
        </is>
      </c>
      <c r="G118" t="inlineStr">
        <is>
          <t>ALT DuPont</t>
        </is>
      </c>
      <c r="H118" t="inlineStr">
        <is>
          <t>E12</t>
        </is>
      </c>
      <c r="I118">
        <f>IF((('Condensed Financials'!E41+'Condensed Financials'!D41)/2)=0,NA(),'Condensed Financials'!E20/(('Condensed Financials'!E41+'Condensed Financials'!D41)/2))</f>
        <v/>
      </c>
      <c r="J118" t="n">
        <v>0.5205714285714286</v>
      </c>
      <c r="K118" t="n">
        <v>0.01</v>
      </c>
      <c r="L118" t="inlineStr">
        <is>
          <t>net_income_link__20241231,equity_reformulated_fy__20241231,equity_reformulated_fy__20231231</t>
        </is>
      </c>
      <c r="M118" t="inlineStr">
        <is>
          <t>Actual ROE = Net Income / Average Equity.|A zero denominator makes this ratio undefined (#N/A), not 0%.</t>
        </is>
      </c>
      <c r="O118" t="inlineStr">
        <is>
          <t>pending</t>
        </is>
      </c>
      <c r="P118" t="inlineStr">
        <is>
          <t>actual_roe</t>
        </is>
      </c>
      <c r="Q118" t="n">
        <v>25</v>
      </c>
      <c r="R118" t="n">
        <v>3</v>
      </c>
      <c r="S118" t="inlineStr">
        <is>
          <t>2024-12-31</t>
        </is>
      </c>
    </row>
    <row r="119">
      <c r="A119" t="inlineStr">
        <is>
          <t>actual_roe__20251231</t>
        </is>
      </c>
      <c r="B119" t="n">
        <v>118</v>
      </c>
      <c r="C119" t="inlineStr">
        <is>
          <t>Actual ROE</t>
        </is>
      </c>
      <c r="D119" t="inlineStr">
        <is>
          <t>Relate net income to average reformulated equity.</t>
        </is>
      </c>
      <c r="E119" t="inlineStr">
        <is>
          <t>dupont.actual_roe.2025-12-31</t>
        </is>
      </c>
      <c r="F119" t="inlineStr">
        <is>
          <t>dupont</t>
        </is>
      </c>
      <c r="G119" t="inlineStr">
        <is>
          <t>ALT DuPont</t>
        </is>
      </c>
      <c r="H119" t="inlineStr">
        <is>
          <t>F12</t>
        </is>
      </c>
      <c r="I119">
        <f>IF((('Condensed Financials'!F41+'Condensed Financials'!E41)/2)=0,NA(),'Condensed Financials'!F20/(('Condensed Financials'!F41+'Condensed Financials'!E41)/2))</f>
        <v/>
      </c>
      <c r="J119" t="n">
        <v>0.5027160493827161</v>
      </c>
      <c r="K119" t="n">
        <v>0.01</v>
      </c>
      <c r="L119" t="inlineStr">
        <is>
          <t>net_income_link__20251231,equity_reformulated_fy__20251231,equity_reformulated_fy__20241231</t>
        </is>
      </c>
      <c r="M119" t="inlineStr">
        <is>
          <t>Actual ROE = Net Income / Average Equity.|A zero denominator makes this ratio undefined (#N/A), not 0%.</t>
        </is>
      </c>
      <c r="O119" t="inlineStr">
        <is>
          <t>pending</t>
        </is>
      </c>
      <c r="P119" t="inlineStr">
        <is>
          <t>actual_roe</t>
        </is>
      </c>
      <c r="Q119" t="n">
        <v>25</v>
      </c>
      <c r="R119" t="n">
        <v>4</v>
      </c>
      <c r="S119" t="inlineStr">
        <is>
          <t>2025-12-31</t>
        </is>
      </c>
    </row>
    <row r="120">
      <c r="A120" t="inlineStr">
        <is>
          <t>pretax_normalization_adjustment__20211231</t>
        </is>
      </c>
      <c r="B120" t="n">
        <v>119</v>
      </c>
      <c r="C120" t="inlineStr">
        <is>
          <t>Pretax normalization adjustment</t>
        </is>
      </c>
      <c r="D120" t="inlineStr">
        <is>
          <t>Sum the signed pretax add-back for items marked Non-recurring on the Earnings Normalization detail block.</t>
        </is>
      </c>
      <c r="E120" t="inlineStr">
        <is>
          <t>normalization.pretax_adjustment.2021-12-31</t>
        </is>
      </c>
      <c r="F120" t="inlineStr">
        <is>
          <t>normalization</t>
        </is>
      </c>
      <c r="G120" t="inlineStr">
        <is>
          <t>Earnings Normalization</t>
        </is>
      </c>
      <c r="H120" t="inlineStr">
        <is>
          <t>C9</t>
        </is>
      </c>
      <c r="I120">
        <f>-SUMIF($B$5:$B$5,"Non-recurring",C$5:C$5)</f>
        <v/>
      </c>
      <c r="J120" t="n">
        <v>0</v>
      </c>
      <c r="K120" t="n">
        <v>0.01</v>
      </c>
      <c r="M120" t="inlineStr">
        <is>
          <t>Use SUMIF on the detail treatment column for Non-recurring items, then negate the sum so expense add-backs are positive.</t>
        </is>
      </c>
      <c r="O120" t="inlineStr">
        <is>
          <t>pending</t>
        </is>
      </c>
      <c r="P120" t="inlineStr">
        <is>
          <t>pretax_normalization_adjustment</t>
        </is>
      </c>
      <c r="Q120" t="n">
        <v>26</v>
      </c>
      <c r="R120" t="n">
        <v>0</v>
      </c>
      <c r="S120" t="inlineStr">
        <is>
          <t>2021-12-31</t>
        </is>
      </c>
    </row>
    <row r="121">
      <c r="A121" t="inlineStr">
        <is>
          <t>pretax_normalization_adjustment__20221231</t>
        </is>
      </c>
      <c r="B121" t="n">
        <v>120</v>
      </c>
      <c r="C121" t="inlineStr">
        <is>
          <t>Pretax normalization adjustment</t>
        </is>
      </c>
      <c r="D121" t="inlineStr">
        <is>
          <t>Sum the signed pretax add-back for items marked Non-recurring on the Earnings Normalization detail block.</t>
        </is>
      </c>
      <c r="E121" t="inlineStr">
        <is>
          <t>normalization.pretax_adjustment.2022-12-31</t>
        </is>
      </c>
      <c r="F121" t="inlineStr">
        <is>
          <t>normalization</t>
        </is>
      </c>
      <c r="G121" t="inlineStr">
        <is>
          <t>Earnings Normalization</t>
        </is>
      </c>
      <c r="H121" t="inlineStr">
        <is>
          <t>D9</t>
        </is>
      </c>
      <c r="I121">
        <f>-SUMIF($B$5:$B$5,"Non-recurring",D$5:D$5)</f>
        <v/>
      </c>
      <c r="J121" t="n">
        <v>0</v>
      </c>
      <c r="K121" t="n">
        <v>0.01</v>
      </c>
      <c r="M121" t="inlineStr">
        <is>
          <t>Use SUMIF on the detail treatment column for Non-recurring items, then negate the sum so expense add-backs are positive.</t>
        </is>
      </c>
      <c r="O121" t="inlineStr">
        <is>
          <t>pending</t>
        </is>
      </c>
      <c r="P121" t="inlineStr">
        <is>
          <t>pretax_normalization_adjustment</t>
        </is>
      </c>
      <c r="Q121" t="n">
        <v>26</v>
      </c>
      <c r="R121" t="n">
        <v>1</v>
      </c>
      <c r="S121" t="inlineStr">
        <is>
          <t>2022-12-31</t>
        </is>
      </c>
    </row>
    <row r="122">
      <c r="A122" t="inlineStr">
        <is>
          <t>pretax_normalization_adjustment__20231231</t>
        </is>
      </c>
      <c r="B122" t="n">
        <v>121</v>
      </c>
      <c r="C122" t="inlineStr">
        <is>
          <t>Pretax normalization adjustment</t>
        </is>
      </c>
      <c r="D122" t="inlineStr">
        <is>
          <t>Sum the signed pretax add-back for items marked Non-recurring on the Earnings Normalization detail block.</t>
        </is>
      </c>
      <c r="E122" t="inlineStr">
        <is>
          <t>normalization.pretax_adjustment.2023-12-31</t>
        </is>
      </c>
      <c r="F122" t="inlineStr">
        <is>
          <t>normalization</t>
        </is>
      </c>
      <c r="G122" t="inlineStr">
        <is>
          <t>Earnings Normalization</t>
        </is>
      </c>
      <c r="H122" t="inlineStr">
        <is>
          <t>E9</t>
        </is>
      </c>
      <c r="I122">
        <f>-SUMIF($B$5:$B$5,"Non-recurring",E$5:E$5)</f>
        <v/>
      </c>
      <c r="J122" t="n">
        <v>200</v>
      </c>
      <c r="K122" t="n">
        <v>0.01</v>
      </c>
      <c r="M122" t="inlineStr">
        <is>
          <t>Use SUMIF on the detail treatment column for Non-recurring items, then negate the sum so expense add-backs are positive.</t>
        </is>
      </c>
      <c r="O122" t="inlineStr">
        <is>
          <t>pending</t>
        </is>
      </c>
      <c r="P122" t="inlineStr">
        <is>
          <t>pretax_normalization_adjustment</t>
        </is>
      </c>
      <c r="Q122" t="n">
        <v>26</v>
      </c>
      <c r="R122" t="n">
        <v>2</v>
      </c>
      <c r="S122" t="inlineStr">
        <is>
          <t>2023-12-31</t>
        </is>
      </c>
    </row>
    <row r="123">
      <c r="A123" t="inlineStr">
        <is>
          <t>pretax_normalization_adjustment__20241231</t>
        </is>
      </c>
      <c r="B123" t="n">
        <v>122</v>
      </c>
      <c r="C123" t="inlineStr">
        <is>
          <t>Pretax normalization adjustment</t>
        </is>
      </c>
      <c r="D123" t="inlineStr">
        <is>
          <t>Sum the signed pretax add-back for items marked Non-recurring on the Earnings Normalization detail block.</t>
        </is>
      </c>
      <c r="E123" t="inlineStr">
        <is>
          <t>normalization.pretax_adjustment.2024-12-31</t>
        </is>
      </c>
      <c r="F123" t="inlineStr">
        <is>
          <t>normalization</t>
        </is>
      </c>
      <c r="G123" t="inlineStr">
        <is>
          <t>Earnings Normalization</t>
        </is>
      </c>
      <c r="H123" t="inlineStr">
        <is>
          <t>F9</t>
        </is>
      </c>
      <c r="I123">
        <f>-SUMIF($B$5:$B$5,"Non-recurring",F$5:F$5)</f>
        <v/>
      </c>
      <c r="J123" t="n">
        <v>0</v>
      </c>
      <c r="K123" t="n">
        <v>0.01</v>
      </c>
      <c r="M123" t="inlineStr">
        <is>
          <t>Use SUMIF on the detail treatment column for Non-recurring items, then negate the sum so expense add-backs are positive.</t>
        </is>
      </c>
      <c r="O123" t="inlineStr">
        <is>
          <t>pending</t>
        </is>
      </c>
      <c r="P123" t="inlineStr">
        <is>
          <t>pretax_normalization_adjustment</t>
        </is>
      </c>
      <c r="Q123" t="n">
        <v>26</v>
      </c>
      <c r="R123" t="n">
        <v>3</v>
      </c>
      <c r="S123" t="inlineStr">
        <is>
          <t>2024-12-31</t>
        </is>
      </c>
    </row>
    <row r="124">
      <c r="A124" t="inlineStr">
        <is>
          <t>pretax_normalization_adjustment__20251231</t>
        </is>
      </c>
      <c r="B124" t="n">
        <v>123</v>
      </c>
      <c r="C124" t="inlineStr">
        <is>
          <t>Pretax normalization adjustment</t>
        </is>
      </c>
      <c r="D124" t="inlineStr">
        <is>
          <t>Sum the signed pretax add-back for items marked Non-recurring on the Earnings Normalization detail block.</t>
        </is>
      </c>
      <c r="E124" t="inlineStr">
        <is>
          <t>normalization.pretax_adjustment.2025-12-31</t>
        </is>
      </c>
      <c r="F124" t="inlineStr">
        <is>
          <t>normalization</t>
        </is>
      </c>
      <c r="G124" t="inlineStr">
        <is>
          <t>Earnings Normalization</t>
        </is>
      </c>
      <c r="H124" t="inlineStr">
        <is>
          <t>G9</t>
        </is>
      </c>
      <c r="I124">
        <f>-SUMIF($B$5:$B$5,"Non-recurring",G$5:G$5)</f>
        <v/>
      </c>
      <c r="J124" t="n">
        <v>0</v>
      </c>
      <c r="K124" t="n">
        <v>0.01</v>
      </c>
      <c r="M124" t="inlineStr">
        <is>
          <t>Use SUMIF on the detail treatment column for Non-recurring items, then negate the sum so expense add-backs are positive.</t>
        </is>
      </c>
      <c r="O124" t="inlineStr">
        <is>
          <t>pending</t>
        </is>
      </c>
      <c r="P124" t="inlineStr">
        <is>
          <t>pretax_normalization_adjustment</t>
        </is>
      </c>
      <c r="Q124" t="n">
        <v>26</v>
      </c>
      <c r="R124" t="n">
        <v>4</v>
      </c>
      <c r="S124" t="inlineStr">
        <is>
          <t>2025-12-31</t>
        </is>
      </c>
    </row>
    <row r="125">
      <c r="A125" t="inlineStr">
        <is>
          <t>after_tax_normalization_adjustment__20211231</t>
        </is>
      </c>
      <c r="B125" t="n">
        <v>124</v>
      </c>
      <c r="C125" t="inlineStr">
        <is>
          <t>After-tax normalization adjustment</t>
        </is>
      </c>
      <c r="D125" t="inlineStr">
        <is>
          <t>Apply the period effective tax rate to the pretax normalization adjustment.</t>
        </is>
      </c>
      <c r="E125" t="inlineStr">
        <is>
          <t>normalization.after_tax_adjustment.2021-12-31</t>
        </is>
      </c>
      <c r="F125" t="inlineStr">
        <is>
          <t>normalization</t>
        </is>
      </c>
      <c r="G125" t="inlineStr">
        <is>
          <t>Earnings Normalization</t>
        </is>
      </c>
      <c r="H125" t="inlineStr">
        <is>
          <t>C11</t>
        </is>
      </c>
      <c r="I125">
        <f>IF(C9=0,0,IF(ISNA(C10),NA(),C9*(1-C10)))</f>
        <v/>
      </c>
      <c r="J125" t="n">
        <v>0</v>
      </c>
      <c r="K125" t="n">
        <v>0.01</v>
      </c>
      <c r="L125" t="inlineStr">
        <is>
          <t>pretax_normalization_adjustment__20211231</t>
        </is>
      </c>
      <c r="M125" t="inlineStr">
        <is>
          <t>After-tax adjustment = pretax adjustment × (1 − effective tax rate).</t>
        </is>
      </c>
      <c r="O125" t="inlineStr">
        <is>
          <t>pending</t>
        </is>
      </c>
      <c r="P125" t="inlineStr">
        <is>
          <t>after_tax_normalization_adjustment</t>
        </is>
      </c>
      <c r="Q125" t="n">
        <v>27</v>
      </c>
      <c r="R125" t="n">
        <v>0</v>
      </c>
      <c r="S125" t="inlineStr">
        <is>
          <t>2021-12-31</t>
        </is>
      </c>
    </row>
    <row r="126">
      <c r="A126" t="inlineStr">
        <is>
          <t>after_tax_normalization_adjustment__20221231</t>
        </is>
      </c>
      <c r="B126" t="n">
        <v>125</v>
      </c>
      <c r="C126" t="inlineStr">
        <is>
          <t>After-tax normalization adjustment</t>
        </is>
      </c>
      <c r="D126" t="inlineStr">
        <is>
          <t>Apply the period effective tax rate to the pretax normalization adjustment.</t>
        </is>
      </c>
      <c r="E126" t="inlineStr">
        <is>
          <t>normalization.after_tax_adjustment.2022-12-31</t>
        </is>
      </c>
      <c r="F126" t="inlineStr">
        <is>
          <t>normalization</t>
        </is>
      </c>
      <c r="G126" t="inlineStr">
        <is>
          <t>Earnings Normalization</t>
        </is>
      </c>
      <c r="H126" t="inlineStr">
        <is>
          <t>D11</t>
        </is>
      </c>
      <c r="I126">
        <f>IF(D9=0,0,IF(ISNA(D10),NA(),D9*(1-D10)))</f>
        <v/>
      </c>
      <c r="J126" t="n">
        <v>0</v>
      </c>
      <c r="K126" t="n">
        <v>0.01</v>
      </c>
      <c r="L126" t="inlineStr">
        <is>
          <t>pretax_normalization_adjustment__20221231</t>
        </is>
      </c>
      <c r="M126" t="inlineStr">
        <is>
          <t>After-tax adjustment = pretax adjustment × (1 − effective tax rate).</t>
        </is>
      </c>
      <c r="O126" t="inlineStr">
        <is>
          <t>pending</t>
        </is>
      </c>
      <c r="P126" t="inlineStr">
        <is>
          <t>after_tax_normalization_adjustment</t>
        </is>
      </c>
      <c r="Q126" t="n">
        <v>27</v>
      </c>
      <c r="R126" t="n">
        <v>1</v>
      </c>
      <c r="S126" t="inlineStr">
        <is>
          <t>2022-12-31</t>
        </is>
      </c>
    </row>
    <row r="127">
      <c r="A127" t="inlineStr">
        <is>
          <t>after_tax_normalization_adjustment__20231231</t>
        </is>
      </c>
      <c r="B127" t="n">
        <v>126</v>
      </c>
      <c r="C127" t="inlineStr">
        <is>
          <t>After-tax normalization adjustment</t>
        </is>
      </c>
      <c r="D127" t="inlineStr">
        <is>
          <t>Apply the period effective tax rate to the pretax normalization adjustment.</t>
        </is>
      </c>
      <c r="E127" t="inlineStr">
        <is>
          <t>normalization.after_tax_adjustment.2023-12-31</t>
        </is>
      </c>
      <c r="F127" t="inlineStr">
        <is>
          <t>normalization</t>
        </is>
      </c>
      <c r="G127" t="inlineStr">
        <is>
          <t>Earnings Normalization</t>
        </is>
      </c>
      <c r="H127" t="inlineStr">
        <is>
          <t>E11</t>
        </is>
      </c>
      <c r="I127">
        <f>IF(E9=0,0,IF(ISNA(E10),NA(),E9*(1-E10)))</f>
        <v/>
      </c>
      <c r="J127" t="n">
        <v>166.0176991150443</v>
      </c>
      <c r="K127" t="n">
        <v>0.01</v>
      </c>
      <c r="L127" t="inlineStr">
        <is>
          <t>pretax_normalization_adjustment__20231231</t>
        </is>
      </c>
      <c r="M127" t="inlineStr">
        <is>
          <t>After-tax adjustment = pretax adjustment × (1 − effective tax rate).</t>
        </is>
      </c>
      <c r="O127" t="inlineStr">
        <is>
          <t>pending</t>
        </is>
      </c>
      <c r="P127" t="inlineStr">
        <is>
          <t>after_tax_normalization_adjustment</t>
        </is>
      </c>
      <c r="Q127" t="n">
        <v>27</v>
      </c>
      <c r="R127" t="n">
        <v>2</v>
      </c>
      <c r="S127" t="inlineStr">
        <is>
          <t>2023-12-31</t>
        </is>
      </c>
    </row>
    <row r="128">
      <c r="A128" t="inlineStr">
        <is>
          <t>after_tax_normalization_adjustment__20241231</t>
        </is>
      </c>
      <c r="B128" t="n">
        <v>127</v>
      </c>
      <c r="C128" t="inlineStr">
        <is>
          <t>After-tax normalization adjustment</t>
        </is>
      </c>
      <c r="D128" t="inlineStr">
        <is>
          <t>Apply the period effective tax rate to the pretax normalization adjustment.</t>
        </is>
      </c>
      <c r="E128" t="inlineStr">
        <is>
          <t>normalization.after_tax_adjustment.2024-12-31</t>
        </is>
      </c>
      <c r="F128" t="inlineStr">
        <is>
          <t>normalization</t>
        </is>
      </c>
      <c r="G128" t="inlineStr">
        <is>
          <t>Earnings Normalization</t>
        </is>
      </c>
      <c r="H128" t="inlineStr">
        <is>
          <t>F11</t>
        </is>
      </c>
      <c r="I128">
        <f>IF(F9=0,0,IF(ISNA(F10),NA(),F9*(1-F10)))</f>
        <v/>
      </c>
      <c r="J128" t="n">
        <v>0</v>
      </c>
      <c r="K128" t="n">
        <v>0.01</v>
      </c>
      <c r="L128" t="inlineStr">
        <is>
          <t>pretax_normalization_adjustment__20241231</t>
        </is>
      </c>
      <c r="M128" t="inlineStr">
        <is>
          <t>After-tax adjustment = pretax adjustment × (1 − effective tax rate).</t>
        </is>
      </c>
      <c r="O128" t="inlineStr">
        <is>
          <t>pending</t>
        </is>
      </c>
      <c r="P128" t="inlineStr">
        <is>
          <t>after_tax_normalization_adjustment</t>
        </is>
      </c>
      <c r="Q128" t="n">
        <v>27</v>
      </c>
      <c r="R128" t="n">
        <v>3</v>
      </c>
      <c r="S128" t="inlineStr">
        <is>
          <t>2024-12-31</t>
        </is>
      </c>
    </row>
    <row r="129">
      <c r="A129" t="inlineStr">
        <is>
          <t>after_tax_normalization_adjustment__20251231</t>
        </is>
      </c>
      <c r="B129" t="n">
        <v>128</v>
      </c>
      <c r="C129" t="inlineStr">
        <is>
          <t>After-tax normalization adjustment</t>
        </is>
      </c>
      <c r="D129" t="inlineStr">
        <is>
          <t>Apply the period effective tax rate to the pretax normalization adjustment.</t>
        </is>
      </c>
      <c r="E129" t="inlineStr">
        <is>
          <t>normalization.after_tax_adjustment.2025-12-31</t>
        </is>
      </c>
      <c r="F129" t="inlineStr">
        <is>
          <t>normalization</t>
        </is>
      </c>
      <c r="G129" t="inlineStr">
        <is>
          <t>Earnings Normalization</t>
        </is>
      </c>
      <c r="H129" t="inlineStr">
        <is>
          <t>G11</t>
        </is>
      </c>
      <c r="I129">
        <f>IF(G9=0,0,IF(ISNA(G10),NA(),G9*(1-G10)))</f>
        <v/>
      </c>
      <c r="J129" t="n">
        <v>0</v>
      </c>
      <c r="K129" t="n">
        <v>0.01</v>
      </c>
      <c r="L129" t="inlineStr">
        <is>
          <t>pretax_normalization_adjustment__20251231</t>
        </is>
      </c>
      <c r="M129" t="inlineStr">
        <is>
          <t>After-tax adjustment = pretax adjustment × (1 − effective tax rate).</t>
        </is>
      </c>
      <c r="O129" t="inlineStr">
        <is>
          <t>pending</t>
        </is>
      </c>
      <c r="P129" t="inlineStr">
        <is>
          <t>after_tax_normalization_adjustment</t>
        </is>
      </c>
      <c r="Q129" t="n">
        <v>27</v>
      </c>
      <c r="R129" t="n">
        <v>4</v>
      </c>
      <c r="S129" t="inlineStr">
        <is>
          <t>2025-12-31</t>
        </is>
      </c>
    </row>
    <row r="130">
      <c r="A130" t="inlineStr">
        <is>
          <t>normalized_nopat__20211231</t>
        </is>
      </c>
      <c r="B130" t="n">
        <v>129</v>
      </c>
      <c r="C130" t="inlineStr">
        <is>
          <t>Normalized NOPAT</t>
        </is>
      </c>
      <c r="D130" t="inlineStr">
        <is>
          <t>Add the after-tax normalization adjustment to reported NOPAT.</t>
        </is>
      </c>
      <c r="E130" t="inlineStr">
        <is>
          <t>normalization.normalized_nopat.2021-12-31</t>
        </is>
      </c>
      <c r="F130" t="inlineStr">
        <is>
          <t>normalization</t>
        </is>
      </c>
      <c r="G130" t="inlineStr">
        <is>
          <t>Earnings Normalization</t>
        </is>
      </c>
      <c r="H130" t="inlineStr">
        <is>
          <t>C12</t>
        </is>
      </c>
      <c r="I130">
        <f>C7+C11</f>
        <v/>
      </c>
      <c r="J130" t="n">
        <v>2822.255639097744</v>
      </c>
      <c r="K130" t="n">
        <v>0.01</v>
      </c>
      <c r="L130" t="inlineStr">
        <is>
          <t>after_tax_normalization_adjustment__20211231</t>
        </is>
      </c>
      <c r="M130" t="inlineStr">
        <is>
          <t>Normalized NOPAT = Reported NOPAT + after-tax normalization adjustment.</t>
        </is>
      </c>
      <c r="O130" t="inlineStr">
        <is>
          <t>pending</t>
        </is>
      </c>
      <c r="P130" t="inlineStr">
        <is>
          <t>normalized_nopat</t>
        </is>
      </c>
      <c r="Q130" t="n">
        <v>28</v>
      </c>
      <c r="R130" t="n">
        <v>0</v>
      </c>
      <c r="S130" t="inlineStr">
        <is>
          <t>2021-12-31</t>
        </is>
      </c>
    </row>
    <row r="131">
      <c r="A131" t="inlineStr">
        <is>
          <t>normalized_nopat__20221231</t>
        </is>
      </c>
      <c r="B131" t="n">
        <v>130</v>
      </c>
      <c r="C131" t="inlineStr">
        <is>
          <t>Normalized NOPAT</t>
        </is>
      </c>
      <c r="D131" t="inlineStr">
        <is>
          <t>Add the after-tax normalization adjustment to reported NOPAT.</t>
        </is>
      </c>
      <c r="E131" t="inlineStr">
        <is>
          <t>normalization.normalized_nopat.2022-12-31</t>
        </is>
      </c>
      <c r="F131" t="inlineStr">
        <is>
          <t>normalization</t>
        </is>
      </c>
      <c r="G131" t="inlineStr">
        <is>
          <t>Earnings Normalization</t>
        </is>
      </c>
      <c r="H131" t="inlineStr">
        <is>
          <t>D12</t>
        </is>
      </c>
      <c r="I131">
        <f>D7+D11</f>
        <v/>
      </c>
      <c r="J131" t="n">
        <v>3054.4</v>
      </c>
      <c r="K131" t="n">
        <v>0.01</v>
      </c>
      <c r="L131" t="inlineStr">
        <is>
          <t>after_tax_normalization_adjustment__20221231</t>
        </is>
      </c>
      <c r="M131" t="inlineStr">
        <is>
          <t>Normalized NOPAT = Reported NOPAT + after-tax normalization adjustment.</t>
        </is>
      </c>
      <c r="O131" t="inlineStr">
        <is>
          <t>pending</t>
        </is>
      </c>
      <c r="P131" t="inlineStr">
        <is>
          <t>normalized_nopat</t>
        </is>
      </c>
      <c r="Q131" t="n">
        <v>28</v>
      </c>
      <c r="R131" t="n">
        <v>1</v>
      </c>
      <c r="S131" t="inlineStr">
        <is>
          <t>2022-12-31</t>
        </is>
      </c>
    </row>
    <row r="132">
      <c r="A132" t="inlineStr">
        <is>
          <t>normalized_nopat__20231231</t>
        </is>
      </c>
      <c r="B132" t="n">
        <v>131</v>
      </c>
      <c r="C132" t="inlineStr">
        <is>
          <t>Normalized NOPAT</t>
        </is>
      </c>
      <c r="D132" t="inlineStr">
        <is>
          <t>Add the after-tax normalization adjustment to reported NOPAT.</t>
        </is>
      </c>
      <c r="E132" t="inlineStr">
        <is>
          <t>normalization.normalized_nopat.2023-12-31</t>
        </is>
      </c>
      <c r="F132" t="inlineStr">
        <is>
          <t>normalization</t>
        </is>
      </c>
      <c r="G132" t="inlineStr">
        <is>
          <t>Earnings Normalization</t>
        </is>
      </c>
      <c r="H132" t="inlineStr">
        <is>
          <t>E12</t>
        </is>
      </c>
      <c r="I132">
        <f>E7+E11</f>
        <v/>
      </c>
      <c r="J132" t="n">
        <v>3519.575221238938</v>
      </c>
      <c r="K132" t="n">
        <v>0.01</v>
      </c>
      <c r="L132" t="inlineStr">
        <is>
          <t>after_tax_normalization_adjustment__20231231</t>
        </is>
      </c>
      <c r="M132" t="inlineStr">
        <is>
          <t>Normalized NOPAT = Reported NOPAT + after-tax normalization adjustment.</t>
        </is>
      </c>
      <c r="O132" t="inlineStr">
        <is>
          <t>pending</t>
        </is>
      </c>
      <c r="P132" t="inlineStr">
        <is>
          <t>normalized_nopat</t>
        </is>
      </c>
      <c r="Q132" t="n">
        <v>28</v>
      </c>
      <c r="R132" t="n">
        <v>2</v>
      </c>
      <c r="S132" t="inlineStr">
        <is>
          <t>2023-12-31</t>
        </is>
      </c>
    </row>
    <row r="133">
      <c r="A133" t="inlineStr">
        <is>
          <t>normalized_nopat__20241231</t>
        </is>
      </c>
      <c r="B133" t="n">
        <v>132</v>
      </c>
      <c r="C133" t="inlineStr">
        <is>
          <t>Normalized NOPAT</t>
        </is>
      </c>
      <c r="D133" t="inlineStr">
        <is>
          <t>Add the after-tax normalization adjustment to reported NOPAT.</t>
        </is>
      </c>
      <c r="E133" t="inlineStr">
        <is>
          <t>normalization.normalized_nopat.2024-12-31</t>
        </is>
      </c>
      <c r="F133" t="inlineStr">
        <is>
          <t>normalization</t>
        </is>
      </c>
      <c r="G133" t="inlineStr">
        <is>
          <t>Earnings Normalization</t>
        </is>
      </c>
      <c r="H133" t="inlineStr">
        <is>
          <t>F12</t>
        </is>
      </c>
      <c r="I133">
        <f>F7+F11</f>
        <v/>
      </c>
      <c r="J133" t="n">
        <v>3718.706150341686</v>
      </c>
      <c r="K133" t="n">
        <v>0.01</v>
      </c>
      <c r="L133" t="inlineStr">
        <is>
          <t>after_tax_normalization_adjustment__20241231</t>
        </is>
      </c>
      <c r="M133" t="inlineStr">
        <is>
          <t>Normalized NOPAT = Reported NOPAT + after-tax normalization adjustment.</t>
        </is>
      </c>
      <c r="O133" t="inlineStr">
        <is>
          <t>pending</t>
        </is>
      </c>
      <c r="P133" t="inlineStr">
        <is>
          <t>normalized_nopat</t>
        </is>
      </c>
      <c r="Q133" t="n">
        <v>28</v>
      </c>
      <c r="R133" t="n">
        <v>3</v>
      </c>
      <c r="S133" t="inlineStr">
        <is>
          <t>2024-12-31</t>
        </is>
      </c>
    </row>
    <row r="134">
      <c r="A134" t="inlineStr">
        <is>
          <t>normalized_nopat__20251231</t>
        </is>
      </c>
      <c r="B134" t="n">
        <v>133</v>
      </c>
      <c r="C134" t="inlineStr">
        <is>
          <t>Normalized NOPAT</t>
        </is>
      </c>
      <c r="D134" t="inlineStr">
        <is>
          <t>Add the after-tax normalization adjustment to reported NOPAT.</t>
        </is>
      </c>
      <c r="E134" t="inlineStr">
        <is>
          <t>normalization.normalized_nopat.2025-12-31</t>
        </is>
      </c>
      <c r="F134" t="inlineStr">
        <is>
          <t>normalization</t>
        </is>
      </c>
      <c r="G134" t="inlineStr">
        <is>
          <t>Earnings Normalization</t>
        </is>
      </c>
      <c r="H134" t="inlineStr">
        <is>
          <t>G12</t>
        </is>
      </c>
      <c r="I134">
        <f>G7+G11</f>
        <v/>
      </c>
      <c r="J134" t="n">
        <v>4150.866462793068</v>
      </c>
      <c r="K134" t="n">
        <v>0.01</v>
      </c>
      <c r="L134" t="inlineStr">
        <is>
          <t>after_tax_normalization_adjustment__20251231</t>
        </is>
      </c>
      <c r="M134" t="inlineStr">
        <is>
          <t>Normalized NOPAT = Reported NOPAT + after-tax normalization adjustment.</t>
        </is>
      </c>
      <c r="O134" t="inlineStr">
        <is>
          <t>pending</t>
        </is>
      </c>
      <c r="P134" t="inlineStr">
        <is>
          <t>normalized_nopat</t>
        </is>
      </c>
      <c r="Q134" t="n">
        <v>28</v>
      </c>
      <c r="R134" t="n">
        <v>4</v>
      </c>
      <c r="S134" t="inlineStr">
        <is>
          <t>2025-12-31</t>
        </is>
      </c>
    </row>
    <row r="135">
      <c r="A135" t="inlineStr">
        <is>
          <t>normalized_net_income__20211231</t>
        </is>
      </c>
      <c r="B135" t="n">
        <v>134</v>
      </c>
      <c r="C135" t="inlineStr">
        <is>
          <t>Normalized Net Income</t>
        </is>
      </c>
      <c r="D135" t="inlineStr">
        <is>
          <t>Add the after-tax normalization adjustment to reported Net Income.</t>
        </is>
      </c>
      <c r="E135" t="inlineStr">
        <is>
          <t>normalization.normalized_net_income.2021-12-31</t>
        </is>
      </c>
      <c r="F135" t="inlineStr">
        <is>
          <t>normalization</t>
        </is>
      </c>
      <c r="G135" t="inlineStr">
        <is>
          <t>Earnings Normalization</t>
        </is>
      </c>
      <c r="H135" t="inlineStr">
        <is>
          <t>C13</t>
        </is>
      </c>
      <c r="I135">
        <f>C8+C11</f>
        <v/>
      </c>
      <c r="J135" t="n">
        <v>2760</v>
      </c>
      <c r="K135" t="n">
        <v>0.01</v>
      </c>
      <c r="L135" t="inlineStr">
        <is>
          <t>after_tax_normalization_adjustment__20211231</t>
        </is>
      </c>
      <c r="M135" t="inlineStr">
        <is>
          <t>Normalized Net Income = Reported Net Income + after-tax normalization adjustment.</t>
        </is>
      </c>
      <c r="O135" t="inlineStr">
        <is>
          <t>pending</t>
        </is>
      </c>
      <c r="P135" t="inlineStr">
        <is>
          <t>normalized_net_income</t>
        </is>
      </c>
      <c r="Q135" t="n">
        <v>29</v>
      </c>
      <c r="R135" t="n">
        <v>0</v>
      </c>
      <c r="S135" t="inlineStr">
        <is>
          <t>2021-12-31</t>
        </is>
      </c>
    </row>
    <row r="136">
      <c r="A136" t="inlineStr">
        <is>
          <t>normalized_net_income__20221231</t>
        </is>
      </c>
      <c r="B136" t="n">
        <v>135</v>
      </c>
      <c r="C136" t="inlineStr">
        <is>
          <t>Normalized Net Income</t>
        </is>
      </c>
      <c r="D136" t="inlineStr">
        <is>
          <t>Add the after-tax normalization adjustment to reported Net Income.</t>
        </is>
      </c>
      <c r="E136" t="inlineStr">
        <is>
          <t>normalization.normalized_net_income.2022-12-31</t>
        </is>
      </c>
      <c r="F136" t="inlineStr">
        <is>
          <t>normalization</t>
        </is>
      </c>
      <c r="G136" t="inlineStr">
        <is>
          <t>Earnings Normalization</t>
        </is>
      </c>
      <c r="H136" t="inlineStr">
        <is>
          <t>D13</t>
        </is>
      </c>
      <c r="I136">
        <f>D8+D11</f>
        <v/>
      </c>
      <c r="J136" t="n">
        <v>2988</v>
      </c>
      <c r="K136" t="n">
        <v>0.01</v>
      </c>
      <c r="L136" t="inlineStr">
        <is>
          <t>after_tax_normalization_adjustment__20221231</t>
        </is>
      </c>
      <c r="M136" t="inlineStr">
        <is>
          <t>Normalized Net Income = Reported Net Income + after-tax normalization adjustment.</t>
        </is>
      </c>
      <c r="O136" t="inlineStr">
        <is>
          <t>pending</t>
        </is>
      </c>
      <c r="P136" t="inlineStr">
        <is>
          <t>normalized_net_income</t>
        </is>
      </c>
      <c r="Q136" t="n">
        <v>29</v>
      </c>
      <c r="R136" t="n">
        <v>1</v>
      </c>
      <c r="S136" t="inlineStr">
        <is>
          <t>2022-12-31</t>
        </is>
      </c>
    </row>
    <row r="137">
      <c r="A137" t="inlineStr">
        <is>
          <t>normalized_net_income__20231231</t>
        </is>
      </c>
      <c r="B137" t="n">
        <v>136</v>
      </c>
      <c r="C137" t="inlineStr">
        <is>
          <t>Normalized Net Income</t>
        </is>
      </c>
      <c r="D137" t="inlineStr">
        <is>
          <t>Add the after-tax normalization adjustment to reported Net Income.</t>
        </is>
      </c>
      <c r="E137" t="inlineStr">
        <is>
          <t>normalization.normalized_net_income.2023-12-31</t>
        </is>
      </c>
      <c r="F137" t="inlineStr">
        <is>
          <t>normalization</t>
        </is>
      </c>
      <c r="G137" t="inlineStr">
        <is>
          <t>Earnings Normalization</t>
        </is>
      </c>
      <c r="H137" t="inlineStr">
        <is>
          <t>E13</t>
        </is>
      </c>
      <c r="I137">
        <f>E8+E11</f>
        <v/>
      </c>
      <c r="J137" t="n">
        <v>3449.017699115044</v>
      </c>
      <c r="K137" t="n">
        <v>0.01</v>
      </c>
      <c r="L137" t="inlineStr">
        <is>
          <t>after_tax_normalization_adjustment__20231231</t>
        </is>
      </c>
      <c r="M137" t="inlineStr">
        <is>
          <t>Normalized Net Income = Reported Net Income + after-tax normalization adjustment.</t>
        </is>
      </c>
      <c r="O137" t="inlineStr">
        <is>
          <t>pending</t>
        </is>
      </c>
      <c r="P137" t="inlineStr">
        <is>
          <t>normalized_net_income</t>
        </is>
      </c>
      <c r="Q137" t="n">
        <v>29</v>
      </c>
      <c r="R137" t="n">
        <v>2</v>
      </c>
      <c r="S137" t="inlineStr">
        <is>
          <t>2023-12-31</t>
        </is>
      </c>
    </row>
    <row r="138">
      <c r="A138" t="inlineStr">
        <is>
          <t>normalized_net_income__20241231</t>
        </is>
      </c>
      <c r="B138" t="n">
        <v>137</v>
      </c>
      <c r="C138" t="inlineStr">
        <is>
          <t>Normalized Net Income</t>
        </is>
      </c>
      <c r="D138" t="inlineStr">
        <is>
          <t>Add the after-tax normalization adjustment to reported Net Income.</t>
        </is>
      </c>
      <c r="E138" t="inlineStr">
        <is>
          <t>normalization.normalized_net_income.2024-12-31</t>
        </is>
      </c>
      <c r="F138" t="inlineStr">
        <is>
          <t>normalization</t>
        </is>
      </c>
      <c r="G138" t="inlineStr">
        <is>
          <t>Earnings Normalization</t>
        </is>
      </c>
      <c r="H138" t="inlineStr">
        <is>
          <t>F13</t>
        </is>
      </c>
      <c r="I138">
        <f>F8+F11</f>
        <v/>
      </c>
      <c r="J138" t="n">
        <v>3644</v>
      </c>
      <c r="K138" t="n">
        <v>0.01</v>
      </c>
      <c r="L138" t="inlineStr">
        <is>
          <t>after_tax_normalization_adjustment__20241231</t>
        </is>
      </c>
      <c r="M138" t="inlineStr">
        <is>
          <t>Normalized Net Income = Reported Net Income + after-tax normalization adjustment.</t>
        </is>
      </c>
      <c r="O138" t="inlineStr">
        <is>
          <t>pending</t>
        </is>
      </c>
      <c r="P138" t="inlineStr">
        <is>
          <t>normalized_net_income</t>
        </is>
      </c>
      <c r="Q138" t="n">
        <v>29</v>
      </c>
      <c r="R138" t="n">
        <v>3</v>
      </c>
      <c r="S138" t="inlineStr">
        <is>
          <t>2024-12-31</t>
        </is>
      </c>
    </row>
    <row r="139">
      <c r="A139" t="inlineStr">
        <is>
          <t>normalized_net_income__20251231</t>
        </is>
      </c>
      <c r="B139" t="n">
        <v>138</v>
      </c>
      <c r="C139" t="inlineStr">
        <is>
          <t>Normalized Net Income</t>
        </is>
      </c>
      <c r="D139" t="inlineStr">
        <is>
          <t>Add the after-tax normalization adjustment to reported Net Income.</t>
        </is>
      </c>
      <c r="E139" t="inlineStr">
        <is>
          <t>normalization.normalized_net_income.2025-12-31</t>
        </is>
      </c>
      <c r="F139" t="inlineStr">
        <is>
          <t>normalization</t>
        </is>
      </c>
      <c r="G139" t="inlineStr">
        <is>
          <t>Earnings Normalization</t>
        </is>
      </c>
      <c r="H139" t="inlineStr">
        <is>
          <t>G13</t>
        </is>
      </c>
      <c r="I139">
        <f>G8+G11</f>
        <v/>
      </c>
      <c r="J139" t="n">
        <v>4072</v>
      </c>
      <c r="K139" t="n">
        <v>0.01</v>
      </c>
      <c r="L139" t="inlineStr">
        <is>
          <t>after_tax_normalization_adjustment__20251231</t>
        </is>
      </c>
      <c r="M139" t="inlineStr">
        <is>
          <t>Normalized Net Income = Reported Net Income + after-tax normalization adjustment.</t>
        </is>
      </c>
      <c r="O139" t="inlineStr">
        <is>
          <t>pending</t>
        </is>
      </c>
      <c r="P139" t="inlineStr">
        <is>
          <t>normalized_net_income</t>
        </is>
      </c>
      <c r="Q139" t="n">
        <v>29</v>
      </c>
      <c r="R139" t="n">
        <v>4</v>
      </c>
      <c r="S139" t="inlineStr">
        <is>
          <t>2025-12-31</t>
        </is>
      </c>
    </row>
    <row r="140">
      <c r="A140" t="inlineStr">
        <is>
          <t>operating_cash_flow_link__20211231</t>
        </is>
      </c>
      <c r="B140" t="n">
        <v>139</v>
      </c>
      <c r="C140" t="inlineStr">
        <is>
          <t>Operating cash flow historical source link</t>
        </is>
      </c>
      <c r="D140" t="inlineStr">
        <is>
          <t>Link net cash from operating activities for the same fiscal period.</t>
        </is>
      </c>
      <c r="E140" t="inlineStr">
        <is>
          <t>quality.operating_cash_flow.2021-12-31</t>
        </is>
      </c>
      <c r="F140" t="inlineStr">
        <is>
          <t>earnings_quality</t>
        </is>
      </c>
      <c r="G140" t="inlineStr">
        <is>
          <t>Earnings Quality</t>
        </is>
      </c>
      <c r="H140" t="inlineStr">
        <is>
          <t>B5</t>
        </is>
      </c>
      <c r="I140">
        <f>'Cash Flow Statement'!B9</f>
        <v/>
      </c>
      <c r="J140" t="n">
        <v>1450</v>
      </c>
      <c r="K140" t="n">
        <v>0.01</v>
      </c>
      <c r="M140" t="inlineStr">
        <is>
          <t>Pull final net cash from operating activities for the same period.</t>
        </is>
      </c>
      <c r="O140" t="inlineStr">
        <is>
          <t>pending</t>
        </is>
      </c>
      <c r="P140" t="inlineStr">
        <is>
          <t>operating_cash_flow_link</t>
        </is>
      </c>
      <c r="Q140" t="n">
        <v>30</v>
      </c>
      <c r="R140" t="n">
        <v>0</v>
      </c>
      <c r="S140" t="inlineStr">
        <is>
          <t>2021-12-31</t>
        </is>
      </c>
    </row>
    <row r="141">
      <c r="A141" t="inlineStr">
        <is>
          <t>operating_cash_flow_link__20221231</t>
        </is>
      </c>
      <c r="B141" t="n">
        <v>140</v>
      </c>
      <c r="C141" t="inlineStr">
        <is>
          <t>Operating cash flow historical source link</t>
        </is>
      </c>
      <c r="D141" t="inlineStr">
        <is>
          <t>Link net cash from operating activities for the same fiscal period.</t>
        </is>
      </c>
      <c r="E141" t="inlineStr">
        <is>
          <t>quality.operating_cash_flow.2022-12-31</t>
        </is>
      </c>
      <c r="F141" t="inlineStr">
        <is>
          <t>earnings_quality</t>
        </is>
      </c>
      <c r="G141" t="inlineStr">
        <is>
          <t>Earnings Quality</t>
        </is>
      </c>
      <c r="H141" t="inlineStr">
        <is>
          <t>C5</t>
        </is>
      </c>
      <c r="I141">
        <f>'Cash Flow Statement'!C9</f>
        <v/>
      </c>
      <c r="J141" t="n">
        <v>1600</v>
      </c>
      <c r="K141" t="n">
        <v>0.01</v>
      </c>
      <c r="M141" t="inlineStr">
        <is>
          <t>Pull final net cash from operating activities for the same period.</t>
        </is>
      </c>
      <c r="O141" t="inlineStr">
        <is>
          <t>pending</t>
        </is>
      </c>
      <c r="P141" t="inlineStr">
        <is>
          <t>operating_cash_flow_link</t>
        </is>
      </c>
      <c r="Q141" t="n">
        <v>30</v>
      </c>
      <c r="R141" t="n">
        <v>1</v>
      </c>
      <c r="S141" t="inlineStr">
        <is>
          <t>2022-12-31</t>
        </is>
      </c>
    </row>
    <row r="142">
      <c r="A142" t="inlineStr">
        <is>
          <t>operating_cash_flow_link__20231231</t>
        </is>
      </c>
      <c r="B142" t="n">
        <v>141</v>
      </c>
      <c r="C142" t="inlineStr">
        <is>
          <t>Operating cash flow historical source link</t>
        </is>
      </c>
      <c r="D142" t="inlineStr">
        <is>
          <t>Link net cash from operating activities for the same fiscal period.</t>
        </is>
      </c>
      <c r="E142" t="inlineStr">
        <is>
          <t>quality.operating_cash_flow.2023-12-31</t>
        </is>
      </c>
      <c r="F142" t="inlineStr">
        <is>
          <t>earnings_quality</t>
        </is>
      </c>
      <c r="G142" t="inlineStr">
        <is>
          <t>Earnings Quality</t>
        </is>
      </c>
      <c r="H142" t="inlineStr">
        <is>
          <t>D5</t>
        </is>
      </c>
      <c r="I142">
        <f>'Cash Flow Statement'!D9</f>
        <v/>
      </c>
      <c r="J142" t="n">
        <v>1750</v>
      </c>
      <c r="K142" t="n">
        <v>0.01</v>
      </c>
      <c r="M142" t="inlineStr">
        <is>
          <t>Pull final net cash from operating activities for the same period.</t>
        </is>
      </c>
      <c r="O142" t="inlineStr">
        <is>
          <t>pending</t>
        </is>
      </c>
      <c r="P142" t="inlineStr">
        <is>
          <t>operating_cash_flow_link</t>
        </is>
      </c>
      <c r="Q142" t="n">
        <v>30</v>
      </c>
      <c r="R142" t="n">
        <v>2</v>
      </c>
      <c r="S142" t="inlineStr">
        <is>
          <t>2023-12-31</t>
        </is>
      </c>
    </row>
    <row r="143">
      <c r="A143" t="inlineStr">
        <is>
          <t>operating_cash_flow_link__20241231</t>
        </is>
      </c>
      <c r="B143" t="n">
        <v>142</v>
      </c>
      <c r="C143" t="inlineStr">
        <is>
          <t>Operating cash flow historical source link</t>
        </is>
      </c>
      <c r="D143" t="inlineStr">
        <is>
          <t>Link net cash from operating activities for the same fiscal period.</t>
        </is>
      </c>
      <c r="E143" t="inlineStr">
        <is>
          <t>quality.operating_cash_flow.2024-12-31</t>
        </is>
      </c>
      <c r="F143" t="inlineStr">
        <is>
          <t>earnings_quality</t>
        </is>
      </c>
      <c r="G143" t="inlineStr">
        <is>
          <t>Earnings Quality</t>
        </is>
      </c>
      <c r="H143" t="inlineStr">
        <is>
          <t>E5</t>
        </is>
      </c>
      <c r="I143">
        <f>'Cash Flow Statement'!E9</f>
        <v/>
      </c>
      <c r="J143" t="n">
        <v>1930</v>
      </c>
      <c r="K143" t="n">
        <v>0.01</v>
      </c>
      <c r="M143" t="inlineStr">
        <is>
          <t>Pull final net cash from operating activities for the same period.</t>
        </is>
      </c>
      <c r="O143" t="inlineStr">
        <is>
          <t>pending</t>
        </is>
      </c>
      <c r="P143" t="inlineStr">
        <is>
          <t>operating_cash_flow_link</t>
        </is>
      </c>
      <c r="Q143" t="n">
        <v>30</v>
      </c>
      <c r="R143" t="n">
        <v>3</v>
      </c>
      <c r="S143" t="inlineStr">
        <is>
          <t>2024-12-31</t>
        </is>
      </c>
    </row>
    <row r="144">
      <c r="A144" t="inlineStr">
        <is>
          <t>operating_cash_flow_link__20251231</t>
        </is>
      </c>
      <c r="B144" t="n">
        <v>143</v>
      </c>
      <c r="C144" t="inlineStr">
        <is>
          <t>Operating cash flow historical source link</t>
        </is>
      </c>
      <c r="D144" t="inlineStr">
        <is>
          <t>Link net cash from operating activities for the same fiscal period.</t>
        </is>
      </c>
      <c r="E144" t="inlineStr">
        <is>
          <t>quality.operating_cash_flow.2025-12-31</t>
        </is>
      </c>
      <c r="F144" t="inlineStr">
        <is>
          <t>earnings_quality</t>
        </is>
      </c>
      <c r="G144" t="inlineStr">
        <is>
          <t>Earnings Quality</t>
        </is>
      </c>
      <c r="H144" t="inlineStr">
        <is>
          <t>F5</t>
        </is>
      </c>
      <c r="I144">
        <f>'Cash Flow Statement'!F9</f>
        <v/>
      </c>
      <c r="J144" t="n">
        <v>2070</v>
      </c>
      <c r="K144" t="n">
        <v>0.01</v>
      </c>
      <c r="M144" t="inlineStr">
        <is>
          <t>Pull final net cash from operating activities for the same period.</t>
        </is>
      </c>
      <c r="O144" t="inlineStr">
        <is>
          <t>pending</t>
        </is>
      </c>
      <c r="P144" t="inlineStr">
        <is>
          <t>operating_cash_flow_link</t>
        </is>
      </c>
      <c r="Q144" t="n">
        <v>30</v>
      </c>
      <c r="R144" t="n">
        <v>4</v>
      </c>
      <c r="S144" t="inlineStr">
        <is>
          <t>2025-12-31</t>
        </is>
      </c>
    </row>
    <row r="145">
      <c r="A145" t="inlineStr">
        <is>
          <t>cash_conversion_ratio__20211231</t>
        </is>
      </c>
      <c r="B145" t="n">
        <v>144</v>
      </c>
      <c r="C145" t="inlineStr">
        <is>
          <t>Cash conversion ratio</t>
        </is>
      </c>
      <c r="D145" t="inlineStr">
        <is>
          <t>Compare operating cash flow with reported Net Income.</t>
        </is>
      </c>
      <c r="E145" t="inlineStr">
        <is>
          <t>quality.cash_conversion_ratio.2021-12-31</t>
        </is>
      </c>
      <c r="F145" t="inlineStr">
        <is>
          <t>earnings_quality</t>
        </is>
      </c>
      <c r="G145" t="inlineStr">
        <is>
          <t>Earnings Quality</t>
        </is>
      </c>
      <c r="H145" t="inlineStr">
        <is>
          <t>B7</t>
        </is>
      </c>
      <c r="I145">
        <f>IF(B6=0,NA(),B5/B6)</f>
        <v/>
      </c>
      <c r="J145" t="n">
        <v>0.5253623188405797</v>
      </c>
      <c r="K145" t="n">
        <v>0.01</v>
      </c>
      <c r="L145" t="inlineStr">
        <is>
          <t>operating_cash_flow_link__20211231,net_income_link__20211231</t>
        </is>
      </c>
      <c r="M145" t="inlineStr">
        <is>
          <t>Cash conversion = CFO / Reported Net Income.</t>
        </is>
      </c>
      <c r="O145" t="inlineStr">
        <is>
          <t>pending</t>
        </is>
      </c>
      <c r="P145" t="inlineStr">
        <is>
          <t>cash_conversion_ratio</t>
        </is>
      </c>
      <c r="Q145" t="n">
        <v>31</v>
      </c>
      <c r="R145" t="n">
        <v>0</v>
      </c>
      <c r="S145" t="inlineStr">
        <is>
          <t>2021-12-31</t>
        </is>
      </c>
    </row>
    <row r="146">
      <c r="A146" t="inlineStr">
        <is>
          <t>cash_conversion_ratio__20221231</t>
        </is>
      </c>
      <c r="B146" t="n">
        <v>145</v>
      </c>
      <c r="C146" t="inlineStr">
        <is>
          <t>Cash conversion ratio</t>
        </is>
      </c>
      <c r="D146" t="inlineStr">
        <is>
          <t>Compare operating cash flow with reported Net Income.</t>
        </is>
      </c>
      <c r="E146" t="inlineStr">
        <is>
          <t>quality.cash_conversion_ratio.2022-12-31</t>
        </is>
      </c>
      <c r="F146" t="inlineStr">
        <is>
          <t>earnings_quality</t>
        </is>
      </c>
      <c r="G146" t="inlineStr">
        <is>
          <t>Earnings Quality</t>
        </is>
      </c>
      <c r="H146" t="inlineStr">
        <is>
          <t>C7</t>
        </is>
      </c>
      <c r="I146">
        <f>IF(C6=0,NA(),C5/C6)</f>
        <v/>
      </c>
      <c r="J146" t="n">
        <v>0.535475234270415</v>
      </c>
      <c r="K146" t="n">
        <v>0.01</v>
      </c>
      <c r="L146" t="inlineStr">
        <is>
          <t>operating_cash_flow_link__20221231,net_income_link__20221231</t>
        </is>
      </c>
      <c r="M146" t="inlineStr">
        <is>
          <t>Cash conversion = CFO / Reported Net Income.</t>
        </is>
      </c>
      <c r="O146" t="inlineStr">
        <is>
          <t>pending</t>
        </is>
      </c>
      <c r="P146" t="inlineStr">
        <is>
          <t>cash_conversion_ratio</t>
        </is>
      </c>
      <c r="Q146" t="n">
        <v>31</v>
      </c>
      <c r="R146" t="n">
        <v>1</v>
      </c>
      <c r="S146" t="inlineStr">
        <is>
          <t>2022-12-31</t>
        </is>
      </c>
    </row>
    <row r="147">
      <c r="A147" t="inlineStr">
        <is>
          <t>cash_conversion_ratio__20231231</t>
        </is>
      </c>
      <c r="B147" t="n">
        <v>146</v>
      </c>
      <c r="C147" t="inlineStr">
        <is>
          <t>Cash conversion ratio</t>
        </is>
      </c>
      <c r="D147" t="inlineStr">
        <is>
          <t>Compare operating cash flow with reported Net Income.</t>
        </is>
      </c>
      <c r="E147" t="inlineStr">
        <is>
          <t>quality.cash_conversion_ratio.2023-12-31</t>
        </is>
      </c>
      <c r="F147" t="inlineStr">
        <is>
          <t>earnings_quality</t>
        </is>
      </c>
      <c r="G147" t="inlineStr">
        <is>
          <t>Earnings Quality</t>
        </is>
      </c>
      <c r="H147" t="inlineStr">
        <is>
          <t>D7</t>
        </is>
      </c>
      <c r="I147">
        <f>IF(D6=0,NA(),D5/D6)</f>
        <v/>
      </c>
      <c r="J147" t="n">
        <v>0.5330490405117271</v>
      </c>
      <c r="K147" t="n">
        <v>0.01</v>
      </c>
      <c r="L147" t="inlineStr">
        <is>
          <t>operating_cash_flow_link__20231231,net_income_link__20231231</t>
        </is>
      </c>
      <c r="M147" t="inlineStr">
        <is>
          <t>Cash conversion = CFO / Reported Net Income.</t>
        </is>
      </c>
      <c r="O147" t="inlineStr">
        <is>
          <t>pending</t>
        </is>
      </c>
      <c r="P147" t="inlineStr">
        <is>
          <t>cash_conversion_ratio</t>
        </is>
      </c>
      <c r="Q147" t="n">
        <v>31</v>
      </c>
      <c r="R147" t="n">
        <v>2</v>
      </c>
      <c r="S147" t="inlineStr">
        <is>
          <t>2023-12-31</t>
        </is>
      </c>
    </row>
    <row r="148">
      <c r="A148" t="inlineStr">
        <is>
          <t>cash_conversion_ratio__20241231</t>
        </is>
      </c>
      <c r="B148" t="n">
        <v>147</v>
      </c>
      <c r="C148" t="inlineStr">
        <is>
          <t>Cash conversion ratio</t>
        </is>
      </c>
      <c r="D148" t="inlineStr">
        <is>
          <t>Compare operating cash flow with reported Net Income.</t>
        </is>
      </c>
      <c r="E148" t="inlineStr">
        <is>
          <t>quality.cash_conversion_ratio.2024-12-31</t>
        </is>
      </c>
      <c r="F148" t="inlineStr">
        <is>
          <t>earnings_quality</t>
        </is>
      </c>
      <c r="G148" t="inlineStr">
        <is>
          <t>Earnings Quality</t>
        </is>
      </c>
      <c r="H148" t="inlineStr">
        <is>
          <t>E7</t>
        </is>
      </c>
      <c r="I148">
        <f>IF(E6=0,NA(),E5/E6)</f>
        <v/>
      </c>
      <c r="J148" t="n">
        <v>0.5296377607025247</v>
      </c>
      <c r="K148" t="n">
        <v>0.01</v>
      </c>
      <c r="L148" t="inlineStr">
        <is>
          <t>operating_cash_flow_link__20241231,net_income_link__20241231</t>
        </is>
      </c>
      <c r="M148" t="inlineStr">
        <is>
          <t>Cash conversion = CFO / Reported Net Income.</t>
        </is>
      </c>
      <c r="O148" t="inlineStr">
        <is>
          <t>pending</t>
        </is>
      </c>
      <c r="P148" t="inlineStr">
        <is>
          <t>cash_conversion_ratio</t>
        </is>
      </c>
      <c r="Q148" t="n">
        <v>31</v>
      </c>
      <c r="R148" t="n">
        <v>3</v>
      </c>
      <c r="S148" t="inlineStr">
        <is>
          <t>2024-12-31</t>
        </is>
      </c>
    </row>
    <row r="149">
      <c r="A149" t="inlineStr">
        <is>
          <t>cash_conversion_ratio__20251231</t>
        </is>
      </c>
      <c r="B149" t="n">
        <v>148</v>
      </c>
      <c r="C149" t="inlineStr">
        <is>
          <t>Cash conversion ratio</t>
        </is>
      </c>
      <c r="D149" t="inlineStr">
        <is>
          <t>Compare operating cash flow with reported Net Income.</t>
        </is>
      </c>
      <c r="E149" t="inlineStr">
        <is>
          <t>quality.cash_conversion_ratio.2025-12-31</t>
        </is>
      </c>
      <c r="F149" t="inlineStr">
        <is>
          <t>earnings_quality</t>
        </is>
      </c>
      <c r="G149" t="inlineStr">
        <is>
          <t>Earnings Quality</t>
        </is>
      </c>
      <c r="H149" t="inlineStr">
        <is>
          <t>F7</t>
        </is>
      </c>
      <c r="I149">
        <f>IF(F6=0,NA(),F5/F6)</f>
        <v/>
      </c>
      <c r="J149" t="n">
        <v>0.5083497053045186</v>
      </c>
      <c r="K149" t="n">
        <v>0.01</v>
      </c>
      <c r="L149" t="inlineStr">
        <is>
          <t>operating_cash_flow_link__20251231,net_income_link__20251231</t>
        </is>
      </c>
      <c r="M149" t="inlineStr">
        <is>
          <t>Cash conversion = CFO / Reported Net Income.</t>
        </is>
      </c>
      <c r="O149" t="inlineStr">
        <is>
          <t>pending</t>
        </is>
      </c>
      <c r="P149" t="inlineStr">
        <is>
          <t>cash_conversion_ratio</t>
        </is>
      </c>
      <c r="Q149" t="n">
        <v>31</v>
      </c>
      <c r="R149" t="n">
        <v>4</v>
      </c>
      <c r="S149" t="inlineStr">
        <is>
          <t>2025-12-31</t>
        </is>
      </c>
    </row>
    <row r="150">
      <c r="A150" t="inlineStr">
        <is>
          <t>total_accruals__20211231</t>
        </is>
      </c>
      <c r="B150" t="n">
        <v>149</v>
      </c>
      <c r="C150" t="inlineStr">
        <is>
          <t>Total accruals</t>
        </is>
      </c>
      <c r="D150" t="inlineStr">
        <is>
          <t>Reported Net Income minus operating cash flow.</t>
        </is>
      </c>
      <c r="E150" t="inlineStr">
        <is>
          <t>quality.total_accruals.2021-12-31</t>
        </is>
      </c>
      <c r="F150" t="inlineStr">
        <is>
          <t>earnings_quality</t>
        </is>
      </c>
      <c r="G150" t="inlineStr">
        <is>
          <t>Earnings Quality</t>
        </is>
      </c>
      <c r="H150" t="inlineStr">
        <is>
          <t>B8</t>
        </is>
      </c>
      <c r="I150">
        <f>B6-B5</f>
        <v/>
      </c>
      <c r="J150" t="n">
        <v>1310</v>
      </c>
      <c r="K150" t="n">
        <v>0.01</v>
      </c>
      <c r="L150" t="inlineStr">
        <is>
          <t>operating_cash_flow_link__20211231,net_income_link__20211231</t>
        </is>
      </c>
      <c r="M150" t="inlineStr">
        <is>
          <t>Total accruals = Reported Net Income − CFO.</t>
        </is>
      </c>
      <c r="O150" t="inlineStr">
        <is>
          <t>pending</t>
        </is>
      </c>
      <c r="P150" t="inlineStr">
        <is>
          <t>total_accruals</t>
        </is>
      </c>
      <c r="Q150" t="n">
        <v>32</v>
      </c>
      <c r="R150" t="n">
        <v>0</v>
      </c>
      <c r="S150" t="inlineStr">
        <is>
          <t>2021-12-31</t>
        </is>
      </c>
    </row>
    <row r="151">
      <c r="A151" t="inlineStr">
        <is>
          <t>total_accruals__20221231</t>
        </is>
      </c>
      <c r="B151" t="n">
        <v>150</v>
      </c>
      <c r="C151" t="inlineStr">
        <is>
          <t>Total accruals</t>
        </is>
      </c>
      <c r="D151" t="inlineStr">
        <is>
          <t>Reported Net Income minus operating cash flow.</t>
        </is>
      </c>
      <c r="E151" t="inlineStr">
        <is>
          <t>quality.total_accruals.2022-12-31</t>
        </is>
      </c>
      <c r="F151" t="inlineStr">
        <is>
          <t>earnings_quality</t>
        </is>
      </c>
      <c r="G151" t="inlineStr">
        <is>
          <t>Earnings Quality</t>
        </is>
      </c>
      <c r="H151" t="inlineStr">
        <is>
          <t>C8</t>
        </is>
      </c>
      <c r="I151">
        <f>C6-C5</f>
        <v/>
      </c>
      <c r="J151" t="n">
        <v>1388</v>
      </c>
      <c r="K151" t="n">
        <v>0.01</v>
      </c>
      <c r="L151" t="inlineStr">
        <is>
          <t>operating_cash_flow_link__20221231,net_income_link__20221231</t>
        </is>
      </c>
      <c r="M151" t="inlineStr">
        <is>
          <t>Total accruals = Reported Net Income − CFO.</t>
        </is>
      </c>
      <c r="O151" t="inlineStr">
        <is>
          <t>pending</t>
        </is>
      </c>
      <c r="P151" t="inlineStr">
        <is>
          <t>total_accruals</t>
        </is>
      </c>
      <c r="Q151" t="n">
        <v>32</v>
      </c>
      <c r="R151" t="n">
        <v>1</v>
      </c>
      <c r="S151" t="inlineStr">
        <is>
          <t>2022-12-31</t>
        </is>
      </c>
    </row>
    <row r="152">
      <c r="A152" t="inlineStr">
        <is>
          <t>total_accruals__20231231</t>
        </is>
      </c>
      <c r="B152" t="n">
        <v>151</v>
      </c>
      <c r="C152" t="inlineStr">
        <is>
          <t>Total accruals</t>
        </is>
      </c>
      <c r="D152" t="inlineStr">
        <is>
          <t>Reported Net Income minus operating cash flow.</t>
        </is>
      </c>
      <c r="E152" t="inlineStr">
        <is>
          <t>quality.total_accruals.2023-12-31</t>
        </is>
      </c>
      <c r="F152" t="inlineStr">
        <is>
          <t>earnings_quality</t>
        </is>
      </c>
      <c r="G152" t="inlineStr">
        <is>
          <t>Earnings Quality</t>
        </is>
      </c>
      <c r="H152" t="inlineStr">
        <is>
          <t>D8</t>
        </is>
      </c>
      <c r="I152">
        <f>D6-D5</f>
        <v/>
      </c>
      <c r="J152" t="n">
        <v>1533</v>
      </c>
      <c r="K152" t="n">
        <v>0.01</v>
      </c>
      <c r="L152" t="inlineStr">
        <is>
          <t>operating_cash_flow_link__20231231,net_income_link__20231231</t>
        </is>
      </c>
      <c r="M152" t="inlineStr">
        <is>
          <t>Total accruals = Reported Net Income − CFO.</t>
        </is>
      </c>
      <c r="O152" t="inlineStr">
        <is>
          <t>pending</t>
        </is>
      </c>
      <c r="P152" t="inlineStr">
        <is>
          <t>total_accruals</t>
        </is>
      </c>
      <c r="Q152" t="n">
        <v>32</v>
      </c>
      <c r="R152" t="n">
        <v>2</v>
      </c>
      <c r="S152" t="inlineStr">
        <is>
          <t>2023-12-31</t>
        </is>
      </c>
    </row>
    <row r="153">
      <c r="A153" t="inlineStr">
        <is>
          <t>total_accruals__20241231</t>
        </is>
      </c>
      <c r="B153" t="n">
        <v>152</v>
      </c>
      <c r="C153" t="inlineStr">
        <is>
          <t>Total accruals</t>
        </is>
      </c>
      <c r="D153" t="inlineStr">
        <is>
          <t>Reported Net Income minus operating cash flow.</t>
        </is>
      </c>
      <c r="E153" t="inlineStr">
        <is>
          <t>quality.total_accruals.2024-12-31</t>
        </is>
      </c>
      <c r="F153" t="inlineStr">
        <is>
          <t>earnings_quality</t>
        </is>
      </c>
      <c r="G153" t="inlineStr">
        <is>
          <t>Earnings Quality</t>
        </is>
      </c>
      <c r="H153" t="inlineStr">
        <is>
          <t>E8</t>
        </is>
      </c>
      <c r="I153">
        <f>E6-E5</f>
        <v/>
      </c>
      <c r="J153" t="n">
        <v>1714</v>
      </c>
      <c r="K153" t="n">
        <v>0.01</v>
      </c>
      <c r="L153" t="inlineStr">
        <is>
          <t>operating_cash_flow_link__20241231,net_income_link__20241231</t>
        </is>
      </c>
      <c r="M153" t="inlineStr">
        <is>
          <t>Total accruals = Reported Net Income − CFO.</t>
        </is>
      </c>
      <c r="O153" t="inlineStr">
        <is>
          <t>pending</t>
        </is>
      </c>
      <c r="P153" t="inlineStr">
        <is>
          <t>total_accruals</t>
        </is>
      </c>
      <c r="Q153" t="n">
        <v>32</v>
      </c>
      <c r="R153" t="n">
        <v>3</v>
      </c>
      <c r="S153" t="inlineStr">
        <is>
          <t>2024-12-31</t>
        </is>
      </c>
    </row>
    <row r="154">
      <c r="A154" t="inlineStr">
        <is>
          <t>total_accruals__20251231</t>
        </is>
      </c>
      <c r="B154" t="n">
        <v>153</v>
      </c>
      <c r="C154" t="inlineStr">
        <is>
          <t>Total accruals</t>
        </is>
      </c>
      <c r="D154" t="inlineStr">
        <is>
          <t>Reported Net Income minus operating cash flow.</t>
        </is>
      </c>
      <c r="E154" t="inlineStr">
        <is>
          <t>quality.total_accruals.2025-12-31</t>
        </is>
      </c>
      <c r="F154" t="inlineStr">
        <is>
          <t>earnings_quality</t>
        </is>
      </c>
      <c r="G154" t="inlineStr">
        <is>
          <t>Earnings Quality</t>
        </is>
      </c>
      <c r="H154" t="inlineStr">
        <is>
          <t>F8</t>
        </is>
      </c>
      <c r="I154">
        <f>F6-F5</f>
        <v/>
      </c>
      <c r="J154" t="n">
        <v>2002</v>
      </c>
      <c r="K154" t="n">
        <v>0.01</v>
      </c>
      <c r="L154" t="inlineStr">
        <is>
          <t>operating_cash_flow_link__20251231,net_income_link__20251231</t>
        </is>
      </c>
      <c r="M154" t="inlineStr">
        <is>
          <t>Total accruals = Reported Net Income − CFO.</t>
        </is>
      </c>
      <c r="O154" t="inlineStr">
        <is>
          <t>pending</t>
        </is>
      </c>
      <c r="P154" t="inlineStr">
        <is>
          <t>total_accruals</t>
        </is>
      </c>
      <c r="Q154" t="n">
        <v>32</v>
      </c>
      <c r="R154" t="n">
        <v>4</v>
      </c>
      <c r="S154" t="inlineStr">
        <is>
          <t>2025-12-31</t>
        </is>
      </c>
    </row>
    <row r="155">
      <c r="A155" t="inlineStr">
        <is>
          <t>average_total_assets__20221231</t>
        </is>
      </c>
      <c r="B155" t="n">
        <v>154</v>
      </c>
      <c r="C155" t="inlineStr">
        <is>
          <t>Average total assets</t>
        </is>
      </c>
      <c r="D155" t="inlineStr">
        <is>
          <t>Average beginning and ending reported total assets.</t>
        </is>
      </c>
      <c r="E155" t="inlineStr">
        <is>
          <t>quality.average_total_assets.2022-12-31</t>
        </is>
      </c>
      <c r="F155" t="inlineStr">
        <is>
          <t>earnings_quality</t>
        </is>
      </c>
      <c r="G155" t="inlineStr">
        <is>
          <t>Earnings Quality</t>
        </is>
      </c>
      <c r="H155" t="inlineStr">
        <is>
          <t>C11</t>
        </is>
      </c>
      <c r="I155">
        <f>(B10+C10)/2</f>
        <v/>
      </c>
      <c r="J155" t="n">
        <v>8850</v>
      </c>
      <c r="K155" t="n">
        <v>0.01</v>
      </c>
      <c r="M155" t="inlineStr">
        <is>
          <t>Average Total Assets = (Beginning Total Assets + Ending Total Assets) / 2.</t>
        </is>
      </c>
      <c r="O155" t="inlineStr">
        <is>
          <t>pending</t>
        </is>
      </c>
      <c r="P155" t="inlineStr">
        <is>
          <t>average_total_assets</t>
        </is>
      </c>
      <c r="Q155" t="n">
        <v>33</v>
      </c>
      <c r="R155" t="n">
        <v>1</v>
      </c>
      <c r="S155" t="inlineStr">
        <is>
          <t>2022-12-31</t>
        </is>
      </c>
    </row>
    <row r="156">
      <c r="A156" t="inlineStr">
        <is>
          <t>average_total_assets__20231231</t>
        </is>
      </c>
      <c r="B156" t="n">
        <v>155</v>
      </c>
      <c r="C156" t="inlineStr">
        <is>
          <t>Average total assets</t>
        </is>
      </c>
      <c r="D156" t="inlineStr">
        <is>
          <t>Average beginning and ending reported total assets.</t>
        </is>
      </c>
      <c r="E156" t="inlineStr">
        <is>
          <t>quality.average_total_assets.2023-12-31</t>
        </is>
      </c>
      <c r="F156" t="inlineStr">
        <is>
          <t>earnings_quality</t>
        </is>
      </c>
      <c r="G156" t="inlineStr">
        <is>
          <t>Earnings Quality</t>
        </is>
      </c>
      <c r="H156" t="inlineStr">
        <is>
          <t>D11</t>
        </is>
      </c>
      <c r="I156">
        <f>(C10+D10)/2</f>
        <v/>
      </c>
      <c r="J156" t="n">
        <v>9650</v>
      </c>
      <c r="K156" t="n">
        <v>0.01</v>
      </c>
      <c r="M156" t="inlineStr">
        <is>
          <t>Average Total Assets = (Beginning Total Assets + Ending Total Assets) / 2.</t>
        </is>
      </c>
      <c r="O156" t="inlineStr">
        <is>
          <t>pending</t>
        </is>
      </c>
      <c r="P156" t="inlineStr">
        <is>
          <t>average_total_assets</t>
        </is>
      </c>
      <c r="Q156" t="n">
        <v>33</v>
      </c>
      <c r="R156" t="n">
        <v>2</v>
      </c>
      <c r="S156" t="inlineStr">
        <is>
          <t>2023-12-31</t>
        </is>
      </c>
    </row>
    <row r="157">
      <c r="A157" t="inlineStr">
        <is>
          <t>average_total_assets__20241231</t>
        </is>
      </c>
      <c r="B157" t="n">
        <v>156</v>
      </c>
      <c r="C157" t="inlineStr">
        <is>
          <t>Average total assets</t>
        </is>
      </c>
      <c r="D157" t="inlineStr">
        <is>
          <t>Average beginning and ending reported total assets.</t>
        </is>
      </c>
      <c r="E157" t="inlineStr">
        <is>
          <t>quality.average_total_assets.2024-12-31</t>
        </is>
      </c>
      <c r="F157" t="inlineStr">
        <is>
          <t>earnings_quality</t>
        </is>
      </c>
      <c r="G157" t="inlineStr">
        <is>
          <t>Earnings Quality</t>
        </is>
      </c>
      <c r="H157" t="inlineStr">
        <is>
          <t>E11</t>
        </is>
      </c>
      <c r="I157">
        <f>(D10+E10)/2</f>
        <v/>
      </c>
      <c r="J157" t="n">
        <v>10650</v>
      </c>
      <c r="K157" t="n">
        <v>0.01</v>
      </c>
      <c r="M157" t="inlineStr">
        <is>
          <t>Average Total Assets = (Beginning Total Assets + Ending Total Assets) / 2.</t>
        </is>
      </c>
      <c r="O157" t="inlineStr">
        <is>
          <t>pending</t>
        </is>
      </c>
      <c r="P157" t="inlineStr">
        <is>
          <t>average_total_assets</t>
        </is>
      </c>
      <c r="Q157" t="n">
        <v>33</v>
      </c>
      <c r="R157" t="n">
        <v>3</v>
      </c>
      <c r="S157" t="inlineStr">
        <is>
          <t>2024-12-31</t>
        </is>
      </c>
    </row>
    <row r="158">
      <c r="A158" t="inlineStr">
        <is>
          <t>average_total_assets__20251231</t>
        </is>
      </c>
      <c r="B158" t="n">
        <v>157</v>
      </c>
      <c r="C158" t="inlineStr">
        <is>
          <t>Average total assets</t>
        </is>
      </c>
      <c r="D158" t="inlineStr">
        <is>
          <t>Average beginning and ending reported total assets.</t>
        </is>
      </c>
      <c r="E158" t="inlineStr">
        <is>
          <t>quality.average_total_assets.2025-12-31</t>
        </is>
      </c>
      <c r="F158" t="inlineStr">
        <is>
          <t>earnings_quality</t>
        </is>
      </c>
      <c r="G158" t="inlineStr">
        <is>
          <t>Earnings Quality</t>
        </is>
      </c>
      <c r="H158" t="inlineStr">
        <is>
          <t>F11</t>
        </is>
      </c>
      <c r="I158">
        <f>(E10+F10)/2</f>
        <v/>
      </c>
      <c r="J158" t="n">
        <v>11850</v>
      </c>
      <c r="K158" t="n">
        <v>0.01</v>
      </c>
      <c r="M158" t="inlineStr">
        <is>
          <t>Average Total Assets = (Beginning Total Assets + Ending Total Assets) / 2.</t>
        </is>
      </c>
      <c r="O158" t="inlineStr">
        <is>
          <t>pending</t>
        </is>
      </c>
      <c r="P158" t="inlineStr">
        <is>
          <t>average_total_assets</t>
        </is>
      </c>
      <c r="Q158" t="n">
        <v>33</v>
      </c>
      <c r="R158" t="n">
        <v>4</v>
      </c>
      <c r="S158" t="inlineStr">
        <is>
          <t>2025-12-31</t>
        </is>
      </c>
    </row>
    <row r="159">
      <c r="A159" t="inlineStr">
        <is>
          <t>accrual_ratio__20221231</t>
        </is>
      </c>
      <c r="B159" t="n">
        <v>158</v>
      </c>
      <c r="C159" t="inlineStr">
        <is>
          <t>Accrual ratio</t>
        </is>
      </c>
      <c r="D159" t="inlineStr">
        <is>
          <t>Scale total accruals by average total assets.</t>
        </is>
      </c>
      <c r="E159" t="inlineStr">
        <is>
          <t>quality.accrual_ratio.2022-12-31</t>
        </is>
      </c>
      <c r="F159" t="inlineStr">
        <is>
          <t>earnings_quality</t>
        </is>
      </c>
      <c r="G159" t="inlineStr">
        <is>
          <t>Earnings Quality</t>
        </is>
      </c>
      <c r="H159" t="inlineStr">
        <is>
          <t>C12</t>
        </is>
      </c>
      <c r="I159">
        <f>IF(C11=0,NA(),C8/C11)</f>
        <v/>
      </c>
      <c r="J159" t="n">
        <v>0.1568361581920904</v>
      </c>
      <c r="K159" t="n">
        <v>0.01</v>
      </c>
      <c r="L159" t="inlineStr">
        <is>
          <t>total_accruals__20221231,average_total_assets__20221231</t>
        </is>
      </c>
      <c r="M159" t="inlineStr">
        <is>
          <t>Accrual ratio = Total Accruals / Average Total Assets.</t>
        </is>
      </c>
      <c r="O159" t="inlineStr">
        <is>
          <t>pending</t>
        </is>
      </c>
      <c r="P159" t="inlineStr">
        <is>
          <t>accrual_ratio</t>
        </is>
      </c>
      <c r="Q159" t="n">
        <v>34</v>
      </c>
      <c r="R159" t="n">
        <v>1</v>
      </c>
      <c r="S159" t="inlineStr">
        <is>
          <t>2022-12-31</t>
        </is>
      </c>
    </row>
    <row r="160">
      <c r="A160" t="inlineStr">
        <is>
          <t>accrual_ratio__20231231</t>
        </is>
      </c>
      <c r="B160" t="n">
        <v>159</v>
      </c>
      <c r="C160" t="inlineStr">
        <is>
          <t>Accrual ratio</t>
        </is>
      </c>
      <c r="D160" t="inlineStr">
        <is>
          <t>Scale total accruals by average total assets.</t>
        </is>
      </c>
      <c r="E160" t="inlineStr">
        <is>
          <t>quality.accrual_ratio.2023-12-31</t>
        </is>
      </c>
      <c r="F160" t="inlineStr">
        <is>
          <t>earnings_quality</t>
        </is>
      </c>
      <c r="G160" t="inlineStr">
        <is>
          <t>Earnings Quality</t>
        </is>
      </c>
      <c r="H160" t="inlineStr">
        <is>
          <t>D12</t>
        </is>
      </c>
      <c r="I160">
        <f>IF(D11=0,NA(),D8/D11)</f>
        <v/>
      </c>
      <c r="J160" t="n">
        <v>0.158860103626943</v>
      </c>
      <c r="K160" t="n">
        <v>0.01</v>
      </c>
      <c r="L160" t="inlineStr">
        <is>
          <t>total_accruals__20231231,average_total_assets__20231231</t>
        </is>
      </c>
      <c r="M160" t="inlineStr">
        <is>
          <t>Accrual ratio = Total Accruals / Average Total Assets.</t>
        </is>
      </c>
      <c r="O160" t="inlineStr">
        <is>
          <t>pending</t>
        </is>
      </c>
      <c r="P160" t="inlineStr">
        <is>
          <t>accrual_ratio</t>
        </is>
      </c>
      <c r="Q160" t="n">
        <v>34</v>
      </c>
      <c r="R160" t="n">
        <v>2</v>
      </c>
      <c r="S160" t="inlineStr">
        <is>
          <t>2023-12-31</t>
        </is>
      </c>
    </row>
    <row r="161">
      <c r="A161" t="inlineStr">
        <is>
          <t>accrual_ratio__20241231</t>
        </is>
      </c>
      <c r="B161" t="n">
        <v>160</v>
      </c>
      <c r="C161" t="inlineStr">
        <is>
          <t>Accrual ratio</t>
        </is>
      </c>
      <c r="D161" t="inlineStr">
        <is>
          <t>Scale total accruals by average total assets.</t>
        </is>
      </c>
      <c r="E161" t="inlineStr">
        <is>
          <t>quality.accrual_ratio.2024-12-31</t>
        </is>
      </c>
      <c r="F161" t="inlineStr">
        <is>
          <t>earnings_quality</t>
        </is>
      </c>
      <c r="G161" t="inlineStr">
        <is>
          <t>Earnings Quality</t>
        </is>
      </c>
      <c r="H161" t="inlineStr">
        <is>
          <t>E12</t>
        </is>
      </c>
      <c r="I161">
        <f>IF(E11=0,NA(),E8/E11)</f>
        <v/>
      </c>
      <c r="J161" t="n">
        <v>0.1609389671361502</v>
      </c>
      <c r="K161" t="n">
        <v>0.01</v>
      </c>
      <c r="L161" t="inlineStr">
        <is>
          <t>total_accruals__20241231,average_total_assets__20241231</t>
        </is>
      </c>
      <c r="M161" t="inlineStr">
        <is>
          <t>Accrual ratio = Total Accruals / Average Total Assets.</t>
        </is>
      </c>
      <c r="O161" t="inlineStr">
        <is>
          <t>pending</t>
        </is>
      </c>
      <c r="P161" t="inlineStr">
        <is>
          <t>accrual_ratio</t>
        </is>
      </c>
      <c r="Q161" t="n">
        <v>34</v>
      </c>
      <c r="R161" t="n">
        <v>3</v>
      </c>
      <c r="S161" t="inlineStr">
        <is>
          <t>2024-12-31</t>
        </is>
      </c>
    </row>
    <row r="162">
      <c r="A162" t="inlineStr">
        <is>
          <t>accrual_ratio__20251231</t>
        </is>
      </c>
      <c r="B162" t="n">
        <v>161</v>
      </c>
      <c r="C162" t="inlineStr">
        <is>
          <t>Accrual ratio</t>
        </is>
      </c>
      <c r="D162" t="inlineStr">
        <is>
          <t>Scale total accruals by average total assets.</t>
        </is>
      </c>
      <c r="E162" t="inlineStr">
        <is>
          <t>quality.accrual_ratio.2025-12-31</t>
        </is>
      </c>
      <c r="F162" t="inlineStr">
        <is>
          <t>earnings_quality</t>
        </is>
      </c>
      <c r="G162" t="inlineStr">
        <is>
          <t>Earnings Quality</t>
        </is>
      </c>
      <c r="H162" t="inlineStr">
        <is>
          <t>F12</t>
        </is>
      </c>
      <c r="I162">
        <f>IF(F11=0,NA(),F8/F11)</f>
        <v/>
      </c>
      <c r="J162" t="n">
        <v>0.1689451476793249</v>
      </c>
      <c r="K162" t="n">
        <v>0.01</v>
      </c>
      <c r="L162" t="inlineStr">
        <is>
          <t>total_accruals__20251231,average_total_assets__20251231</t>
        </is>
      </c>
      <c r="M162" t="inlineStr">
        <is>
          <t>Accrual ratio = Total Accruals / Average Total Assets.</t>
        </is>
      </c>
      <c r="O162" t="inlineStr">
        <is>
          <t>pending</t>
        </is>
      </c>
      <c r="P162" t="inlineStr">
        <is>
          <t>accrual_ratio</t>
        </is>
      </c>
      <c r="Q162" t="n">
        <v>34</v>
      </c>
      <c r="R162" t="n">
        <v>4</v>
      </c>
      <c r="S162" t="inlineStr">
        <is>
          <t>2025-12-31</t>
        </is>
      </c>
    </row>
    <row r="163">
      <c r="A163" t="inlineStr">
        <is>
          <t>owca_to_revenue__20211231</t>
        </is>
      </c>
      <c r="B163" t="n">
        <v>162</v>
      </c>
      <c r="C163" t="inlineStr">
        <is>
          <t>Operating working capital assets / Revenue</t>
        </is>
      </c>
      <c r="D163" t="inlineStr">
        <is>
          <t>OWCA divided by Revenue for the same fiscal period.</t>
        </is>
      </c>
      <c r="E163" t="inlineStr">
        <is>
          <t>working_capital.owca_to_revenue.2021-12-31</t>
        </is>
      </c>
      <c r="F163" t="inlineStr">
        <is>
          <t>working_capital</t>
        </is>
      </c>
      <c r="G163" t="inlineStr">
        <is>
          <t>Working Capital Analysis</t>
        </is>
      </c>
      <c r="H163" t="inlineStr">
        <is>
          <t>B11</t>
        </is>
      </c>
      <c r="I163">
        <f>IF(B6=0,NA(),B7/B6)</f>
        <v/>
      </c>
      <c r="J163" t="n">
        <v>0.18</v>
      </c>
      <c r="K163" t="n">
        <v>0.01</v>
      </c>
      <c r="M163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63" t="inlineStr">
        <is>
          <t>pending</t>
        </is>
      </c>
      <c r="P163" t="inlineStr">
        <is>
          <t>owca_to_revenue</t>
        </is>
      </c>
      <c r="Q163" t="n">
        <v>35</v>
      </c>
      <c r="R163" t="n">
        <v>0</v>
      </c>
      <c r="S163" t="inlineStr">
        <is>
          <t>2021-12-31</t>
        </is>
      </c>
    </row>
    <row r="164">
      <c r="A164" t="inlineStr">
        <is>
          <t>owca_to_revenue__20221231</t>
        </is>
      </c>
      <c r="B164" t="n">
        <v>163</v>
      </c>
      <c r="C164" t="inlineStr">
        <is>
          <t>Operating working capital assets / Revenue</t>
        </is>
      </c>
      <c r="D164" t="inlineStr">
        <is>
          <t>OWCA divided by Revenue for the same fiscal period.</t>
        </is>
      </c>
      <c r="E164" t="inlineStr">
        <is>
          <t>working_capital.owca_to_revenue.2022-12-31</t>
        </is>
      </c>
      <c r="F164" t="inlineStr">
        <is>
          <t>working_capital</t>
        </is>
      </c>
      <c r="G164" t="inlineStr">
        <is>
          <t>Working Capital Analysis</t>
        </is>
      </c>
      <c r="H164" t="inlineStr">
        <is>
          <t>C11</t>
        </is>
      </c>
      <c r="I164">
        <f>IF(C6=0,NA(),C7/C6)</f>
        <v/>
      </c>
      <c r="J164" t="n">
        <v>0.18</v>
      </c>
      <c r="K164" t="n">
        <v>0.01</v>
      </c>
      <c r="M164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64" t="inlineStr">
        <is>
          <t>pending</t>
        </is>
      </c>
      <c r="P164" t="inlineStr">
        <is>
          <t>owca_to_revenue</t>
        </is>
      </c>
      <c r="Q164" t="n">
        <v>35</v>
      </c>
      <c r="R164" t="n">
        <v>1</v>
      </c>
      <c r="S164" t="inlineStr">
        <is>
          <t>2022-12-31</t>
        </is>
      </c>
    </row>
    <row r="165">
      <c r="A165" t="inlineStr">
        <is>
          <t>owca_to_revenue__20231231</t>
        </is>
      </c>
      <c r="B165" t="n">
        <v>164</v>
      </c>
      <c r="C165" t="inlineStr">
        <is>
          <t>Operating working capital assets / Revenue</t>
        </is>
      </c>
      <c r="D165" t="inlineStr">
        <is>
          <t>OWCA divided by Revenue for the same fiscal period.</t>
        </is>
      </c>
      <c r="E165" t="inlineStr">
        <is>
          <t>working_capital.owca_to_revenue.2023-12-31</t>
        </is>
      </c>
      <c r="F165" t="inlineStr">
        <is>
          <t>working_capital</t>
        </is>
      </c>
      <c r="G165" t="inlineStr">
        <is>
          <t>Working Capital Analysis</t>
        </is>
      </c>
      <c r="H165" t="inlineStr">
        <is>
          <t>D11</t>
        </is>
      </c>
      <c r="I165">
        <f>IF(D6=0,NA(),D7/D6)</f>
        <v/>
      </c>
      <c r="J165" t="n">
        <v>0.18</v>
      </c>
      <c r="K165" t="n">
        <v>0.01</v>
      </c>
      <c r="M165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65" t="inlineStr">
        <is>
          <t>pending</t>
        </is>
      </c>
      <c r="P165" t="inlineStr">
        <is>
          <t>owca_to_revenue</t>
        </is>
      </c>
      <c r="Q165" t="n">
        <v>35</v>
      </c>
      <c r="R165" t="n">
        <v>2</v>
      </c>
      <c r="S165" t="inlineStr">
        <is>
          <t>2023-12-31</t>
        </is>
      </c>
    </row>
    <row r="166">
      <c r="A166" t="inlineStr">
        <is>
          <t>owca_to_revenue__20241231</t>
        </is>
      </c>
      <c r="B166" t="n">
        <v>165</v>
      </c>
      <c r="C166" t="inlineStr">
        <is>
          <t>Operating working capital assets / Revenue</t>
        </is>
      </c>
      <c r="D166" t="inlineStr">
        <is>
          <t>OWCA divided by Revenue for the same fiscal period.</t>
        </is>
      </c>
      <c r="E166" t="inlineStr">
        <is>
          <t>working_capital.owca_to_revenue.2024-12-31</t>
        </is>
      </c>
      <c r="F166" t="inlineStr">
        <is>
          <t>working_capital</t>
        </is>
      </c>
      <c r="G166" t="inlineStr">
        <is>
          <t>Working Capital Analysis</t>
        </is>
      </c>
      <c r="H166" t="inlineStr">
        <is>
          <t>E11</t>
        </is>
      </c>
      <c r="I166">
        <f>IF(E6=0,NA(),E7/E6)</f>
        <v/>
      </c>
      <c r="J166" t="n">
        <v>0.18</v>
      </c>
      <c r="K166" t="n">
        <v>0.01</v>
      </c>
      <c r="M166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66" t="inlineStr">
        <is>
          <t>pending</t>
        </is>
      </c>
      <c r="P166" t="inlineStr">
        <is>
          <t>owca_to_revenue</t>
        </is>
      </c>
      <c r="Q166" t="n">
        <v>35</v>
      </c>
      <c r="R166" t="n">
        <v>3</v>
      </c>
      <c r="S166" t="inlineStr">
        <is>
          <t>2024-12-31</t>
        </is>
      </c>
    </row>
    <row r="167">
      <c r="A167" t="inlineStr">
        <is>
          <t>owca_to_revenue__20251231</t>
        </is>
      </c>
      <c r="B167" t="n">
        <v>166</v>
      </c>
      <c r="C167" t="inlineStr">
        <is>
          <t>Operating working capital assets / Revenue</t>
        </is>
      </c>
      <c r="D167" t="inlineStr">
        <is>
          <t>OWCA divided by Revenue for the same fiscal period.</t>
        </is>
      </c>
      <c r="E167" t="inlineStr">
        <is>
          <t>working_capital.owca_to_revenue.2025-12-31</t>
        </is>
      </c>
      <c r="F167" t="inlineStr">
        <is>
          <t>working_capital</t>
        </is>
      </c>
      <c r="G167" t="inlineStr">
        <is>
          <t>Working Capital Analysis</t>
        </is>
      </c>
      <c r="H167" t="inlineStr">
        <is>
          <t>F11</t>
        </is>
      </c>
      <c r="I167">
        <f>IF(F6=0,NA(),F7/F6)</f>
        <v/>
      </c>
      <c r="J167" t="n">
        <v>0.18</v>
      </c>
      <c r="K167" t="n">
        <v>0.01</v>
      </c>
      <c r="M167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67" t="inlineStr">
        <is>
          <t>pending</t>
        </is>
      </c>
      <c r="P167" t="inlineStr">
        <is>
          <t>owca_to_revenue</t>
        </is>
      </c>
      <c r="Q167" t="n">
        <v>35</v>
      </c>
      <c r="R167" t="n">
        <v>4</v>
      </c>
      <c r="S167" t="inlineStr">
        <is>
          <t>2025-12-31</t>
        </is>
      </c>
    </row>
    <row r="168">
      <c r="A168" t="inlineStr">
        <is>
          <t>owcl_to_revenue__20211231</t>
        </is>
      </c>
      <c r="B168" t="n">
        <v>167</v>
      </c>
      <c r="C168" t="inlineStr">
        <is>
          <t>Operating working capital liabilities / Revenue</t>
        </is>
      </c>
      <c r="D168" t="inlineStr">
        <is>
          <t>OWCL divided by Revenue for the same fiscal period.</t>
        </is>
      </c>
      <c r="E168" t="inlineStr">
        <is>
          <t>working_capital.owcl_to_revenue.2021-12-31</t>
        </is>
      </c>
      <c r="F168" t="inlineStr">
        <is>
          <t>working_capital</t>
        </is>
      </c>
      <c r="G168" t="inlineStr">
        <is>
          <t>Working Capital Analysis</t>
        </is>
      </c>
      <c r="H168" t="inlineStr">
        <is>
          <t>B12</t>
        </is>
      </c>
      <c r="I168">
        <f>IF(B6=0,NA(),B8/B6)</f>
        <v/>
      </c>
      <c r="J168" t="n">
        <v>0.07000000000000001</v>
      </c>
      <c r="K168" t="n">
        <v>0.01</v>
      </c>
      <c r="M168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68" t="inlineStr">
        <is>
          <t>pending</t>
        </is>
      </c>
      <c r="P168" t="inlineStr">
        <is>
          <t>owcl_to_revenue</t>
        </is>
      </c>
      <c r="Q168" t="n">
        <v>36</v>
      </c>
      <c r="R168" t="n">
        <v>0</v>
      </c>
      <c r="S168" t="inlineStr">
        <is>
          <t>2021-12-31</t>
        </is>
      </c>
    </row>
    <row r="169">
      <c r="A169" t="inlineStr">
        <is>
          <t>owcl_to_revenue__20221231</t>
        </is>
      </c>
      <c r="B169" t="n">
        <v>168</v>
      </c>
      <c r="C169" t="inlineStr">
        <is>
          <t>Operating working capital liabilities / Revenue</t>
        </is>
      </c>
      <c r="D169" t="inlineStr">
        <is>
          <t>OWCL divided by Revenue for the same fiscal period.</t>
        </is>
      </c>
      <c r="E169" t="inlineStr">
        <is>
          <t>working_capital.owcl_to_revenue.2022-12-31</t>
        </is>
      </c>
      <c r="F169" t="inlineStr">
        <is>
          <t>working_capital</t>
        </is>
      </c>
      <c r="G169" t="inlineStr">
        <is>
          <t>Working Capital Analysis</t>
        </is>
      </c>
      <c r="H169" t="inlineStr">
        <is>
          <t>C12</t>
        </is>
      </c>
      <c r="I169">
        <f>IF(C6=0,NA(),C8/C6)</f>
        <v/>
      </c>
      <c r="J169" t="n">
        <v>0.07000000000000001</v>
      </c>
      <c r="K169" t="n">
        <v>0.01</v>
      </c>
      <c r="M169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69" t="inlineStr">
        <is>
          <t>pending</t>
        </is>
      </c>
      <c r="P169" t="inlineStr">
        <is>
          <t>owcl_to_revenue</t>
        </is>
      </c>
      <c r="Q169" t="n">
        <v>36</v>
      </c>
      <c r="R169" t="n">
        <v>1</v>
      </c>
      <c r="S169" t="inlineStr">
        <is>
          <t>2022-12-31</t>
        </is>
      </c>
    </row>
    <row r="170">
      <c r="A170" t="inlineStr">
        <is>
          <t>owcl_to_revenue__20231231</t>
        </is>
      </c>
      <c r="B170" t="n">
        <v>169</v>
      </c>
      <c r="C170" t="inlineStr">
        <is>
          <t>Operating working capital liabilities / Revenue</t>
        </is>
      </c>
      <c r="D170" t="inlineStr">
        <is>
          <t>OWCL divided by Revenue for the same fiscal period.</t>
        </is>
      </c>
      <c r="E170" t="inlineStr">
        <is>
          <t>working_capital.owcl_to_revenue.2023-12-31</t>
        </is>
      </c>
      <c r="F170" t="inlineStr">
        <is>
          <t>working_capital</t>
        </is>
      </c>
      <c r="G170" t="inlineStr">
        <is>
          <t>Working Capital Analysis</t>
        </is>
      </c>
      <c r="H170" t="inlineStr">
        <is>
          <t>D12</t>
        </is>
      </c>
      <c r="I170">
        <f>IF(D6=0,NA(),D8/D6)</f>
        <v/>
      </c>
      <c r="J170" t="n">
        <v>0.07000000000000001</v>
      </c>
      <c r="K170" t="n">
        <v>0.01</v>
      </c>
      <c r="M170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70" t="inlineStr">
        <is>
          <t>pending</t>
        </is>
      </c>
      <c r="P170" t="inlineStr">
        <is>
          <t>owcl_to_revenue</t>
        </is>
      </c>
      <c r="Q170" t="n">
        <v>36</v>
      </c>
      <c r="R170" t="n">
        <v>2</v>
      </c>
      <c r="S170" t="inlineStr">
        <is>
          <t>2023-12-31</t>
        </is>
      </c>
    </row>
    <row r="171">
      <c r="A171" t="inlineStr">
        <is>
          <t>owcl_to_revenue__20241231</t>
        </is>
      </c>
      <c r="B171" t="n">
        <v>170</v>
      </c>
      <c r="C171" t="inlineStr">
        <is>
          <t>Operating working capital liabilities / Revenue</t>
        </is>
      </c>
      <c r="D171" t="inlineStr">
        <is>
          <t>OWCL divided by Revenue for the same fiscal period.</t>
        </is>
      </c>
      <c r="E171" t="inlineStr">
        <is>
          <t>working_capital.owcl_to_revenue.2024-12-31</t>
        </is>
      </c>
      <c r="F171" t="inlineStr">
        <is>
          <t>working_capital</t>
        </is>
      </c>
      <c r="G171" t="inlineStr">
        <is>
          <t>Working Capital Analysis</t>
        </is>
      </c>
      <c r="H171" t="inlineStr">
        <is>
          <t>E12</t>
        </is>
      </c>
      <c r="I171">
        <f>IF(E6=0,NA(),E8/E6)</f>
        <v/>
      </c>
      <c r="J171" t="n">
        <v>0.07000000000000001</v>
      </c>
      <c r="K171" t="n">
        <v>0.01</v>
      </c>
      <c r="M171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71" t="inlineStr">
        <is>
          <t>pending</t>
        </is>
      </c>
      <c r="P171" t="inlineStr">
        <is>
          <t>owcl_to_revenue</t>
        </is>
      </c>
      <c r="Q171" t="n">
        <v>36</v>
      </c>
      <c r="R171" t="n">
        <v>3</v>
      </c>
      <c r="S171" t="inlineStr">
        <is>
          <t>2024-12-31</t>
        </is>
      </c>
    </row>
    <row r="172">
      <c r="A172" t="inlineStr">
        <is>
          <t>owcl_to_revenue__20251231</t>
        </is>
      </c>
      <c r="B172" t="n">
        <v>171</v>
      </c>
      <c r="C172" t="inlineStr">
        <is>
          <t>Operating working capital liabilities / Revenue</t>
        </is>
      </c>
      <c r="D172" t="inlineStr">
        <is>
          <t>OWCL divided by Revenue for the same fiscal period.</t>
        </is>
      </c>
      <c r="E172" t="inlineStr">
        <is>
          <t>working_capital.owcl_to_revenue.2025-12-31</t>
        </is>
      </c>
      <c r="F172" t="inlineStr">
        <is>
          <t>working_capital</t>
        </is>
      </c>
      <c r="G172" t="inlineStr">
        <is>
          <t>Working Capital Analysis</t>
        </is>
      </c>
      <c r="H172" t="inlineStr">
        <is>
          <t>F12</t>
        </is>
      </c>
      <c r="I172">
        <f>IF(F6=0,NA(),F8/F6)</f>
        <v/>
      </c>
      <c r="J172" t="n">
        <v>0.07000000000000001</v>
      </c>
      <c r="K172" t="n">
        <v>0.01</v>
      </c>
      <c r="M172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72" t="inlineStr">
        <is>
          <t>pending</t>
        </is>
      </c>
      <c r="P172" t="inlineStr">
        <is>
          <t>owcl_to_revenue</t>
        </is>
      </c>
      <c r="Q172" t="n">
        <v>36</v>
      </c>
      <c r="R172" t="n">
        <v>4</v>
      </c>
      <c r="S172" t="inlineStr">
        <is>
          <t>2025-12-31</t>
        </is>
      </c>
    </row>
    <row r="173">
      <c r="A173" t="inlineStr">
        <is>
          <t>nowc_to_revenue__20211231</t>
        </is>
      </c>
      <c r="B173" t="n">
        <v>172</v>
      </c>
      <c r="C173" t="inlineStr">
        <is>
          <t>NOWC / Revenue</t>
        </is>
      </c>
      <c r="D173" t="inlineStr">
        <is>
          <t>NOWC divided by Revenue for the same fiscal period.</t>
        </is>
      </c>
      <c r="E173" t="inlineStr">
        <is>
          <t>working_capital.nowc_to_revenue.2021-12-31</t>
        </is>
      </c>
      <c r="F173" t="inlineStr">
        <is>
          <t>working_capital</t>
        </is>
      </c>
      <c r="G173" t="inlineStr">
        <is>
          <t>Working Capital Analysis</t>
        </is>
      </c>
      <c r="H173" t="inlineStr">
        <is>
          <t>B13</t>
        </is>
      </c>
      <c r="I173">
        <f>IF(B6=0,NA(),B9/B6)</f>
        <v/>
      </c>
      <c r="J173" t="n">
        <v>0.11</v>
      </c>
      <c r="K173" t="n">
        <v>0.01</v>
      </c>
      <c r="M173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73" t="inlineStr">
        <is>
          <t>pending</t>
        </is>
      </c>
      <c r="P173" t="inlineStr">
        <is>
          <t>nowc_to_revenue</t>
        </is>
      </c>
      <c r="Q173" t="n">
        <v>37</v>
      </c>
      <c r="R173" t="n">
        <v>0</v>
      </c>
      <c r="S173" t="inlineStr">
        <is>
          <t>2021-12-31</t>
        </is>
      </c>
    </row>
    <row r="174">
      <c r="A174" t="inlineStr">
        <is>
          <t>nowc_to_revenue__20221231</t>
        </is>
      </c>
      <c r="B174" t="n">
        <v>173</v>
      </c>
      <c r="C174" t="inlineStr">
        <is>
          <t>NOWC / Revenue</t>
        </is>
      </c>
      <c r="D174" t="inlineStr">
        <is>
          <t>NOWC divided by Revenue for the same fiscal period.</t>
        </is>
      </c>
      <c r="E174" t="inlineStr">
        <is>
          <t>working_capital.nowc_to_revenue.2022-12-31</t>
        </is>
      </c>
      <c r="F174" t="inlineStr">
        <is>
          <t>working_capital</t>
        </is>
      </c>
      <c r="G174" t="inlineStr">
        <is>
          <t>Working Capital Analysis</t>
        </is>
      </c>
      <c r="H174" t="inlineStr">
        <is>
          <t>C13</t>
        </is>
      </c>
      <c r="I174">
        <f>IF(C6=0,NA(),C9/C6)</f>
        <v/>
      </c>
      <c r="J174" t="n">
        <v>0.11</v>
      </c>
      <c r="K174" t="n">
        <v>0.01</v>
      </c>
      <c r="M174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74" t="inlineStr">
        <is>
          <t>pending</t>
        </is>
      </c>
      <c r="P174" t="inlineStr">
        <is>
          <t>nowc_to_revenue</t>
        </is>
      </c>
      <c r="Q174" t="n">
        <v>37</v>
      </c>
      <c r="R174" t="n">
        <v>1</v>
      </c>
      <c r="S174" t="inlineStr">
        <is>
          <t>2022-12-31</t>
        </is>
      </c>
    </row>
    <row r="175">
      <c r="A175" t="inlineStr">
        <is>
          <t>nowc_to_revenue__20231231</t>
        </is>
      </c>
      <c r="B175" t="n">
        <v>174</v>
      </c>
      <c r="C175" t="inlineStr">
        <is>
          <t>NOWC / Revenue</t>
        </is>
      </c>
      <c r="D175" t="inlineStr">
        <is>
          <t>NOWC divided by Revenue for the same fiscal period.</t>
        </is>
      </c>
      <c r="E175" t="inlineStr">
        <is>
          <t>working_capital.nowc_to_revenue.2023-12-31</t>
        </is>
      </c>
      <c r="F175" t="inlineStr">
        <is>
          <t>working_capital</t>
        </is>
      </c>
      <c r="G175" t="inlineStr">
        <is>
          <t>Working Capital Analysis</t>
        </is>
      </c>
      <c r="H175" t="inlineStr">
        <is>
          <t>D13</t>
        </is>
      </c>
      <c r="I175">
        <f>IF(D6=0,NA(),D9/D6)</f>
        <v/>
      </c>
      <c r="J175" t="n">
        <v>0.11</v>
      </c>
      <c r="K175" t="n">
        <v>0.01</v>
      </c>
      <c r="M175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75" t="inlineStr">
        <is>
          <t>pending</t>
        </is>
      </c>
      <c r="P175" t="inlineStr">
        <is>
          <t>nowc_to_revenue</t>
        </is>
      </c>
      <c r="Q175" t="n">
        <v>37</v>
      </c>
      <c r="R175" t="n">
        <v>2</v>
      </c>
      <c r="S175" t="inlineStr">
        <is>
          <t>2023-12-31</t>
        </is>
      </c>
    </row>
    <row r="176">
      <c r="A176" t="inlineStr">
        <is>
          <t>nowc_to_revenue__20241231</t>
        </is>
      </c>
      <c r="B176" t="n">
        <v>175</v>
      </c>
      <c r="C176" t="inlineStr">
        <is>
          <t>NOWC / Revenue</t>
        </is>
      </c>
      <c r="D176" t="inlineStr">
        <is>
          <t>NOWC divided by Revenue for the same fiscal period.</t>
        </is>
      </c>
      <c r="E176" t="inlineStr">
        <is>
          <t>working_capital.nowc_to_revenue.2024-12-31</t>
        </is>
      </c>
      <c r="F176" t="inlineStr">
        <is>
          <t>working_capital</t>
        </is>
      </c>
      <c r="G176" t="inlineStr">
        <is>
          <t>Working Capital Analysis</t>
        </is>
      </c>
      <c r="H176" t="inlineStr">
        <is>
          <t>E13</t>
        </is>
      </c>
      <c r="I176">
        <f>IF(E6=0,NA(),E9/E6)</f>
        <v/>
      </c>
      <c r="J176" t="n">
        <v>0.11</v>
      </c>
      <c r="K176" t="n">
        <v>0.01</v>
      </c>
      <c r="M176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76" t="inlineStr">
        <is>
          <t>pending</t>
        </is>
      </c>
      <c r="P176" t="inlineStr">
        <is>
          <t>nowc_to_revenue</t>
        </is>
      </c>
      <c r="Q176" t="n">
        <v>37</v>
      </c>
      <c r="R176" t="n">
        <v>3</v>
      </c>
      <c r="S176" t="inlineStr">
        <is>
          <t>2024-12-31</t>
        </is>
      </c>
    </row>
    <row r="177">
      <c r="A177" t="inlineStr">
        <is>
          <t>nowc_to_revenue__20251231</t>
        </is>
      </c>
      <c r="B177" t="n">
        <v>176</v>
      </c>
      <c r="C177" t="inlineStr">
        <is>
          <t>NOWC / Revenue</t>
        </is>
      </c>
      <c r="D177" t="inlineStr">
        <is>
          <t>NOWC divided by Revenue for the same fiscal period.</t>
        </is>
      </c>
      <c r="E177" t="inlineStr">
        <is>
          <t>working_capital.nowc_to_revenue.2025-12-31</t>
        </is>
      </c>
      <c r="F177" t="inlineStr">
        <is>
          <t>working_capital</t>
        </is>
      </c>
      <c r="G177" t="inlineStr">
        <is>
          <t>Working Capital Analysis</t>
        </is>
      </c>
      <c r="H177" t="inlineStr">
        <is>
          <t>F13</t>
        </is>
      </c>
      <c r="I177">
        <f>IF(F6=0,NA(),F9/F6)</f>
        <v/>
      </c>
      <c r="J177" t="n">
        <v>0.11</v>
      </c>
      <c r="K177" t="n">
        <v>0.01</v>
      </c>
      <c r="M177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77" t="inlineStr">
        <is>
          <t>pending</t>
        </is>
      </c>
      <c r="P177" t="inlineStr">
        <is>
          <t>nowc_to_revenue</t>
        </is>
      </c>
      <c r="Q177" t="n">
        <v>37</v>
      </c>
      <c r="R177" t="n">
        <v>4</v>
      </c>
      <c r="S177" t="inlineStr">
        <is>
          <t>2025-12-31</t>
        </is>
      </c>
    </row>
    <row r="178">
      <c r="A178" t="inlineStr">
        <is>
          <t>revenue_change__20221231</t>
        </is>
      </c>
      <c r="B178" t="n">
        <v>177</v>
      </c>
      <c r="C178" t="inlineStr">
        <is>
          <t>Change in Revenue</t>
        </is>
      </c>
      <c r="D178" t="inlineStr">
        <is>
          <t>Absolute year-on-year change in Revenue.</t>
        </is>
      </c>
      <c r="E178" t="inlineStr">
        <is>
          <t>working_capital.revenue_change.2022-12-31</t>
        </is>
      </c>
      <c r="F178" t="inlineStr">
        <is>
          <t>working_capital</t>
        </is>
      </c>
      <c r="G178" t="inlineStr">
        <is>
          <t>Working Capital Analysis</t>
        </is>
      </c>
      <c r="H178" t="inlineStr">
        <is>
          <t>C14</t>
        </is>
      </c>
      <c r="I178">
        <f>C6-B6</f>
        <v/>
      </c>
      <c r="J178" t="n">
        <v>700</v>
      </c>
      <c r="K178" t="n">
        <v>0.01</v>
      </c>
      <c r="M178" t="inlineStr">
        <is>
          <t>Use the absolute year-on-year change in Revenue, not the percentage growth rate.</t>
        </is>
      </c>
      <c r="O178" t="inlineStr">
        <is>
          <t>pending</t>
        </is>
      </c>
      <c r="P178" t="inlineStr">
        <is>
          <t>revenue_change</t>
        </is>
      </c>
      <c r="Q178" t="n">
        <v>38</v>
      </c>
      <c r="R178" t="n">
        <v>1</v>
      </c>
      <c r="S178" t="inlineStr">
        <is>
          <t>2022-12-31</t>
        </is>
      </c>
    </row>
    <row r="179">
      <c r="A179" t="inlineStr">
        <is>
          <t>revenue_change__20231231</t>
        </is>
      </c>
      <c r="B179" t="n">
        <v>178</v>
      </c>
      <c r="C179" t="inlineStr">
        <is>
          <t>Change in Revenue</t>
        </is>
      </c>
      <c r="D179" t="inlineStr">
        <is>
          <t>Absolute year-on-year change in Revenue.</t>
        </is>
      </c>
      <c r="E179" t="inlineStr">
        <is>
          <t>working_capital.revenue_change.2023-12-31</t>
        </is>
      </c>
      <c r="F179" t="inlineStr">
        <is>
          <t>working_capital</t>
        </is>
      </c>
      <c r="G179" t="inlineStr">
        <is>
          <t>Working Capital Analysis</t>
        </is>
      </c>
      <c r="H179" t="inlineStr">
        <is>
          <t>D14</t>
        </is>
      </c>
      <c r="I179">
        <f>D6-C6</f>
        <v/>
      </c>
      <c r="J179" t="n">
        <v>900</v>
      </c>
      <c r="K179" t="n">
        <v>0.01</v>
      </c>
      <c r="M179" t="inlineStr">
        <is>
          <t>Use the absolute year-on-year change in Revenue, not the percentage growth rate.</t>
        </is>
      </c>
      <c r="O179" t="inlineStr">
        <is>
          <t>pending</t>
        </is>
      </c>
      <c r="P179" t="inlineStr">
        <is>
          <t>revenue_change</t>
        </is>
      </c>
      <c r="Q179" t="n">
        <v>38</v>
      </c>
      <c r="R179" t="n">
        <v>2</v>
      </c>
      <c r="S179" t="inlineStr">
        <is>
          <t>2023-12-31</t>
        </is>
      </c>
    </row>
    <row r="180">
      <c r="A180" t="inlineStr">
        <is>
          <t>revenue_change__20241231</t>
        </is>
      </c>
      <c r="B180" t="n">
        <v>179</v>
      </c>
      <c r="C180" t="inlineStr">
        <is>
          <t>Change in Revenue</t>
        </is>
      </c>
      <c r="D180" t="inlineStr">
        <is>
          <t>Absolute year-on-year change in Revenue.</t>
        </is>
      </c>
      <c r="E180" t="inlineStr">
        <is>
          <t>working_capital.revenue_change.2024-12-31</t>
        </is>
      </c>
      <c r="F180" t="inlineStr">
        <is>
          <t>working_capital</t>
        </is>
      </c>
      <c r="G180" t="inlineStr">
        <is>
          <t>Working Capital Analysis</t>
        </is>
      </c>
      <c r="H180" t="inlineStr">
        <is>
          <t>E14</t>
        </is>
      </c>
      <c r="I180">
        <f>E6-D6</f>
        <v/>
      </c>
      <c r="J180" t="n">
        <v>1100</v>
      </c>
      <c r="K180" t="n">
        <v>0.01</v>
      </c>
      <c r="M180" t="inlineStr">
        <is>
          <t>Use the absolute year-on-year change in Revenue, not the percentage growth rate.</t>
        </is>
      </c>
      <c r="O180" t="inlineStr">
        <is>
          <t>pending</t>
        </is>
      </c>
      <c r="P180" t="inlineStr">
        <is>
          <t>revenue_change</t>
        </is>
      </c>
      <c r="Q180" t="n">
        <v>38</v>
      </c>
      <c r="R180" t="n">
        <v>3</v>
      </c>
      <c r="S180" t="inlineStr">
        <is>
          <t>2024-12-31</t>
        </is>
      </c>
    </row>
    <row r="181">
      <c r="A181" t="inlineStr">
        <is>
          <t>revenue_change__20251231</t>
        </is>
      </c>
      <c r="B181" t="n">
        <v>180</v>
      </c>
      <c r="C181" t="inlineStr">
        <is>
          <t>Change in Revenue</t>
        </is>
      </c>
      <c r="D181" t="inlineStr">
        <is>
          <t>Absolute year-on-year change in Revenue.</t>
        </is>
      </c>
      <c r="E181" t="inlineStr">
        <is>
          <t>working_capital.revenue_change.2025-12-31</t>
        </is>
      </c>
      <c r="F181" t="inlineStr">
        <is>
          <t>working_capital</t>
        </is>
      </c>
      <c r="G181" t="inlineStr">
        <is>
          <t>Working Capital Analysis</t>
        </is>
      </c>
      <c r="H181" t="inlineStr">
        <is>
          <t>F14</t>
        </is>
      </c>
      <c r="I181">
        <f>F6-E6</f>
        <v/>
      </c>
      <c r="J181" t="n">
        <v>1300</v>
      </c>
      <c r="K181" t="n">
        <v>0.01</v>
      </c>
      <c r="M181" t="inlineStr">
        <is>
          <t>Use the absolute year-on-year change in Revenue, not the percentage growth rate.</t>
        </is>
      </c>
      <c r="O181" t="inlineStr">
        <is>
          <t>pending</t>
        </is>
      </c>
      <c r="P181" t="inlineStr">
        <is>
          <t>revenue_change</t>
        </is>
      </c>
      <c r="Q181" t="n">
        <v>38</v>
      </c>
      <c r="R181" t="n">
        <v>4</v>
      </c>
      <c r="S181" t="inlineStr">
        <is>
          <t>2025-12-31</t>
        </is>
      </c>
    </row>
    <row r="182">
      <c r="A182" t="inlineStr">
        <is>
          <t>nowc_change__20221231</t>
        </is>
      </c>
      <c r="B182" t="n">
        <v>181</v>
      </c>
      <c r="C182" t="inlineStr">
        <is>
          <t>Change in NOWC</t>
        </is>
      </c>
      <c r="D182" t="inlineStr">
        <is>
          <t>Absolute year-on-year change in NOWC.</t>
        </is>
      </c>
      <c r="E182" t="inlineStr">
        <is>
          <t>working_capital.nowc_change.2022-12-31</t>
        </is>
      </c>
      <c r="F182" t="inlineStr">
        <is>
          <t>working_capital</t>
        </is>
      </c>
      <c r="G182" t="inlineStr">
        <is>
          <t>Working Capital Analysis</t>
        </is>
      </c>
      <c r="H182" t="inlineStr">
        <is>
          <t>C15</t>
        </is>
      </c>
      <c r="I182">
        <f>C9-B9</f>
        <v/>
      </c>
      <c r="J182" t="n">
        <v>77</v>
      </c>
      <c r="K182" t="n">
        <v>0.01</v>
      </c>
      <c r="M182" t="inlineStr">
        <is>
          <t>Positive Change in NOWC means additional operating working capital is tied up; negative Change in NOWC means a release.|Do not call the movement good or bad without examining why it occurred.</t>
        </is>
      </c>
      <c r="O182" t="inlineStr">
        <is>
          <t>pending</t>
        </is>
      </c>
      <c r="P182" t="inlineStr">
        <is>
          <t>nowc_change</t>
        </is>
      </c>
      <c r="Q182" t="n">
        <v>39</v>
      </c>
      <c r="R182" t="n">
        <v>1</v>
      </c>
      <c r="S182" t="inlineStr">
        <is>
          <t>2022-12-31</t>
        </is>
      </c>
    </row>
    <row r="183">
      <c r="A183" t="inlineStr">
        <is>
          <t>nowc_change__20231231</t>
        </is>
      </c>
      <c r="B183" t="n">
        <v>182</v>
      </c>
      <c r="C183" t="inlineStr">
        <is>
          <t>Change in NOWC</t>
        </is>
      </c>
      <c r="D183" t="inlineStr">
        <is>
          <t>Absolute year-on-year change in NOWC.</t>
        </is>
      </c>
      <c r="E183" t="inlineStr">
        <is>
          <t>working_capital.nowc_change.2023-12-31</t>
        </is>
      </c>
      <c r="F183" t="inlineStr">
        <is>
          <t>working_capital</t>
        </is>
      </c>
      <c r="G183" t="inlineStr">
        <is>
          <t>Working Capital Analysis</t>
        </is>
      </c>
      <c r="H183" t="inlineStr">
        <is>
          <t>D15</t>
        </is>
      </c>
      <c r="I183">
        <f>D9-C9</f>
        <v/>
      </c>
      <c r="J183" t="n">
        <v>99</v>
      </c>
      <c r="K183" t="n">
        <v>0.01</v>
      </c>
      <c r="M183" t="inlineStr">
        <is>
          <t>Positive Change in NOWC means additional operating working capital is tied up; negative Change in NOWC means a release.|Do not call the movement good or bad without examining why it occurred.</t>
        </is>
      </c>
      <c r="O183" t="inlineStr">
        <is>
          <t>pending</t>
        </is>
      </c>
      <c r="P183" t="inlineStr">
        <is>
          <t>nowc_change</t>
        </is>
      </c>
      <c r="Q183" t="n">
        <v>39</v>
      </c>
      <c r="R183" t="n">
        <v>2</v>
      </c>
      <c r="S183" t="inlineStr">
        <is>
          <t>2023-12-31</t>
        </is>
      </c>
    </row>
    <row r="184">
      <c r="A184" t="inlineStr">
        <is>
          <t>nowc_change__20241231</t>
        </is>
      </c>
      <c r="B184" t="n">
        <v>183</v>
      </c>
      <c r="C184" t="inlineStr">
        <is>
          <t>Change in NOWC</t>
        </is>
      </c>
      <c r="D184" t="inlineStr">
        <is>
          <t>Absolute year-on-year change in NOWC.</t>
        </is>
      </c>
      <c r="E184" t="inlineStr">
        <is>
          <t>working_capital.nowc_change.2024-12-31</t>
        </is>
      </c>
      <c r="F184" t="inlineStr">
        <is>
          <t>working_capital</t>
        </is>
      </c>
      <c r="G184" t="inlineStr">
        <is>
          <t>Working Capital Analysis</t>
        </is>
      </c>
      <c r="H184" t="inlineStr">
        <is>
          <t>E15</t>
        </is>
      </c>
      <c r="I184">
        <f>E9-D9</f>
        <v/>
      </c>
      <c r="J184" t="n">
        <v>121</v>
      </c>
      <c r="K184" t="n">
        <v>0.01</v>
      </c>
      <c r="M184" t="inlineStr">
        <is>
          <t>Positive Change in NOWC means additional operating working capital is tied up; negative Change in NOWC means a release.|Do not call the movement good or bad without examining why it occurred.</t>
        </is>
      </c>
      <c r="O184" t="inlineStr">
        <is>
          <t>pending</t>
        </is>
      </c>
      <c r="P184" t="inlineStr">
        <is>
          <t>nowc_change</t>
        </is>
      </c>
      <c r="Q184" t="n">
        <v>39</v>
      </c>
      <c r="R184" t="n">
        <v>3</v>
      </c>
      <c r="S184" t="inlineStr">
        <is>
          <t>2024-12-31</t>
        </is>
      </c>
    </row>
    <row r="185">
      <c r="A185" t="inlineStr">
        <is>
          <t>nowc_change__20251231</t>
        </is>
      </c>
      <c r="B185" t="n">
        <v>184</v>
      </c>
      <c r="C185" t="inlineStr">
        <is>
          <t>Change in NOWC</t>
        </is>
      </c>
      <c r="D185" t="inlineStr">
        <is>
          <t>Absolute year-on-year change in NOWC.</t>
        </is>
      </c>
      <c r="E185" t="inlineStr">
        <is>
          <t>working_capital.nowc_change.2025-12-31</t>
        </is>
      </c>
      <c r="F185" t="inlineStr">
        <is>
          <t>working_capital</t>
        </is>
      </c>
      <c r="G185" t="inlineStr">
        <is>
          <t>Working Capital Analysis</t>
        </is>
      </c>
      <c r="H185" t="inlineStr">
        <is>
          <t>F15</t>
        </is>
      </c>
      <c r="I185">
        <f>F9-E9</f>
        <v/>
      </c>
      <c r="J185" t="n">
        <v>143</v>
      </c>
      <c r="K185" t="n">
        <v>0.01</v>
      </c>
      <c r="M185" t="inlineStr">
        <is>
          <t>Positive Change in NOWC means additional operating working capital is tied up; negative Change in NOWC means a release.|Do not call the movement good or bad without examining why it occurred.</t>
        </is>
      </c>
      <c r="O185" t="inlineStr">
        <is>
          <t>pending</t>
        </is>
      </c>
      <c r="P185" t="inlineStr">
        <is>
          <t>nowc_change</t>
        </is>
      </c>
      <c r="Q185" t="n">
        <v>39</v>
      </c>
      <c r="R185" t="n">
        <v>4</v>
      </c>
      <c r="S185" t="inlineStr">
        <is>
          <t>2025-12-31</t>
        </is>
      </c>
    </row>
    <row r="186">
      <c r="A186" t="inlineStr">
        <is>
          <t>incremental_nowc_to_revenue_change__20221231</t>
        </is>
      </c>
      <c r="B186" t="n">
        <v>185</v>
      </c>
      <c r="C186" t="inlineStr">
        <is>
          <t>Incremental NOWC / Change in Revenue</t>
        </is>
      </c>
      <c r="D186" t="inlineStr">
        <is>
          <t>Change in NOWC divided by Change in Revenue.</t>
        </is>
      </c>
      <c r="E186" t="inlineStr">
        <is>
          <t>working_capital.incremental_nowc_to_revenue_change.2022-12-31</t>
        </is>
      </c>
      <c r="F186" t="inlineStr">
        <is>
          <t>working_capital</t>
        </is>
      </c>
      <c r="G186" t="inlineStr">
        <is>
          <t>Working Capital Analysis</t>
        </is>
      </c>
      <c r="H186" t="inlineStr">
        <is>
          <t>C16</t>
        </is>
      </c>
      <c r="I186">
        <f>IF(C14=0,NA(),C15/C14)</f>
        <v/>
      </c>
      <c r="J186" t="n">
        <v>0.11</v>
      </c>
      <c r="K186" t="n">
        <v>0.01</v>
      </c>
      <c r="L186" t="inlineStr">
        <is>
          <t>nowc_change__20221231,revenue_change__20221231</t>
        </is>
      </c>
      <c r="M186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86" t="inlineStr">
        <is>
          <t>pending</t>
        </is>
      </c>
      <c r="P186" t="inlineStr">
        <is>
          <t>incremental_nowc_to_revenue_change</t>
        </is>
      </c>
      <c r="Q186" t="n">
        <v>40</v>
      </c>
      <c r="R186" t="n">
        <v>1</v>
      </c>
      <c r="S186" t="inlineStr">
        <is>
          <t>2022-12-31</t>
        </is>
      </c>
    </row>
    <row r="187">
      <c r="A187" t="inlineStr">
        <is>
          <t>incremental_nowc_to_revenue_change__20231231</t>
        </is>
      </c>
      <c r="B187" t="n">
        <v>186</v>
      </c>
      <c r="C187" t="inlineStr">
        <is>
          <t>Incremental NOWC / Change in Revenue</t>
        </is>
      </c>
      <c r="D187" t="inlineStr">
        <is>
          <t>Change in NOWC divided by Change in Revenue.</t>
        </is>
      </c>
      <c r="E187" t="inlineStr">
        <is>
          <t>working_capital.incremental_nowc_to_revenue_change.2023-12-31</t>
        </is>
      </c>
      <c r="F187" t="inlineStr">
        <is>
          <t>working_capital</t>
        </is>
      </c>
      <c r="G187" t="inlineStr">
        <is>
          <t>Working Capital Analysis</t>
        </is>
      </c>
      <c r="H187" t="inlineStr">
        <is>
          <t>D16</t>
        </is>
      </c>
      <c r="I187">
        <f>IF(D14=0,NA(),D15/D14)</f>
        <v/>
      </c>
      <c r="J187" t="n">
        <v>0.11</v>
      </c>
      <c r="K187" t="n">
        <v>0.01</v>
      </c>
      <c r="L187" t="inlineStr">
        <is>
          <t>nowc_change__20231231,revenue_change__20231231</t>
        </is>
      </c>
      <c r="M187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87" t="inlineStr">
        <is>
          <t>pending</t>
        </is>
      </c>
      <c r="P187" t="inlineStr">
        <is>
          <t>incremental_nowc_to_revenue_change</t>
        </is>
      </c>
      <c r="Q187" t="n">
        <v>40</v>
      </c>
      <c r="R187" t="n">
        <v>2</v>
      </c>
      <c r="S187" t="inlineStr">
        <is>
          <t>2023-12-31</t>
        </is>
      </c>
    </row>
    <row r="188">
      <c r="A188" t="inlineStr">
        <is>
          <t>incremental_nowc_to_revenue_change__20241231</t>
        </is>
      </c>
      <c r="B188" t="n">
        <v>187</v>
      </c>
      <c r="C188" t="inlineStr">
        <is>
          <t>Incremental NOWC / Change in Revenue</t>
        </is>
      </c>
      <c r="D188" t="inlineStr">
        <is>
          <t>Change in NOWC divided by Change in Revenue.</t>
        </is>
      </c>
      <c r="E188" t="inlineStr">
        <is>
          <t>working_capital.incremental_nowc_to_revenue_change.2024-12-31</t>
        </is>
      </c>
      <c r="F188" t="inlineStr">
        <is>
          <t>working_capital</t>
        </is>
      </c>
      <c r="G188" t="inlineStr">
        <is>
          <t>Working Capital Analysis</t>
        </is>
      </c>
      <c r="H188" t="inlineStr">
        <is>
          <t>E16</t>
        </is>
      </c>
      <c r="I188">
        <f>IF(E14=0,NA(),E15/E14)</f>
        <v/>
      </c>
      <c r="J188" t="n">
        <v>0.11</v>
      </c>
      <c r="K188" t="n">
        <v>0.01</v>
      </c>
      <c r="L188" t="inlineStr">
        <is>
          <t>nowc_change__20241231,revenue_change__20241231</t>
        </is>
      </c>
      <c r="M188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88" t="inlineStr">
        <is>
          <t>pending</t>
        </is>
      </c>
      <c r="P188" t="inlineStr">
        <is>
          <t>incremental_nowc_to_revenue_change</t>
        </is>
      </c>
      <c r="Q188" t="n">
        <v>40</v>
      </c>
      <c r="R188" t="n">
        <v>3</v>
      </c>
      <c r="S188" t="inlineStr">
        <is>
          <t>2024-12-31</t>
        </is>
      </c>
    </row>
    <row r="189">
      <c r="A189" t="inlineStr">
        <is>
          <t>incremental_nowc_to_revenue_change__20251231</t>
        </is>
      </c>
      <c r="B189" t="n">
        <v>188</v>
      </c>
      <c r="C189" t="inlineStr">
        <is>
          <t>Incremental NOWC / Change in Revenue</t>
        </is>
      </c>
      <c r="D189" t="inlineStr">
        <is>
          <t>Change in NOWC divided by Change in Revenue.</t>
        </is>
      </c>
      <c r="E189" t="inlineStr">
        <is>
          <t>working_capital.incremental_nowc_to_revenue_change.2025-12-31</t>
        </is>
      </c>
      <c r="F189" t="inlineStr">
        <is>
          <t>working_capital</t>
        </is>
      </c>
      <c r="G189" t="inlineStr">
        <is>
          <t>Working Capital Analysis</t>
        </is>
      </c>
      <c r="H189" t="inlineStr">
        <is>
          <t>F16</t>
        </is>
      </c>
      <c r="I189">
        <f>IF(F14=0,NA(),F15/F14)</f>
        <v/>
      </c>
      <c r="J189" t="n">
        <v>0.11</v>
      </c>
      <c r="K189" t="n">
        <v>0.01</v>
      </c>
      <c r="L189" t="inlineStr">
        <is>
          <t>nowc_change__20251231,revenue_change__20251231</t>
        </is>
      </c>
      <c r="M189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89" t="inlineStr">
        <is>
          <t>pending</t>
        </is>
      </c>
      <c r="P189" t="inlineStr">
        <is>
          <t>incremental_nowc_to_revenue_change</t>
        </is>
      </c>
      <c r="Q189" t="n">
        <v>40</v>
      </c>
      <c r="R189" t="n">
        <v>4</v>
      </c>
      <c r="S189" t="inlineStr">
        <is>
          <t>2025-12-31</t>
        </is>
      </c>
    </row>
    <row r="190">
      <c r="A190" t="inlineStr">
        <is>
          <t>owca_change__20221231</t>
        </is>
      </c>
      <c r="B190" t="n">
        <v>189</v>
      </c>
      <c r="C190" t="inlineStr">
        <is>
          <t>Change in Operating Working Capital Assets</t>
        </is>
      </c>
      <c r="D190" t="inlineStr">
        <is>
          <t>Absolute year-on-year change in OWCA.</t>
        </is>
      </c>
      <c r="E190" t="inlineStr">
        <is>
          <t>working_capital.owca_change.2022-12-31</t>
        </is>
      </c>
      <c r="F190" t="inlineStr">
        <is>
          <t>working_capital</t>
        </is>
      </c>
      <c r="G190" t="inlineStr">
        <is>
          <t>Working Capital Analysis</t>
        </is>
      </c>
      <c r="H190" t="inlineStr">
        <is>
          <t>C19</t>
        </is>
      </c>
      <c r="I190">
        <f>C7-B7</f>
        <v/>
      </c>
      <c r="J190" t="n">
        <v>126</v>
      </c>
      <c r="K190" t="n">
        <v>0.01</v>
      </c>
      <c r="L190" t="inlineStr">
        <is>
          <t>owca_agg__20221231,owca_agg__20211231</t>
        </is>
      </c>
      <c r="M190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90" t="inlineStr">
        <is>
          <t>pending</t>
        </is>
      </c>
      <c r="P190" t="inlineStr">
        <is>
          <t>owca_change</t>
        </is>
      </c>
      <c r="Q190" t="n">
        <v>41</v>
      </c>
      <c r="R190" t="n">
        <v>1</v>
      </c>
      <c r="S190" t="inlineStr">
        <is>
          <t>2022-12-31</t>
        </is>
      </c>
    </row>
    <row r="191">
      <c r="A191" t="inlineStr">
        <is>
          <t>owca_change__20231231</t>
        </is>
      </c>
      <c r="B191" t="n">
        <v>190</v>
      </c>
      <c r="C191" t="inlineStr">
        <is>
          <t>Change in Operating Working Capital Assets</t>
        </is>
      </c>
      <c r="D191" t="inlineStr">
        <is>
          <t>Absolute year-on-year change in OWCA.</t>
        </is>
      </c>
      <c r="E191" t="inlineStr">
        <is>
          <t>working_capital.owca_change.2023-12-31</t>
        </is>
      </c>
      <c r="F191" t="inlineStr">
        <is>
          <t>working_capital</t>
        </is>
      </c>
      <c r="G191" t="inlineStr">
        <is>
          <t>Working Capital Analysis</t>
        </is>
      </c>
      <c r="H191" t="inlineStr">
        <is>
          <t>D19</t>
        </is>
      </c>
      <c r="I191">
        <f>D7-C7</f>
        <v/>
      </c>
      <c r="J191" t="n">
        <v>162</v>
      </c>
      <c r="K191" t="n">
        <v>0.01</v>
      </c>
      <c r="L191" t="inlineStr">
        <is>
          <t>owca_agg__20231231,owca_agg__20221231</t>
        </is>
      </c>
      <c r="M191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91" t="inlineStr">
        <is>
          <t>pending</t>
        </is>
      </c>
      <c r="P191" t="inlineStr">
        <is>
          <t>owca_change</t>
        </is>
      </c>
      <c r="Q191" t="n">
        <v>41</v>
      </c>
      <c r="R191" t="n">
        <v>2</v>
      </c>
      <c r="S191" t="inlineStr">
        <is>
          <t>2023-12-31</t>
        </is>
      </c>
    </row>
    <row r="192">
      <c r="A192" t="inlineStr">
        <is>
          <t>owca_change__20241231</t>
        </is>
      </c>
      <c r="B192" t="n">
        <v>191</v>
      </c>
      <c r="C192" t="inlineStr">
        <is>
          <t>Change in Operating Working Capital Assets</t>
        </is>
      </c>
      <c r="D192" t="inlineStr">
        <is>
          <t>Absolute year-on-year change in OWCA.</t>
        </is>
      </c>
      <c r="E192" t="inlineStr">
        <is>
          <t>working_capital.owca_change.2024-12-31</t>
        </is>
      </c>
      <c r="F192" t="inlineStr">
        <is>
          <t>working_capital</t>
        </is>
      </c>
      <c r="G192" t="inlineStr">
        <is>
          <t>Working Capital Analysis</t>
        </is>
      </c>
      <c r="H192" t="inlineStr">
        <is>
          <t>E19</t>
        </is>
      </c>
      <c r="I192">
        <f>E7-D7</f>
        <v/>
      </c>
      <c r="J192" t="n">
        <v>198</v>
      </c>
      <c r="K192" t="n">
        <v>0.01</v>
      </c>
      <c r="L192" t="inlineStr">
        <is>
          <t>owca_agg__20241231,owca_agg__20231231</t>
        </is>
      </c>
      <c r="M192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92" t="inlineStr">
        <is>
          <t>pending</t>
        </is>
      </c>
      <c r="P192" t="inlineStr">
        <is>
          <t>owca_change</t>
        </is>
      </c>
      <c r="Q192" t="n">
        <v>41</v>
      </c>
      <c r="R192" t="n">
        <v>3</v>
      </c>
      <c r="S192" t="inlineStr">
        <is>
          <t>2024-12-31</t>
        </is>
      </c>
    </row>
    <row r="193">
      <c r="A193" t="inlineStr">
        <is>
          <t>owca_change__20251231</t>
        </is>
      </c>
      <c r="B193" t="n">
        <v>192</v>
      </c>
      <c r="C193" t="inlineStr">
        <is>
          <t>Change in Operating Working Capital Assets</t>
        </is>
      </c>
      <c r="D193" t="inlineStr">
        <is>
          <t>Absolute year-on-year change in OWCA.</t>
        </is>
      </c>
      <c r="E193" t="inlineStr">
        <is>
          <t>working_capital.owca_change.2025-12-31</t>
        </is>
      </c>
      <c r="F193" t="inlineStr">
        <is>
          <t>working_capital</t>
        </is>
      </c>
      <c r="G193" t="inlineStr">
        <is>
          <t>Working Capital Analysis</t>
        </is>
      </c>
      <c r="H193" t="inlineStr">
        <is>
          <t>F19</t>
        </is>
      </c>
      <c r="I193">
        <f>F7-E7</f>
        <v/>
      </c>
      <c r="J193" t="n">
        <v>234</v>
      </c>
      <c r="K193" t="n">
        <v>0.01</v>
      </c>
      <c r="L193" t="inlineStr">
        <is>
          <t>owca_agg__20251231,owca_agg__20241231</t>
        </is>
      </c>
      <c r="M193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93" t="inlineStr">
        <is>
          <t>pending</t>
        </is>
      </c>
      <c r="P193" t="inlineStr">
        <is>
          <t>owca_change</t>
        </is>
      </c>
      <c r="Q193" t="n">
        <v>41</v>
      </c>
      <c r="R193" t="n">
        <v>4</v>
      </c>
      <c r="S193" t="inlineStr">
        <is>
          <t>2025-12-31</t>
        </is>
      </c>
    </row>
    <row r="194">
      <c r="A194" t="inlineStr">
        <is>
          <t>owcl_change__20221231</t>
        </is>
      </c>
      <c r="B194" t="n">
        <v>193</v>
      </c>
      <c r="C194" t="inlineStr">
        <is>
          <t>Change in Operating Working Capital Liabilities</t>
        </is>
      </c>
      <c r="D194" t="inlineStr">
        <is>
          <t>Absolute year-on-year change in OWCL.</t>
        </is>
      </c>
      <c r="E194" t="inlineStr">
        <is>
          <t>working_capital.owcl_change.2022-12-31</t>
        </is>
      </c>
      <c r="F194" t="inlineStr">
        <is>
          <t>working_capital</t>
        </is>
      </c>
      <c r="G194" t="inlineStr">
        <is>
          <t>Working Capital Analysis</t>
        </is>
      </c>
      <c r="H194" t="inlineStr">
        <is>
          <t>C20</t>
        </is>
      </c>
      <c r="I194">
        <f>C8-B8</f>
        <v/>
      </c>
      <c r="J194" t="n">
        <v>49</v>
      </c>
      <c r="K194" t="n">
        <v>0.01</v>
      </c>
      <c r="L194" t="inlineStr">
        <is>
          <t>owcl_agg__20221231,owcl_agg__20211231</t>
        </is>
      </c>
      <c r="M194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94" t="inlineStr">
        <is>
          <t>pending</t>
        </is>
      </c>
      <c r="P194" t="inlineStr">
        <is>
          <t>owcl_change</t>
        </is>
      </c>
      <c r="Q194" t="n">
        <v>42</v>
      </c>
      <c r="R194" t="n">
        <v>1</v>
      </c>
      <c r="S194" t="inlineStr">
        <is>
          <t>2022-12-31</t>
        </is>
      </c>
    </row>
    <row r="195">
      <c r="A195" t="inlineStr">
        <is>
          <t>owcl_change__20231231</t>
        </is>
      </c>
      <c r="B195" t="n">
        <v>194</v>
      </c>
      <c r="C195" t="inlineStr">
        <is>
          <t>Change in Operating Working Capital Liabilities</t>
        </is>
      </c>
      <c r="D195" t="inlineStr">
        <is>
          <t>Absolute year-on-year change in OWCL.</t>
        </is>
      </c>
      <c r="E195" t="inlineStr">
        <is>
          <t>working_capital.owcl_change.2023-12-31</t>
        </is>
      </c>
      <c r="F195" t="inlineStr">
        <is>
          <t>working_capital</t>
        </is>
      </c>
      <c r="G195" t="inlineStr">
        <is>
          <t>Working Capital Analysis</t>
        </is>
      </c>
      <c r="H195" t="inlineStr">
        <is>
          <t>D20</t>
        </is>
      </c>
      <c r="I195">
        <f>D8-C8</f>
        <v/>
      </c>
      <c r="J195" t="n">
        <v>63</v>
      </c>
      <c r="K195" t="n">
        <v>0.01</v>
      </c>
      <c r="L195" t="inlineStr">
        <is>
          <t>owcl_agg__20231231,owcl_agg__20221231</t>
        </is>
      </c>
      <c r="M195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95" t="inlineStr">
        <is>
          <t>pending</t>
        </is>
      </c>
      <c r="P195" t="inlineStr">
        <is>
          <t>owcl_change</t>
        </is>
      </c>
      <c r="Q195" t="n">
        <v>42</v>
      </c>
      <c r="R195" t="n">
        <v>2</v>
      </c>
      <c r="S195" t="inlineStr">
        <is>
          <t>2023-12-31</t>
        </is>
      </c>
    </row>
    <row r="196">
      <c r="A196" t="inlineStr">
        <is>
          <t>owcl_change__20241231</t>
        </is>
      </c>
      <c r="B196" t="n">
        <v>195</v>
      </c>
      <c r="C196" t="inlineStr">
        <is>
          <t>Change in Operating Working Capital Liabilities</t>
        </is>
      </c>
      <c r="D196" t="inlineStr">
        <is>
          <t>Absolute year-on-year change in OWCL.</t>
        </is>
      </c>
      <c r="E196" t="inlineStr">
        <is>
          <t>working_capital.owcl_change.2024-12-31</t>
        </is>
      </c>
      <c r="F196" t="inlineStr">
        <is>
          <t>working_capital</t>
        </is>
      </c>
      <c r="G196" t="inlineStr">
        <is>
          <t>Working Capital Analysis</t>
        </is>
      </c>
      <c r="H196" t="inlineStr">
        <is>
          <t>E20</t>
        </is>
      </c>
      <c r="I196">
        <f>E8-D8</f>
        <v/>
      </c>
      <c r="J196" t="n">
        <v>77</v>
      </c>
      <c r="K196" t="n">
        <v>0.01</v>
      </c>
      <c r="L196" t="inlineStr">
        <is>
          <t>owcl_agg__20241231,owcl_agg__20231231</t>
        </is>
      </c>
      <c r="M196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96" t="inlineStr">
        <is>
          <t>pending</t>
        </is>
      </c>
      <c r="P196" t="inlineStr">
        <is>
          <t>owcl_change</t>
        </is>
      </c>
      <c r="Q196" t="n">
        <v>42</v>
      </c>
      <c r="R196" t="n">
        <v>3</v>
      </c>
      <c r="S196" t="inlineStr">
        <is>
          <t>2024-12-31</t>
        </is>
      </c>
    </row>
    <row r="197">
      <c r="A197" t="inlineStr">
        <is>
          <t>owcl_change__20251231</t>
        </is>
      </c>
      <c r="B197" t="n">
        <v>196</v>
      </c>
      <c r="C197" t="inlineStr">
        <is>
          <t>Change in Operating Working Capital Liabilities</t>
        </is>
      </c>
      <c r="D197" t="inlineStr">
        <is>
          <t>Absolute year-on-year change in OWCL.</t>
        </is>
      </c>
      <c r="E197" t="inlineStr">
        <is>
          <t>working_capital.owcl_change.2025-12-31</t>
        </is>
      </c>
      <c r="F197" t="inlineStr">
        <is>
          <t>working_capital</t>
        </is>
      </c>
      <c r="G197" t="inlineStr">
        <is>
          <t>Working Capital Analysis</t>
        </is>
      </c>
      <c r="H197" t="inlineStr">
        <is>
          <t>F20</t>
        </is>
      </c>
      <c r="I197">
        <f>F8-E8</f>
        <v/>
      </c>
      <c r="J197" t="n">
        <v>91</v>
      </c>
      <c r="K197" t="n">
        <v>0.01</v>
      </c>
      <c r="L197" t="inlineStr">
        <is>
          <t>owcl_agg__20251231,owcl_agg__20241231</t>
        </is>
      </c>
      <c r="M197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97" t="inlineStr">
        <is>
          <t>pending</t>
        </is>
      </c>
      <c r="P197" t="inlineStr">
        <is>
          <t>owcl_change</t>
        </is>
      </c>
      <c r="Q197" t="n">
        <v>42</v>
      </c>
      <c r="R197" t="n">
        <v>4</v>
      </c>
      <c r="S197" t="inlineStr">
        <is>
          <t>2025-12-31</t>
        </is>
      </c>
    </row>
    <row r="198">
      <c r="A198" t="inlineStr">
        <is>
          <t>nowc_change_from_components__20221231</t>
        </is>
      </c>
      <c r="B198" t="n">
        <v>197</v>
      </c>
      <c r="C198" t="inlineStr">
        <is>
          <t>Change in NOWC from OWCA / OWCL bridge</t>
        </is>
      </c>
      <c r="D198" t="inlineStr">
        <is>
          <t>Change in OWCA minus Change in OWCL.</t>
        </is>
      </c>
      <c r="E198" t="inlineStr">
        <is>
          <t>working_capital.nowc_change_from_components.2022-12-31</t>
        </is>
      </c>
      <c r="F198" t="inlineStr">
        <is>
          <t>working_capital</t>
        </is>
      </c>
      <c r="G198" t="inlineStr">
        <is>
          <t>Working Capital Analysis</t>
        </is>
      </c>
      <c r="H198" t="inlineStr">
        <is>
          <t>C21</t>
        </is>
      </c>
      <c r="I198">
        <f>C19-C20</f>
        <v/>
      </c>
      <c r="J198" t="n">
        <v>77</v>
      </c>
      <c r="K198" t="n">
        <v>0.01</v>
      </c>
      <c r="L198" t="inlineStr">
        <is>
          <t>owca_change__20221231,owcl_change__20221231</t>
        </is>
      </c>
      <c r="M198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98" t="inlineStr">
        <is>
          <t>pending</t>
        </is>
      </c>
      <c r="P198" t="inlineStr">
        <is>
          <t>nowc_change_from_components</t>
        </is>
      </c>
      <c r="Q198" t="n">
        <v>43</v>
      </c>
      <c r="R198" t="n">
        <v>1</v>
      </c>
      <c r="S198" t="inlineStr">
        <is>
          <t>2022-12-31</t>
        </is>
      </c>
    </row>
    <row r="199">
      <c r="A199" t="inlineStr">
        <is>
          <t>nowc_change_from_components__20231231</t>
        </is>
      </c>
      <c r="B199" t="n">
        <v>198</v>
      </c>
      <c r="C199" t="inlineStr">
        <is>
          <t>Change in NOWC from OWCA / OWCL bridge</t>
        </is>
      </c>
      <c r="D199" t="inlineStr">
        <is>
          <t>Change in OWCA minus Change in OWCL.</t>
        </is>
      </c>
      <c r="E199" t="inlineStr">
        <is>
          <t>working_capital.nowc_change_from_components.2023-12-31</t>
        </is>
      </c>
      <c r="F199" t="inlineStr">
        <is>
          <t>working_capital</t>
        </is>
      </c>
      <c r="G199" t="inlineStr">
        <is>
          <t>Working Capital Analysis</t>
        </is>
      </c>
      <c r="H199" t="inlineStr">
        <is>
          <t>D21</t>
        </is>
      </c>
      <c r="I199">
        <f>D19-D20</f>
        <v/>
      </c>
      <c r="J199" t="n">
        <v>99</v>
      </c>
      <c r="K199" t="n">
        <v>0.01</v>
      </c>
      <c r="L199" t="inlineStr">
        <is>
          <t>owca_change__20231231,owcl_change__20231231</t>
        </is>
      </c>
      <c r="M199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99" t="inlineStr">
        <is>
          <t>pending</t>
        </is>
      </c>
      <c r="P199" t="inlineStr">
        <is>
          <t>nowc_change_from_components</t>
        </is>
      </c>
      <c r="Q199" t="n">
        <v>43</v>
      </c>
      <c r="R199" t="n">
        <v>2</v>
      </c>
      <c r="S199" t="inlineStr">
        <is>
          <t>2023-12-31</t>
        </is>
      </c>
    </row>
    <row r="200">
      <c r="A200" t="inlineStr">
        <is>
          <t>nowc_change_from_components__20241231</t>
        </is>
      </c>
      <c r="B200" t="n">
        <v>199</v>
      </c>
      <c r="C200" t="inlineStr">
        <is>
          <t>Change in NOWC from OWCA / OWCL bridge</t>
        </is>
      </c>
      <c r="D200" t="inlineStr">
        <is>
          <t>Change in OWCA minus Change in OWCL.</t>
        </is>
      </c>
      <c r="E200" t="inlineStr">
        <is>
          <t>working_capital.nowc_change_from_components.2024-12-31</t>
        </is>
      </c>
      <c r="F200" t="inlineStr">
        <is>
          <t>working_capital</t>
        </is>
      </c>
      <c r="G200" t="inlineStr">
        <is>
          <t>Working Capital Analysis</t>
        </is>
      </c>
      <c r="H200" t="inlineStr">
        <is>
          <t>E21</t>
        </is>
      </c>
      <c r="I200">
        <f>E19-E20</f>
        <v/>
      </c>
      <c r="J200" t="n">
        <v>121</v>
      </c>
      <c r="K200" t="n">
        <v>0.01</v>
      </c>
      <c r="L200" t="inlineStr">
        <is>
          <t>owca_change__20241231,owcl_change__20241231</t>
        </is>
      </c>
      <c r="M200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200" t="inlineStr">
        <is>
          <t>pending</t>
        </is>
      </c>
      <c r="P200" t="inlineStr">
        <is>
          <t>nowc_change_from_components</t>
        </is>
      </c>
      <c r="Q200" t="n">
        <v>43</v>
      </c>
      <c r="R200" t="n">
        <v>3</v>
      </c>
      <c r="S200" t="inlineStr">
        <is>
          <t>2024-12-31</t>
        </is>
      </c>
    </row>
    <row r="201">
      <c r="A201" t="inlineStr">
        <is>
          <t>nowc_change_from_components__20251231</t>
        </is>
      </c>
      <c r="B201" t="n">
        <v>200</v>
      </c>
      <c r="C201" t="inlineStr">
        <is>
          <t>Change in NOWC from OWCA / OWCL bridge</t>
        </is>
      </c>
      <c r="D201" t="inlineStr">
        <is>
          <t>Change in OWCA minus Change in OWCL.</t>
        </is>
      </c>
      <c r="E201" t="inlineStr">
        <is>
          <t>working_capital.nowc_change_from_components.2025-12-31</t>
        </is>
      </c>
      <c r="F201" t="inlineStr">
        <is>
          <t>working_capital</t>
        </is>
      </c>
      <c r="G201" t="inlineStr">
        <is>
          <t>Working Capital Analysis</t>
        </is>
      </c>
      <c r="H201" t="inlineStr">
        <is>
          <t>F21</t>
        </is>
      </c>
      <c r="I201">
        <f>F19-F20</f>
        <v/>
      </c>
      <c r="J201" t="n">
        <v>143</v>
      </c>
      <c r="K201" t="n">
        <v>0.01</v>
      </c>
      <c r="L201" t="inlineStr">
        <is>
          <t>owca_change__20251231,owcl_change__20251231</t>
        </is>
      </c>
      <c r="M201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201" t="inlineStr">
        <is>
          <t>pending</t>
        </is>
      </c>
      <c r="P201" t="inlineStr">
        <is>
          <t>nowc_change_from_components</t>
        </is>
      </c>
      <c r="Q201" t="n">
        <v>43</v>
      </c>
      <c r="R201" t="n">
        <v>4</v>
      </c>
      <c r="S201" t="inlineStr">
        <is>
          <t>2025-12-31</t>
        </is>
      </c>
    </row>
    <row r="202">
      <c r="A202" t="inlineStr">
        <is>
          <t>incremental_owca_to_revenue_change__20221231</t>
        </is>
      </c>
      <c r="B202" t="n">
        <v>201</v>
      </c>
      <c r="C202" t="inlineStr">
        <is>
          <t>Incremental OWCA / Change in Revenue</t>
        </is>
      </c>
      <c r="D202" t="inlineStr">
        <is>
          <t>Change in OWCA divided by Change in Revenue.</t>
        </is>
      </c>
      <c r="E202" t="inlineStr">
        <is>
          <t>working_capital.incremental_owca_to_revenue_change.2022-12-31</t>
        </is>
      </c>
      <c r="F202" t="inlineStr">
        <is>
          <t>working_capital</t>
        </is>
      </c>
      <c r="G202" t="inlineStr">
        <is>
          <t>Working Capital Analysis</t>
        </is>
      </c>
      <c r="H202" t="inlineStr">
        <is>
          <t>C22</t>
        </is>
      </c>
      <c r="I202">
        <f>IF(C14=0,NA(),C19/C14)</f>
        <v/>
      </c>
      <c r="J202" t="n">
        <v>0.18</v>
      </c>
      <c r="K202" t="n">
        <v>0.01</v>
      </c>
      <c r="L202" t="inlineStr">
        <is>
          <t>owca_change__20221231,revenue_change__20221231</t>
        </is>
      </c>
      <c r="M202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202" t="inlineStr">
        <is>
          <t>pending</t>
        </is>
      </c>
      <c r="P202" t="inlineStr">
        <is>
          <t>incremental_owca_to_revenue_change</t>
        </is>
      </c>
      <c r="Q202" t="n">
        <v>44</v>
      </c>
      <c r="R202" t="n">
        <v>1</v>
      </c>
      <c r="S202" t="inlineStr">
        <is>
          <t>2022-12-31</t>
        </is>
      </c>
    </row>
    <row r="203">
      <c r="A203" t="inlineStr">
        <is>
          <t>incremental_owca_to_revenue_change__20231231</t>
        </is>
      </c>
      <c r="B203" t="n">
        <v>202</v>
      </c>
      <c r="C203" t="inlineStr">
        <is>
          <t>Incremental OWCA / Change in Revenue</t>
        </is>
      </c>
      <c r="D203" t="inlineStr">
        <is>
          <t>Change in OWCA divided by Change in Revenue.</t>
        </is>
      </c>
      <c r="E203" t="inlineStr">
        <is>
          <t>working_capital.incremental_owca_to_revenue_change.2023-12-31</t>
        </is>
      </c>
      <c r="F203" t="inlineStr">
        <is>
          <t>working_capital</t>
        </is>
      </c>
      <c r="G203" t="inlineStr">
        <is>
          <t>Working Capital Analysis</t>
        </is>
      </c>
      <c r="H203" t="inlineStr">
        <is>
          <t>D22</t>
        </is>
      </c>
      <c r="I203">
        <f>IF(D14=0,NA(),D19/D14)</f>
        <v/>
      </c>
      <c r="J203" t="n">
        <v>0.18</v>
      </c>
      <c r="K203" t="n">
        <v>0.01</v>
      </c>
      <c r="L203" t="inlineStr">
        <is>
          <t>owca_change__20231231,revenue_change__20231231</t>
        </is>
      </c>
      <c r="M203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203" t="inlineStr">
        <is>
          <t>pending</t>
        </is>
      </c>
      <c r="P203" t="inlineStr">
        <is>
          <t>incremental_owca_to_revenue_change</t>
        </is>
      </c>
      <c r="Q203" t="n">
        <v>44</v>
      </c>
      <c r="R203" t="n">
        <v>2</v>
      </c>
      <c r="S203" t="inlineStr">
        <is>
          <t>2023-12-31</t>
        </is>
      </c>
    </row>
    <row r="204">
      <c r="A204" t="inlineStr">
        <is>
          <t>incremental_owca_to_revenue_change__20241231</t>
        </is>
      </c>
      <c r="B204" t="n">
        <v>203</v>
      </c>
      <c r="C204" t="inlineStr">
        <is>
          <t>Incremental OWCA / Change in Revenue</t>
        </is>
      </c>
      <c r="D204" t="inlineStr">
        <is>
          <t>Change in OWCA divided by Change in Revenue.</t>
        </is>
      </c>
      <c r="E204" t="inlineStr">
        <is>
          <t>working_capital.incremental_owca_to_revenue_change.2024-12-31</t>
        </is>
      </c>
      <c r="F204" t="inlineStr">
        <is>
          <t>working_capital</t>
        </is>
      </c>
      <c r="G204" t="inlineStr">
        <is>
          <t>Working Capital Analysis</t>
        </is>
      </c>
      <c r="H204" t="inlineStr">
        <is>
          <t>E22</t>
        </is>
      </c>
      <c r="I204">
        <f>IF(E14=0,NA(),E19/E14)</f>
        <v/>
      </c>
      <c r="J204" t="n">
        <v>0.18</v>
      </c>
      <c r="K204" t="n">
        <v>0.01</v>
      </c>
      <c r="L204" t="inlineStr">
        <is>
          <t>owca_change__20241231,revenue_change__20241231</t>
        </is>
      </c>
      <c r="M204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204" t="inlineStr">
        <is>
          <t>pending</t>
        </is>
      </c>
      <c r="P204" t="inlineStr">
        <is>
          <t>incremental_owca_to_revenue_change</t>
        </is>
      </c>
      <c r="Q204" t="n">
        <v>44</v>
      </c>
      <c r="R204" t="n">
        <v>3</v>
      </c>
      <c r="S204" t="inlineStr">
        <is>
          <t>2024-12-31</t>
        </is>
      </c>
    </row>
    <row r="205">
      <c r="A205" t="inlineStr">
        <is>
          <t>incremental_owca_to_revenue_change__20251231</t>
        </is>
      </c>
      <c r="B205" t="n">
        <v>204</v>
      </c>
      <c r="C205" t="inlineStr">
        <is>
          <t>Incremental OWCA / Change in Revenue</t>
        </is>
      </c>
      <c r="D205" t="inlineStr">
        <is>
          <t>Change in OWCA divided by Change in Revenue.</t>
        </is>
      </c>
      <c r="E205" t="inlineStr">
        <is>
          <t>working_capital.incremental_owca_to_revenue_change.2025-12-31</t>
        </is>
      </c>
      <c r="F205" t="inlineStr">
        <is>
          <t>working_capital</t>
        </is>
      </c>
      <c r="G205" t="inlineStr">
        <is>
          <t>Working Capital Analysis</t>
        </is>
      </c>
      <c r="H205" t="inlineStr">
        <is>
          <t>F22</t>
        </is>
      </c>
      <c r="I205">
        <f>IF(F14=0,NA(),F19/F14)</f>
        <v/>
      </c>
      <c r="J205" t="n">
        <v>0.18</v>
      </c>
      <c r="K205" t="n">
        <v>0.01</v>
      </c>
      <c r="L205" t="inlineStr">
        <is>
          <t>owca_change__20251231,revenue_change__20251231</t>
        </is>
      </c>
      <c r="M205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205" t="inlineStr">
        <is>
          <t>pending</t>
        </is>
      </c>
      <c r="P205" t="inlineStr">
        <is>
          <t>incremental_owca_to_revenue_change</t>
        </is>
      </c>
      <c r="Q205" t="n">
        <v>44</v>
      </c>
      <c r="R205" t="n">
        <v>4</v>
      </c>
      <c r="S205" t="inlineStr">
        <is>
          <t>2025-12-31</t>
        </is>
      </c>
    </row>
    <row r="206">
      <c r="A206" t="inlineStr">
        <is>
          <t>incremental_owcl_to_revenue_change__20221231</t>
        </is>
      </c>
      <c r="B206" t="n">
        <v>205</v>
      </c>
      <c r="C206" t="inlineStr">
        <is>
          <t>Incremental OWCL / Change in Revenue</t>
        </is>
      </c>
      <c r="D206" t="inlineStr">
        <is>
          <t>Change in OWCL divided by Change in Revenue.</t>
        </is>
      </c>
      <c r="E206" t="inlineStr">
        <is>
          <t>working_capital.incremental_owcl_to_revenue_change.2022-12-31</t>
        </is>
      </c>
      <c r="F206" t="inlineStr">
        <is>
          <t>working_capital</t>
        </is>
      </c>
      <c r="G206" t="inlineStr">
        <is>
          <t>Working Capital Analysis</t>
        </is>
      </c>
      <c r="H206" t="inlineStr">
        <is>
          <t>C23</t>
        </is>
      </c>
      <c r="I206">
        <f>IF(C14=0,NA(),C20/C14)</f>
        <v/>
      </c>
      <c r="J206" t="n">
        <v>0.07000000000000001</v>
      </c>
      <c r="K206" t="n">
        <v>0.01</v>
      </c>
      <c r="L206" t="inlineStr">
        <is>
          <t>owcl_change__20221231,revenue_change__20221231</t>
        </is>
      </c>
      <c r="M206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206" t="inlineStr">
        <is>
          <t>pending</t>
        </is>
      </c>
      <c r="P206" t="inlineStr">
        <is>
          <t>incremental_owcl_to_revenue_change</t>
        </is>
      </c>
      <c r="Q206" t="n">
        <v>45</v>
      </c>
      <c r="R206" t="n">
        <v>1</v>
      </c>
      <c r="S206" t="inlineStr">
        <is>
          <t>2022-12-31</t>
        </is>
      </c>
    </row>
    <row r="207">
      <c r="A207" t="inlineStr">
        <is>
          <t>incremental_owcl_to_revenue_change__20231231</t>
        </is>
      </c>
      <c r="B207" t="n">
        <v>206</v>
      </c>
      <c r="C207" t="inlineStr">
        <is>
          <t>Incremental OWCL / Change in Revenue</t>
        </is>
      </c>
      <c r="D207" t="inlineStr">
        <is>
          <t>Change in OWCL divided by Change in Revenue.</t>
        </is>
      </c>
      <c r="E207" t="inlineStr">
        <is>
          <t>working_capital.incremental_owcl_to_revenue_change.2023-12-31</t>
        </is>
      </c>
      <c r="F207" t="inlineStr">
        <is>
          <t>working_capital</t>
        </is>
      </c>
      <c r="G207" t="inlineStr">
        <is>
          <t>Working Capital Analysis</t>
        </is>
      </c>
      <c r="H207" t="inlineStr">
        <is>
          <t>D23</t>
        </is>
      </c>
      <c r="I207">
        <f>IF(D14=0,NA(),D20/D14)</f>
        <v/>
      </c>
      <c r="J207" t="n">
        <v>0.07000000000000001</v>
      </c>
      <c r="K207" t="n">
        <v>0.01</v>
      </c>
      <c r="L207" t="inlineStr">
        <is>
          <t>owcl_change__20231231,revenue_change__20231231</t>
        </is>
      </c>
      <c r="M207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207" t="inlineStr">
        <is>
          <t>pending</t>
        </is>
      </c>
      <c r="P207" t="inlineStr">
        <is>
          <t>incremental_owcl_to_revenue_change</t>
        </is>
      </c>
      <c r="Q207" t="n">
        <v>45</v>
      </c>
      <c r="R207" t="n">
        <v>2</v>
      </c>
      <c r="S207" t="inlineStr">
        <is>
          <t>2023-12-31</t>
        </is>
      </c>
    </row>
    <row r="208">
      <c r="A208" t="inlineStr">
        <is>
          <t>incremental_owcl_to_revenue_change__20241231</t>
        </is>
      </c>
      <c r="B208" t="n">
        <v>207</v>
      </c>
      <c r="C208" t="inlineStr">
        <is>
          <t>Incremental OWCL / Change in Revenue</t>
        </is>
      </c>
      <c r="D208" t="inlineStr">
        <is>
          <t>Change in OWCL divided by Change in Revenue.</t>
        </is>
      </c>
      <c r="E208" t="inlineStr">
        <is>
          <t>working_capital.incremental_owcl_to_revenue_change.2024-12-31</t>
        </is>
      </c>
      <c r="F208" t="inlineStr">
        <is>
          <t>working_capital</t>
        </is>
      </c>
      <c r="G208" t="inlineStr">
        <is>
          <t>Working Capital Analysis</t>
        </is>
      </c>
      <c r="H208" t="inlineStr">
        <is>
          <t>E23</t>
        </is>
      </c>
      <c r="I208">
        <f>IF(E14=0,NA(),E20/E14)</f>
        <v/>
      </c>
      <c r="J208" t="n">
        <v>0.07000000000000001</v>
      </c>
      <c r="K208" t="n">
        <v>0.01</v>
      </c>
      <c r="L208" t="inlineStr">
        <is>
          <t>owcl_change__20241231,revenue_change__20241231</t>
        </is>
      </c>
      <c r="M208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208" t="inlineStr">
        <is>
          <t>pending</t>
        </is>
      </c>
      <c r="P208" t="inlineStr">
        <is>
          <t>incremental_owcl_to_revenue_change</t>
        </is>
      </c>
      <c r="Q208" t="n">
        <v>45</v>
      </c>
      <c r="R208" t="n">
        <v>3</v>
      </c>
      <c r="S208" t="inlineStr">
        <is>
          <t>2024-12-31</t>
        </is>
      </c>
    </row>
    <row r="209">
      <c r="A209" t="inlineStr">
        <is>
          <t>incremental_owcl_to_revenue_change__20251231</t>
        </is>
      </c>
      <c r="B209" t="n">
        <v>208</v>
      </c>
      <c r="C209" t="inlineStr">
        <is>
          <t>Incremental OWCL / Change in Revenue</t>
        </is>
      </c>
      <c r="D209" t="inlineStr">
        <is>
          <t>Change in OWCL divided by Change in Revenue.</t>
        </is>
      </c>
      <c r="E209" t="inlineStr">
        <is>
          <t>working_capital.incremental_owcl_to_revenue_change.2025-12-31</t>
        </is>
      </c>
      <c r="F209" t="inlineStr">
        <is>
          <t>working_capital</t>
        </is>
      </c>
      <c r="G209" t="inlineStr">
        <is>
          <t>Working Capital Analysis</t>
        </is>
      </c>
      <c r="H209" t="inlineStr">
        <is>
          <t>F23</t>
        </is>
      </c>
      <c r="I209">
        <f>IF(F14=0,NA(),F20/F14)</f>
        <v/>
      </c>
      <c r="J209" t="n">
        <v>0.07000000000000001</v>
      </c>
      <c r="K209" t="n">
        <v>0.01</v>
      </c>
      <c r="L209" t="inlineStr">
        <is>
          <t>owcl_change__20251231,revenue_change__20251231</t>
        </is>
      </c>
      <c r="M209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209" t="inlineStr">
        <is>
          <t>pending</t>
        </is>
      </c>
      <c r="P209" t="inlineStr">
        <is>
          <t>incremental_owcl_to_revenue_change</t>
        </is>
      </c>
      <c r="Q209" t="n">
        <v>45</v>
      </c>
      <c r="R209" t="n">
        <v>4</v>
      </c>
      <c r="S209" t="inlineStr">
        <is>
          <t>2025-12-31</t>
        </is>
      </c>
    </row>
    <row r="210">
      <c r="A210" t="inlineStr">
        <is>
          <t>average_noa__20221231</t>
        </is>
      </c>
      <c r="B210" t="n">
        <v>209</v>
      </c>
      <c r="C210" t="inlineStr">
        <is>
          <t>Average Net Operating Assets</t>
        </is>
      </c>
      <c r="D210" t="inlineStr">
        <is>
          <t>Average beginning and ending NOA for the comparable period.</t>
        </is>
      </c>
      <c r="E210" t="inlineStr">
        <is>
          <t>profitability.average_noa.2022-12-31</t>
        </is>
      </c>
      <c r="F210" t="inlineStr">
        <is>
          <t>profitability_driver</t>
        </is>
      </c>
      <c r="G210" t="inlineStr">
        <is>
          <t>ALT DuPont</t>
        </is>
      </c>
      <c r="H210" t="inlineStr">
        <is>
          <t>C15</t>
        </is>
      </c>
      <c r="I210">
        <f>('Condensed Financials'!B37+'Condensed Financials'!C37)/2</f>
        <v/>
      </c>
      <c r="J210" t="n">
        <v>5575</v>
      </c>
      <c r="K210" t="n">
        <v>0.01</v>
      </c>
      <c r="L210" t="inlineStr">
        <is>
          <t>noa_agg__20221231,noa_agg__20211231</t>
        </is>
      </c>
      <c r="M210" t="inlineStr">
        <is>
          <t>Average NOA = (Beginning NOA + Ending NOA) / 2.|Use the same Average NOA denominator as direct RNOA.</t>
        </is>
      </c>
      <c r="O210" t="inlineStr">
        <is>
          <t>pending</t>
        </is>
      </c>
      <c r="P210" t="inlineStr">
        <is>
          <t>average_noa</t>
        </is>
      </c>
      <c r="Q210" t="n">
        <v>46</v>
      </c>
      <c r="R210" t="n">
        <v>1</v>
      </c>
      <c r="S210" t="inlineStr">
        <is>
          <t>2022-12-31</t>
        </is>
      </c>
    </row>
    <row r="211">
      <c r="A211" t="inlineStr">
        <is>
          <t>average_noa__20231231</t>
        </is>
      </c>
      <c r="B211" t="n">
        <v>210</v>
      </c>
      <c r="C211" t="inlineStr">
        <is>
          <t>Average Net Operating Assets</t>
        </is>
      </c>
      <c r="D211" t="inlineStr">
        <is>
          <t>Average beginning and ending NOA for the comparable period.</t>
        </is>
      </c>
      <c r="E211" t="inlineStr">
        <is>
          <t>profitability.average_noa.2023-12-31</t>
        </is>
      </c>
      <c r="F211" t="inlineStr">
        <is>
          <t>profitability_driver</t>
        </is>
      </c>
      <c r="G211" t="inlineStr">
        <is>
          <t>ALT DuPont</t>
        </is>
      </c>
      <c r="H211" t="inlineStr">
        <is>
          <t>D15</t>
        </is>
      </c>
      <c r="I211">
        <f>('Condensed Financials'!C37+'Condensed Financials'!D37)/2</f>
        <v/>
      </c>
      <c r="J211" t="n">
        <v>6025</v>
      </c>
      <c r="K211" t="n">
        <v>0.01</v>
      </c>
      <c r="L211" t="inlineStr">
        <is>
          <t>noa_agg__20231231,noa_agg__20221231</t>
        </is>
      </c>
      <c r="M211" t="inlineStr">
        <is>
          <t>Average NOA = (Beginning NOA + Ending NOA) / 2.|Use the same Average NOA denominator as direct RNOA.</t>
        </is>
      </c>
      <c r="O211" t="inlineStr">
        <is>
          <t>pending</t>
        </is>
      </c>
      <c r="P211" t="inlineStr">
        <is>
          <t>average_noa</t>
        </is>
      </c>
      <c r="Q211" t="n">
        <v>46</v>
      </c>
      <c r="R211" t="n">
        <v>2</v>
      </c>
      <c r="S211" t="inlineStr">
        <is>
          <t>2023-12-31</t>
        </is>
      </c>
    </row>
    <row r="212">
      <c r="A212" t="inlineStr">
        <is>
          <t>average_noa__20241231</t>
        </is>
      </c>
      <c r="B212" t="n">
        <v>211</v>
      </c>
      <c r="C212" t="inlineStr">
        <is>
          <t>Average Net Operating Assets</t>
        </is>
      </c>
      <c r="D212" t="inlineStr">
        <is>
          <t>Average beginning and ending NOA for the comparable period.</t>
        </is>
      </c>
      <c r="E212" t="inlineStr">
        <is>
          <t>profitability.average_noa.2024-12-31</t>
        </is>
      </c>
      <c r="F212" t="inlineStr">
        <is>
          <t>profitability_driver</t>
        </is>
      </c>
      <c r="G212" t="inlineStr">
        <is>
          <t>ALT DuPont</t>
        </is>
      </c>
      <c r="H212" t="inlineStr">
        <is>
          <t>E15</t>
        </is>
      </c>
      <c r="I212">
        <f>('Condensed Financials'!D37+'Condensed Financials'!E37)/2</f>
        <v/>
      </c>
      <c r="J212" t="n">
        <v>6660</v>
      </c>
      <c r="K212" t="n">
        <v>0.01</v>
      </c>
      <c r="L212" t="inlineStr">
        <is>
          <t>noa_agg__20241231,noa_agg__20231231</t>
        </is>
      </c>
      <c r="M212" t="inlineStr">
        <is>
          <t>Average NOA = (Beginning NOA + Ending NOA) / 2.|Use the same Average NOA denominator as direct RNOA.</t>
        </is>
      </c>
      <c r="O212" t="inlineStr">
        <is>
          <t>pending</t>
        </is>
      </c>
      <c r="P212" t="inlineStr">
        <is>
          <t>average_noa</t>
        </is>
      </c>
      <c r="Q212" t="n">
        <v>46</v>
      </c>
      <c r="R212" t="n">
        <v>3</v>
      </c>
      <c r="S212" t="inlineStr">
        <is>
          <t>2024-12-31</t>
        </is>
      </c>
    </row>
    <row r="213">
      <c r="A213" t="inlineStr">
        <is>
          <t>average_noa__20251231</t>
        </is>
      </c>
      <c r="B213" t="n">
        <v>212</v>
      </c>
      <c r="C213" t="inlineStr">
        <is>
          <t>Average Net Operating Assets</t>
        </is>
      </c>
      <c r="D213" t="inlineStr">
        <is>
          <t>Average beginning and ending NOA for the comparable period.</t>
        </is>
      </c>
      <c r="E213" t="inlineStr">
        <is>
          <t>profitability.average_noa.2025-12-31</t>
        </is>
      </c>
      <c r="F213" t="inlineStr">
        <is>
          <t>profitability_driver</t>
        </is>
      </c>
      <c r="G213" t="inlineStr">
        <is>
          <t>ALT DuPont</t>
        </is>
      </c>
      <c r="H213" t="inlineStr">
        <is>
          <t>F15</t>
        </is>
      </c>
      <c r="I213">
        <f>('Condensed Financials'!E37+'Condensed Financials'!F37)/2</f>
        <v/>
      </c>
      <c r="J213" t="n">
        <v>7485</v>
      </c>
      <c r="K213" t="n">
        <v>0.01</v>
      </c>
      <c r="L213" t="inlineStr">
        <is>
          <t>noa_agg__20251231,noa_agg__20241231</t>
        </is>
      </c>
      <c r="M213" t="inlineStr">
        <is>
          <t>Average NOA = (Beginning NOA + Ending NOA) / 2.|Use the same Average NOA denominator as direct RNOA.</t>
        </is>
      </c>
      <c r="O213" t="inlineStr">
        <is>
          <t>pending</t>
        </is>
      </c>
      <c r="P213" t="inlineStr">
        <is>
          <t>average_noa</t>
        </is>
      </c>
      <c r="Q213" t="n">
        <v>46</v>
      </c>
      <c r="R213" t="n">
        <v>4</v>
      </c>
      <c r="S213" t="inlineStr">
        <is>
          <t>2025-12-31</t>
        </is>
      </c>
    </row>
    <row r="214">
      <c r="A214" t="inlineStr">
        <is>
          <t>noa_turnover__20221231</t>
        </is>
      </c>
      <c r="B214" t="n">
        <v>213</v>
      </c>
      <c r="C214" t="inlineStr">
        <is>
          <t>Net Operating Asset Turnover</t>
        </is>
      </c>
      <c r="D214" t="inlineStr">
        <is>
          <t>Revenue divided by Average NOA.</t>
        </is>
      </c>
      <c r="E214" t="inlineStr">
        <is>
          <t>profitability.noa_turnover.2022-12-31</t>
        </is>
      </c>
      <c r="F214" t="inlineStr">
        <is>
          <t>profitability_driver</t>
        </is>
      </c>
      <c r="G214" t="inlineStr">
        <is>
          <t>ALT DuPont</t>
        </is>
      </c>
      <c r="H214" t="inlineStr">
        <is>
          <t>C16</t>
        </is>
      </c>
      <c r="I214">
        <f>IF(C15=0,NA(),'Condensed Financials'!C19/C15)</f>
        <v/>
      </c>
      <c r="J214" t="n">
        <v>1.650224215246637</v>
      </c>
      <c r="K214" t="n">
        <v>0.01</v>
      </c>
      <c r="L214" t="inlineStr">
        <is>
          <t>revenue_link__20221231,average_noa__20221231</t>
        </is>
      </c>
      <c r="M214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214" t="inlineStr">
        <is>
          <t>pending</t>
        </is>
      </c>
      <c r="P214" t="inlineStr">
        <is>
          <t>noa_turnover</t>
        </is>
      </c>
      <c r="Q214" t="n">
        <v>47</v>
      </c>
      <c r="R214" t="n">
        <v>1</v>
      </c>
      <c r="S214" t="inlineStr">
        <is>
          <t>2022-12-31</t>
        </is>
      </c>
    </row>
    <row r="215">
      <c r="A215" t="inlineStr">
        <is>
          <t>noa_turnover__20231231</t>
        </is>
      </c>
      <c r="B215" t="n">
        <v>214</v>
      </c>
      <c r="C215" t="inlineStr">
        <is>
          <t>Net Operating Asset Turnover</t>
        </is>
      </c>
      <c r="D215" t="inlineStr">
        <is>
          <t>Revenue divided by Average NOA.</t>
        </is>
      </c>
      <c r="E215" t="inlineStr">
        <is>
          <t>profitability.noa_turnover.2023-12-31</t>
        </is>
      </c>
      <c r="F215" t="inlineStr">
        <is>
          <t>profitability_driver</t>
        </is>
      </c>
      <c r="G215" t="inlineStr">
        <is>
          <t>ALT DuPont</t>
        </is>
      </c>
      <c r="H215" t="inlineStr">
        <is>
          <t>D16</t>
        </is>
      </c>
      <c r="I215">
        <f>IF(D15=0,NA(),'Condensed Financials'!D19/D15)</f>
        <v/>
      </c>
      <c r="J215" t="n">
        <v>1.676348547717842</v>
      </c>
      <c r="K215" t="n">
        <v>0.01</v>
      </c>
      <c r="L215" t="inlineStr">
        <is>
          <t>revenue_link__20231231,average_noa__20231231</t>
        </is>
      </c>
      <c r="M215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215" t="inlineStr">
        <is>
          <t>pending</t>
        </is>
      </c>
      <c r="P215" t="inlineStr">
        <is>
          <t>noa_turnover</t>
        </is>
      </c>
      <c r="Q215" t="n">
        <v>47</v>
      </c>
      <c r="R215" t="n">
        <v>2</v>
      </c>
      <c r="S215" t="inlineStr">
        <is>
          <t>2023-12-31</t>
        </is>
      </c>
    </row>
    <row r="216">
      <c r="A216" t="inlineStr">
        <is>
          <t>noa_turnover__20241231</t>
        </is>
      </c>
      <c r="B216" t="n">
        <v>215</v>
      </c>
      <c r="C216" t="inlineStr">
        <is>
          <t>Net Operating Asset Turnover</t>
        </is>
      </c>
      <c r="D216" t="inlineStr">
        <is>
          <t>Revenue divided by Average NOA.</t>
        </is>
      </c>
      <c r="E216" t="inlineStr">
        <is>
          <t>profitability.noa_turnover.2024-12-31</t>
        </is>
      </c>
      <c r="F216" t="inlineStr">
        <is>
          <t>profitability_driver</t>
        </is>
      </c>
      <c r="G216" t="inlineStr">
        <is>
          <t>ALT DuPont</t>
        </is>
      </c>
      <c r="H216" t="inlineStr">
        <is>
          <t>E16</t>
        </is>
      </c>
      <c r="I216">
        <f>IF(E15=0,NA(),'Condensed Financials'!E19/E15)</f>
        <v/>
      </c>
      <c r="J216" t="n">
        <v>1.681681681681682</v>
      </c>
      <c r="K216" t="n">
        <v>0.01</v>
      </c>
      <c r="L216" t="inlineStr">
        <is>
          <t>revenue_link__20241231,average_noa__20241231</t>
        </is>
      </c>
      <c r="M216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216" t="inlineStr">
        <is>
          <t>pending</t>
        </is>
      </c>
      <c r="P216" t="inlineStr">
        <is>
          <t>noa_turnover</t>
        </is>
      </c>
      <c r="Q216" t="n">
        <v>47</v>
      </c>
      <c r="R216" t="n">
        <v>3</v>
      </c>
      <c r="S216" t="inlineStr">
        <is>
          <t>2024-12-31</t>
        </is>
      </c>
    </row>
    <row r="217">
      <c r="A217" t="inlineStr">
        <is>
          <t>noa_turnover__20251231</t>
        </is>
      </c>
      <c r="B217" t="n">
        <v>216</v>
      </c>
      <c r="C217" t="inlineStr">
        <is>
          <t>Net Operating Asset Turnover</t>
        </is>
      </c>
      <c r="D217" t="inlineStr">
        <is>
          <t>Revenue divided by Average NOA.</t>
        </is>
      </c>
      <c r="E217" t="inlineStr">
        <is>
          <t>profitability.noa_turnover.2025-12-31</t>
        </is>
      </c>
      <c r="F217" t="inlineStr">
        <is>
          <t>profitability_driver</t>
        </is>
      </c>
      <c r="G217" t="inlineStr">
        <is>
          <t>ALT DuPont</t>
        </is>
      </c>
      <c r="H217" t="inlineStr">
        <is>
          <t>F16</t>
        </is>
      </c>
      <c r="I217">
        <f>IF(F15=0,NA(),'Condensed Financials'!F19/F15)</f>
        <v/>
      </c>
      <c r="J217" t="n">
        <v>1.67000668002672</v>
      </c>
      <c r="K217" t="n">
        <v>0.01</v>
      </c>
      <c r="L217" t="inlineStr">
        <is>
          <t>revenue_link__20251231,average_noa__20251231</t>
        </is>
      </c>
      <c r="M217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217" t="inlineStr">
        <is>
          <t>pending</t>
        </is>
      </c>
      <c r="P217" t="inlineStr">
        <is>
          <t>noa_turnover</t>
        </is>
      </c>
      <c r="Q217" t="n">
        <v>47</v>
      </c>
      <c r="R217" t="n">
        <v>4</v>
      </c>
      <c r="S217" t="inlineStr">
        <is>
          <t>2025-12-31</t>
        </is>
      </c>
    </row>
    <row r="218">
      <c r="A218" t="inlineStr">
        <is>
          <t>noa_intensity__20221231</t>
        </is>
      </c>
      <c r="B218" t="n">
        <v>217</v>
      </c>
      <c r="C218" t="inlineStr">
        <is>
          <t>Net Operating Asset Intensity</t>
        </is>
      </c>
      <c r="D218" t="inlineStr">
        <is>
          <t>Average NOA divided by Revenue.</t>
        </is>
      </c>
      <c r="E218" t="inlineStr">
        <is>
          <t>profitability.noa_intensity.2022-12-31</t>
        </is>
      </c>
      <c r="F218" t="inlineStr">
        <is>
          <t>profitability_driver</t>
        </is>
      </c>
      <c r="G218" t="inlineStr">
        <is>
          <t>ALT DuPont</t>
        </is>
      </c>
      <c r="H218" t="inlineStr">
        <is>
          <t>C17</t>
        </is>
      </c>
      <c r="I218">
        <f>IF('Condensed Financials'!C19=0,NA(),C15/'Condensed Financials'!C19)</f>
        <v/>
      </c>
      <c r="J218" t="n">
        <v>0.6059782608695652</v>
      </c>
      <c r="K218" t="n">
        <v>0.01</v>
      </c>
      <c r="L218" t="inlineStr">
        <is>
          <t>average_noa__20221231,revenue_link__20221231</t>
        </is>
      </c>
      <c r="M218" t="inlineStr">
        <is>
          <t>NOA Intensity = Average NOA / Revenue.|It expresses how much net operating asset investment supports each unit of Revenue.|A zero Revenue denominator makes the ratio undefined (#N/A).</t>
        </is>
      </c>
      <c r="O218" t="inlineStr">
        <is>
          <t>pending</t>
        </is>
      </c>
      <c r="P218" t="inlineStr">
        <is>
          <t>noa_intensity</t>
        </is>
      </c>
      <c r="Q218" t="n">
        <v>48</v>
      </c>
      <c r="R218" t="n">
        <v>1</v>
      </c>
      <c r="S218" t="inlineStr">
        <is>
          <t>2022-12-31</t>
        </is>
      </c>
    </row>
    <row r="219">
      <c r="A219" t="inlineStr">
        <is>
          <t>noa_intensity__20231231</t>
        </is>
      </c>
      <c r="B219" t="n">
        <v>218</v>
      </c>
      <c r="C219" t="inlineStr">
        <is>
          <t>Net Operating Asset Intensity</t>
        </is>
      </c>
      <c r="D219" t="inlineStr">
        <is>
          <t>Average NOA divided by Revenue.</t>
        </is>
      </c>
      <c r="E219" t="inlineStr">
        <is>
          <t>profitability.noa_intensity.2023-12-31</t>
        </is>
      </c>
      <c r="F219" t="inlineStr">
        <is>
          <t>profitability_driver</t>
        </is>
      </c>
      <c r="G219" t="inlineStr">
        <is>
          <t>ALT DuPont</t>
        </is>
      </c>
      <c r="H219" t="inlineStr">
        <is>
          <t>D17</t>
        </is>
      </c>
      <c r="I219">
        <f>IF('Condensed Financials'!D19=0,NA(),D15/'Condensed Financials'!D19)</f>
        <v/>
      </c>
      <c r="J219" t="n">
        <v>0.5965346534653465</v>
      </c>
      <c r="K219" t="n">
        <v>0.01</v>
      </c>
      <c r="L219" t="inlineStr">
        <is>
          <t>average_noa__20231231,revenue_link__20231231</t>
        </is>
      </c>
      <c r="M219" t="inlineStr">
        <is>
          <t>NOA Intensity = Average NOA / Revenue.|It expresses how much net operating asset investment supports each unit of Revenue.|A zero Revenue denominator makes the ratio undefined (#N/A).</t>
        </is>
      </c>
      <c r="O219" t="inlineStr">
        <is>
          <t>pending</t>
        </is>
      </c>
      <c r="P219" t="inlineStr">
        <is>
          <t>noa_intensity</t>
        </is>
      </c>
      <c r="Q219" t="n">
        <v>48</v>
      </c>
      <c r="R219" t="n">
        <v>2</v>
      </c>
      <c r="S219" t="inlineStr">
        <is>
          <t>2023-12-31</t>
        </is>
      </c>
    </row>
    <row r="220">
      <c r="A220" t="inlineStr">
        <is>
          <t>noa_intensity__20241231</t>
        </is>
      </c>
      <c r="B220" t="n">
        <v>219</v>
      </c>
      <c r="C220" t="inlineStr">
        <is>
          <t>Net Operating Asset Intensity</t>
        </is>
      </c>
      <c r="D220" t="inlineStr">
        <is>
          <t>Average NOA divided by Revenue.</t>
        </is>
      </c>
      <c r="E220" t="inlineStr">
        <is>
          <t>profitability.noa_intensity.2024-12-31</t>
        </is>
      </c>
      <c r="F220" t="inlineStr">
        <is>
          <t>profitability_driver</t>
        </is>
      </c>
      <c r="G220" t="inlineStr">
        <is>
          <t>ALT DuPont</t>
        </is>
      </c>
      <c r="H220" t="inlineStr">
        <is>
          <t>E17</t>
        </is>
      </c>
      <c r="I220">
        <f>IF('Condensed Financials'!E19=0,NA(),E15/'Condensed Financials'!E19)</f>
        <v/>
      </c>
      <c r="J220" t="n">
        <v>0.5946428571428571</v>
      </c>
      <c r="K220" t="n">
        <v>0.01</v>
      </c>
      <c r="L220" t="inlineStr">
        <is>
          <t>average_noa__20241231,revenue_link__20241231</t>
        </is>
      </c>
      <c r="M220" t="inlineStr">
        <is>
          <t>NOA Intensity = Average NOA / Revenue.|It expresses how much net operating asset investment supports each unit of Revenue.|A zero Revenue denominator makes the ratio undefined (#N/A).</t>
        </is>
      </c>
      <c r="O220" t="inlineStr">
        <is>
          <t>pending</t>
        </is>
      </c>
      <c r="P220" t="inlineStr">
        <is>
          <t>noa_intensity</t>
        </is>
      </c>
      <c r="Q220" t="n">
        <v>48</v>
      </c>
      <c r="R220" t="n">
        <v>3</v>
      </c>
      <c r="S220" t="inlineStr">
        <is>
          <t>2024-12-31</t>
        </is>
      </c>
    </row>
    <row r="221">
      <c r="A221" t="inlineStr">
        <is>
          <t>noa_intensity__20251231</t>
        </is>
      </c>
      <c r="B221" t="n">
        <v>220</v>
      </c>
      <c r="C221" t="inlineStr">
        <is>
          <t>Net Operating Asset Intensity</t>
        </is>
      </c>
      <c r="D221" t="inlineStr">
        <is>
          <t>Average NOA divided by Revenue.</t>
        </is>
      </c>
      <c r="E221" t="inlineStr">
        <is>
          <t>profitability.noa_intensity.2025-12-31</t>
        </is>
      </c>
      <c r="F221" t="inlineStr">
        <is>
          <t>profitability_driver</t>
        </is>
      </c>
      <c r="G221" t="inlineStr">
        <is>
          <t>ALT DuPont</t>
        </is>
      </c>
      <c r="H221" t="inlineStr">
        <is>
          <t>F17</t>
        </is>
      </c>
      <c r="I221">
        <f>IF('Condensed Financials'!F19=0,NA(),F15/'Condensed Financials'!F19)</f>
        <v/>
      </c>
      <c r="J221" t="n">
        <v>0.5988</v>
      </c>
      <c r="K221" t="n">
        <v>0.01</v>
      </c>
      <c r="L221" t="inlineStr">
        <is>
          <t>average_noa__20251231,revenue_link__20251231</t>
        </is>
      </c>
      <c r="M221" t="inlineStr">
        <is>
          <t>NOA Intensity = Average NOA / Revenue.|It expresses how much net operating asset investment supports each unit of Revenue.|A zero Revenue denominator makes the ratio undefined (#N/A).</t>
        </is>
      </c>
      <c r="O221" t="inlineStr">
        <is>
          <t>pending</t>
        </is>
      </c>
      <c r="P221" t="inlineStr">
        <is>
          <t>noa_intensity</t>
        </is>
      </c>
      <c r="Q221" t="n">
        <v>48</v>
      </c>
      <c r="R221" t="n">
        <v>4</v>
      </c>
      <c r="S221" t="inlineStr">
        <is>
          <t>2025-12-31</t>
        </is>
      </c>
    </row>
    <row r="222">
      <c r="A222" t="inlineStr">
        <is>
          <t>rnoa_margin_turnover__20221231</t>
        </is>
      </c>
      <c r="B222" t="n">
        <v>221</v>
      </c>
      <c r="C222" t="inlineStr">
        <is>
          <t>RNOA from Margin × Turnover</t>
        </is>
      </c>
      <c r="D222" t="inlineStr">
        <is>
          <t>NOPAT Margin multiplied by NOA Turnover.</t>
        </is>
      </c>
      <c r="E222" t="inlineStr">
        <is>
          <t>profitability.rnoa_margin_turnover.2022-12-31</t>
        </is>
      </c>
      <c r="F222" t="inlineStr">
        <is>
          <t>profitability_driver</t>
        </is>
      </c>
      <c r="G222" t="inlineStr">
        <is>
          <t>ALT DuPont</t>
        </is>
      </c>
      <c r="H222" t="inlineStr">
        <is>
          <t>C18</t>
        </is>
      </c>
      <c r="I222">
        <f>C6*C16</f>
        <v/>
      </c>
      <c r="J222" t="n">
        <v>0.5478744394618835</v>
      </c>
      <c r="K222" t="n">
        <v>0.01</v>
      </c>
      <c r="L222" t="inlineStr">
        <is>
          <t>nopat_margin__20221231,noa_turnover__20221231</t>
        </is>
      </c>
      <c r="M222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22" t="inlineStr">
        <is>
          <t>pending</t>
        </is>
      </c>
      <c r="P222" t="inlineStr">
        <is>
          <t>rnoa_margin_turnover</t>
        </is>
      </c>
      <c r="Q222" t="n">
        <v>49</v>
      </c>
      <c r="R222" t="n">
        <v>1</v>
      </c>
      <c r="S222" t="inlineStr">
        <is>
          <t>2022-12-31</t>
        </is>
      </c>
    </row>
    <row r="223">
      <c r="A223" t="inlineStr">
        <is>
          <t>rnoa_margin_turnover__20231231</t>
        </is>
      </c>
      <c r="B223" t="n">
        <v>222</v>
      </c>
      <c r="C223" t="inlineStr">
        <is>
          <t>RNOA from Margin × Turnover</t>
        </is>
      </c>
      <c r="D223" t="inlineStr">
        <is>
          <t>NOPAT Margin multiplied by NOA Turnover.</t>
        </is>
      </c>
      <c r="E223" t="inlineStr">
        <is>
          <t>profitability.rnoa_margin_turnover.2023-12-31</t>
        </is>
      </c>
      <c r="F223" t="inlineStr">
        <is>
          <t>profitability_driver</t>
        </is>
      </c>
      <c r="G223" t="inlineStr">
        <is>
          <t>ALT DuPont</t>
        </is>
      </c>
      <c r="H223" t="inlineStr">
        <is>
          <t>D18</t>
        </is>
      </c>
      <c r="I223">
        <f>D6*D16</f>
        <v/>
      </c>
      <c r="J223" t="n">
        <v>0.5566070576139243</v>
      </c>
      <c r="K223" t="n">
        <v>0.01</v>
      </c>
      <c r="L223" t="inlineStr">
        <is>
          <t>nopat_margin__20231231,noa_turnover__20231231</t>
        </is>
      </c>
      <c r="M223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23" t="inlineStr">
        <is>
          <t>pending</t>
        </is>
      </c>
      <c r="P223" t="inlineStr">
        <is>
          <t>rnoa_margin_turnover</t>
        </is>
      </c>
      <c r="Q223" t="n">
        <v>49</v>
      </c>
      <c r="R223" t="n">
        <v>2</v>
      </c>
      <c r="S223" t="inlineStr">
        <is>
          <t>2023-12-31</t>
        </is>
      </c>
    </row>
    <row r="224">
      <c r="A224" t="inlineStr">
        <is>
          <t>rnoa_margin_turnover__20241231</t>
        </is>
      </c>
      <c r="B224" t="n">
        <v>223</v>
      </c>
      <c r="C224" t="inlineStr">
        <is>
          <t>RNOA from Margin × Turnover</t>
        </is>
      </c>
      <c r="D224" t="inlineStr">
        <is>
          <t>NOPAT Margin multiplied by NOA Turnover.</t>
        </is>
      </c>
      <c r="E224" t="inlineStr">
        <is>
          <t>profitability.rnoa_margin_turnover.2024-12-31</t>
        </is>
      </c>
      <c r="F224" t="inlineStr">
        <is>
          <t>profitability_driver</t>
        </is>
      </c>
      <c r="G224" t="inlineStr">
        <is>
          <t>ALT DuPont</t>
        </is>
      </c>
      <c r="H224" t="inlineStr">
        <is>
          <t>E18</t>
        </is>
      </c>
      <c r="I224">
        <f>E6*E16</f>
        <v/>
      </c>
      <c r="J224" t="n">
        <v>0.558364286838091</v>
      </c>
      <c r="K224" t="n">
        <v>0.01</v>
      </c>
      <c r="L224" t="inlineStr">
        <is>
          <t>nopat_margin__20241231,noa_turnover__20241231</t>
        </is>
      </c>
      <c r="M224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24" t="inlineStr">
        <is>
          <t>pending</t>
        </is>
      </c>
      <c r="P224" t="inlineStr">
        <is>
          <t>rnoa_margin_turnover</t>
        </is>
      </c>
      <c r="Q224" t="n">
        <v>49</v>
      </c>
      <c r="R224" t="n">
        <v>3</v>
      </c>
      <c r="S224" t="inlineStr">
        <is>
          <t>2024-12-31</t>
        </is>
      </c>
    </row>
    <row r="225">
      <c r="A225" t="inlineStr">
        <is>
          <t>rnoa_margin_turnover__20251231</t>
        </is>
      </c>
      <c r="B225" t="n">
        <v>224</v>
      </c>
      <c r="C225" t="inlineStr">
        <is>
          <t>RNOA from Margin × Turnover</t>
        </is>
      </c>
      <c r="D225" t="inlineStr">
        <is>
          <t>NOPAT Margin multiplied by NOA Turnover.</t>
        </is>
      </c>
      <c r="E225" t="inlineStr">
        <is>
          <t>profitability.rnoa_margin_turnover.2025-12-31</t>
        </is>
      </c>
      <c r="F225" t="inlineStr">
        <is>
          <t>profitability_driver</t>
        </is>
      </c>
      <c r="G225" t="inlineStr">
        <is>
          <t>ALT DuPont</t>
        </is>
      </c>
      <c r="H225" t="inlineStr">
        <is>
          <t>F18</t>
        </is>
      </c>
      <c r="I225">
        <f>F6*F16</f>
        <v/>
      </c>
      <c r="J225" t="n">
        <v>0.5545579776610646</v>
      </c>
      <c r="K225" t="n">
        <v>0.01</v>
      </c>
      <c r="L225" t="inlineStr">
        <is>
          <t>nopat_margin__20251231,noa_turnover__20251231</t>
        </is>
      </c>
      <c r="M225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25" t="inlineStr">
        <is>
          <t>pending</t>
        </is>
      </c>
      <c r="P225" t="inlineStr">
        <is>
          <t>rnoa_margin_turnover</t>
        </is>
      </c>
      <c r="Q225" t="n">
        <v>49</v>
      </c>
      <c r="R225" t="n">
        <v>4</v>
      </c>
      <c r="S225" t="inlineStr">
        <is>
          <t>2025-12-31</t>
        </is>
      </c>
    </row>
    <row r="226">
      <c r="A226" t="inlineStr">
        <is>
          <t>nopat_margin_change__20231231</t>
        </is>
      </c>
      <c r="B226" t="n">
        <v>225</v>
      </c>
      <c r="C226" t="inlineStr">
        <is>
          <t>Change in NOPAT Margin</t>
        </is>
      </c>
      <c r="D226" t="inlineStr">
        <is>
          <t>Current NOPAT Margin minus prior comparable NOPAT Margin.</t>
        </is>
      </c>
      <c r="E226" t="inlineStr">
        <is>
          <t>profitability_change.nopat_margin_change.2023-12-31</t>
        </is>
      </c>
      <c r="F226" t="inlineStr">
        <is>
          <t>profitability_change</t>
        </is>
      </c>
      <c r="G226" t="inlineStr">
        <is>
          <t>ALT DuPont</t>
        </is>
      </c>
      <c r="H226" t="inlineStr">
        <is>
          <t>D22</t>
        </is>
      </c>
      <c r="I226">
        <f>D6-C6</f>
        <v/>
      </c>
      <c r="J226" t="n">
        <v>3.53982300884681e-05</v>
      </c>
      <c r="K226" t="n">
        <v>0.01</v>
      </c>
      <c r="L226" t="inlineStr">
        <is>
          <t>nopat_margin__20231231,nopat_margin__20221231</t>
        </is>
      </c>
      <c r="M226" t="inlineStr">
        <is>
          <t>Change in NOPAT Margin = Current Margin - Prior Margin.|This is an arithmetic movement, not a causal explanation of pricing or costs.</t>
        </is>
      </c>
      <c r="O226" t="inlineStr">
        <is>
          <t>pending</t>
        </is>
      </c>
      <c r="P226" t="inlineStr">
        <is>
          <t>nopat_margin_change</t>
        </is>
      </c>
      <c r="Q226" t="n">
        <v>50</v>
      </c>
      <c r="R226" t="n">
        <v>2</v>
      </c>
      <c r="S226" t="inlineStr">
        <is>
          <t>2023-12-31</t>
        </is>
      </c>
    </row>
    <row r="227">
      <c r="A227" t="inlineStr">
        <is>
          <t>nopat_margin_change__20241231</t>
        </is>
      </c>
      <c r="B227" t="n">
        <v>226</v>
      </c>
      <c r="C227" t="inlineStr">
        <is>
          <t>Change in NOPAT Margin</t>
        </is>
      </c>
      <c r="D227" t="inlineStr">
        <is>
          <t>Current NOPAT Margin minus prior comparable NOPAT Margin.</t>
        </is>
      </c>
      <c r="E227" t="inlineStr">
        <is>
          <t>profitability_change.nopat_margin_change.2024-12-31</t>
        </is>
      </c>
      <c r="F227" t="inlineStr">
        <is>
          <t>profitability_change</t>
        </is>
      </c>
      <c r="G227" t="inlineStr">
        <is>
          <t>ALT DuPont</t>
        </is>
      </c>
      <c r="H227" t="inlineStr">
        <is>
          <t>E22</t>
        </is>
      </c>
      <c r="I227">
        <f>E6-D6</f>
        <v/>
      </c>
      <c r="J227" t="n">
        <v>-8.063378152234346e-06</v>
      </c>
      <c r="K227" t="n">
        <v>0.01</v>
      </c>
      <c r="L227" t="inlineStr">
        <is>
          <t>nopat_margin__20241231,nopat_margin__20231231</t>
        </is>
      </c>
      <c r="M227" t="inlineStr">
        <is>
          <t>Change in NOPAT Margin = Current Margin - Prior Margin.|This is an arithmetic movement, not a causal explanation of pricing or costs.</t>
        </is>
      </c>
      <c r="O227" t="inlineStr">
        <is>
          <t>pending</t>
        </is>
      </c>
      <c r="P227" t="inlineStr">
        <is>
          <t>nopat_margin_change</t>
        </is>
      </c>
      <c r="Q227" t="n">
        <v>50</v>
      </c>
      <c r="R227" t="n">
        <v>3</v>
      </c>
      <c r="S227" t="inlineStr">
        <is>
          <t>2024-12-31</t>
        </is>
      </c>
    </row>
    <row r="228">
      <c r="A228" t="inlineStr">
        <is>
          <t>nopat_margin_change__20251231</t>
        </is>
      </c>
      <c r="B228" t="n">
        <v>227</v>
      </c>
      <c r="C228" t="inlineStr">
        <is>
          <t>Change in NOPAT Margin</t>
        </is>
      </c>
      <c r="D228" t="inlineStr">
        <is>
          <t>Current NOPAT Margin minus prior comparable NOPAT Margin.</t>
        </is>
      </c>
      <c r="E228" t="inlineStr">
        <is>
          <t>profitability_change.nopat_margin_change.2025-12-31</t>
        </is>
      </c>
      <c r="F228" t="inlineStr">
        <is>
          <t>profitability_change</t>
        </is>
      </c>
      <c r="G228" t="inlineStr">
        <is>
          <t>ALT DuPont</t>
        </is>
      </c>
      <c r="H228" t="inlineStr">
        <is>
          <t>F22</t>
        </is>
      </c>
      <c r="I228">
        <f>F6-E6</f>
        <v/>
      </c>
      <c r="J228" t="n">
        <v>4.198217150924721e-05</v>
      </c>
      <c r="K228" t="n">
        <v>0.01</v>
      </c>
      <c r="L228" t="inlineStr">
        <is>
          <t>nopat_margin__20251231,nopat_margin__20241231</t>
        </is>
      </c>
      <c r="M228" t="inlineStr">
        <is>
          <t>Change in NOPAT Margin = Current Margin - Prior Margin.|This is an arithmetic movement, not a causal explanation of pricing or costs.</t>
        </is>
      </c>
      <c r="O228" t="inlineStr">
        <is>
          <t>pending</t>
        </is>
      </c>
      <c r="P228" t="inlineStr">
        <is>
          <t>nopat_margin_change</t>
        </is>
      </c>
      <c r="Q228" t="n">
        <v>50</v>
      </c>
      <c r="R228" t="n">
        <v>4</v>
      </c>
      <c r="S228" t="inlineStr">
        <is>
          <t>2025-12-31</t>
        </is>
      </c>
    </row>
    <row r="229">
      <c r="A229" t="inlineStr">
        <is>
          <t>noa_turnover_change__20231231</t>
        </is>
      </c>
      <c r="B229" t="n">
        <v>228</v>
      </c>
      <c r="C229" t="inlineStr">
        <is>
          <t>Change in NOA Turnover</t>
        </is>
      </c>
      <c r="D229" t="inlineStr">
        <is>
          <t>Current NOA Turnover minus prior comparable NOA Turnover.</t>
        </is>
      </c>
      <c r="E229" t="inlineStr">
        <is>
          <t>profitability_change.noa_turnover_change.2023-12-31</t>
        </is>
      </c>
      <c r="F229" t="inlineStr">
        <is>
          <t>profitability_change</t>
        </is>
      </c>
      <c r="G229" t="inlineStr">
        <is>
          <t>ALT DuPont</t>
        </is>
      </c>
      <c r="H229" t="inlineStr">
        <is>
          <t>D23</t>
        </is>
      </c>
      <c r="I229">
        <f>D16-C16</f>
        <v/>
      </c>
      <c r="J229" t="n">
        <v>0.02612433247120549</v>
      </c>
      <c r="K229" t="n">
        <v>0.01</v>
      </c>
      <c r="L229" t="inlineStr">
        <is>
          <t>noa_turnover__20231231,noa_turnover__20221231</t>
        </is>
      </c>
      <c r="M229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29" t="inlineStr">
        <is>
          <t>pending</t>
        </is>
      </c>
      <c r="P229" t="inlineStr">
        <is>
          <t>noa_turnover_change</t>
        </is>
      </c>
      <c r="Q229" t="n">
        <v>51</v>
      </c>
      <c r="R229" t="n">
        <v>2</v>
      </c>
      <c r="S229" t="inlineStr">
        <is>
          <t>2023-12-31</t>
        </is>
      </c>
    </row>
    <row r="230">
      <c r="A230" t="inlineStr">
        <is>
          <t>noa_turnover_change__20241231</t>
        </is>
      </c>
      <c r="B230" t="n">
        <v>229</v>
      </c>
      <c r="C230" t="inlineStr">
        <is>
          <t>Change in NOA Turnover</t>
        </is>
      </c>
      <c r="D230" t="inlineStr">
        <is>
          <t>Current NOA Turnover minus prior comparable NOA Turnover.</t>
        </is>
      </c>
      <c r="E230" t="inlineStr">
        <is>
          <t>profitability_change.noa_turnover_change.2024-12-31</t>
        </is>
      </c>
      <c r="F230" t="inlineStr">
        <is>
          <t>profitability_change</t>
        </is>
      </c>
      <c r="G230" t="inlineStr">
        <is>
          <t>ALT DuPont</t>
        </is>
      </c>
      <c r="H230" t="inlineStr">
        <is>
          <t>E23</t>
        </is>
      </c>
      <c r="I230">
        <f>E16-D16</f>
        <v/>
      </c>
      <c r="J230" t="n">
        <v>0.005333133963839387</v>
      </c>
      <c r="K230" t="n">
        <v>0.01</v>
      </c>
      <c r="L230" t="inlineStr">
        <is>
          <t>noa_turnover__20241231,noa_turnover__20231231</t>
        </is>
      </c>
      <c r="M230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30" t="inlineStr">
        <is>
          <t>pending</t>
        </is>
      </c>
      <c r="P230" t="inlineStr">
        <is>
          <t>noa_turnover_change</t>
        </is>
      </c>
      <c r="Q230" t="n">
        <v>51</v>
      </c>
      <c r="R230" t="n">
        <v>3</v>
      </c>
      <c r="S230" t="inlineStr">
        <is>
          <t>2024-12-31</t>
        </is>
      </c>
    </row>
    <row r="231">
      <c r="A231" t="inlineStr">
        <is>
          <t>noa_turnover_change__20251231</t>
        </is>
      </c>
      <c r="B231" t="n">
        <v>230</v>
      </c>
      <c r="C231" t="inlineStr">
        <is>
          <t>Change in NOA Turnover</t>
        </is>
      </c>
      <c r="D231" t="inlineStr">
        <is>
          <t>Current NOA Turnover minus prior comparable NOA Turnover.</t>
        </is>
      </c>
      <c r="E231" t="inlineStr">
        <is>
          <t>profitability_change.noa_turnover_change.2025-12-31</t>
        </is>
      </c>
      <c r="F231" t="inlineStr">
        <is>
          <t>profitability_change</t>
        </is>
      </c>
      <c r="G231" t="inlineStr">
        <is>
          <t>ALT DuPont</t>
        </is>
      </c>
      <c r="H231" t="inlineStr">
        <is>
          <t>F23</t>
        </is>
      </c>
      <c r="I231">
        <f>F16-E16</f>
        <v/>
      </c>
      <c r="J231" t="n">
        <v>-0.0116750016549616</v>
      </c>
      <c r="K231" t="n">
        <v>0.01</v>
      </c>
      <c r="L231" t="inlineStr">
        <is>
          <t>noa_turnover__20251231,noa_turnover__20241231</t>
        </is>
      </c>
      <c r="M231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31" t="inlineStr">
        <is>
          <t>pending</t>
        </is>
      </c>
      <c r="P231" t="inlineStr">
        <is>
          <t>noa_turnover_change</t>
        </is>
      </c>
      <c r="Q231" t="n">
        <v>51</v>
      </c>
      <c r="R231" t="n">
        <v>4</v>
      </c>
      <c r="S231" t="inlineStr">
        <is>
          <t>2025-12-31</t>
        </is>
      </c>
    </row>
    <row r="232">
      <c r="A232" t="inlineStr">
        <is>
          <t>rnoa_change__20231231</t>
        </is>
      </c>
      <c r="B232" t="n">
        <v>231</v>
      </c>
      <c r="C232" t="inlineStr">
        <is>
          <t>Direct Change in RNOA</t>
        </is>
      </c>
      <c r="D232" t="inlineStr">
        <is>
          <t>Current direct RNOA minus prior comparable direct RNOA.</t>
        </is>
      </c>
      <c r="E232" t="inlineStr">
        <is>
          <t>profitability_change.rnoa_change.2023-12-31</t>
        </is>
      </c>
      <c r="F232" t="inlineStr">
        <is>
          <t>profitability_change</t>
        </is>
      </c>
      <c r="G232" t="inlineStr">
        <is>
          <t>ALT DuPont</t>
        </is>
      </c>
      <c r="H232" t="inlineStr">
        <is>
          <t>D24</t>
        </is>
      </c>
      <c r="I232">
        <f>D7-C7</f>
        <v/>
      </c>
      <c r="J232" t="n">
        <v>0.00873261815204085</v>
      </c>
      <c r="K232" t="n">
        <v>0.01</v>
      </c>
      <c r="L232" t="inlineStr">
        <is>
          <t>rnoa__20231231,rnoa__20221231</t>
        </is>
      </c>
      <c r="M232" t="inlineStr">
        <is>
          <t>Direct Change in RNOA = Current RNOA - Prior RNOA.</t>
        </is>
      </c>
      <c r="O232" t="inlineStr">
        <is>
          <t>pending</t>
        </is>
      </c>
      <c r="P232" t="inlineStr">
        <is>
          <t>rnoa_change</t>
        </is>
      </c>
      <c r="Q232" t="n">
        <v>52</v>
      </c>
      <c r="R232" t="n">
        <v>2</v>
      </c>
      <c r="S232" t="inlineStr">
        <is>
          <t>2023-12-31</t>
        </is>
      </c>
    </row>
    <row r="233">
      <c r="A233" t="inlineStr">
        <is>
          <t>rnoa_change__20241231</t>
        </is>
      </c>
      <c r="B233" t="n">
        <v>232</v>
      </c>
      <c r="C233" t="inlineStr">
        <is>
          <t>Direct Change in RNOA</t>
        </is>
      </c>
      <c r="D233" t="inlineStr">
        <is>
          <t>Current direct RNOA minus prior comparable direct RNOA.</t>
        </is>
      </c>
      <c r="E233" t="inlineStr">
        <is>
          <t>profitability_change.rnoa_change.2024-12-31</t>
        </is>
      </c>
      <c r="F233" t="inlineStr">
        <is>
          <t>profitability_change</t>
        </is>
      </c>
      <c r="G233" t="inlineStr">
        <is>
          <t>ALT DuPont</t>
        </is>
      </c>
      <c r="H233" t="inlineStr">
        <is>
          <t>E24</t>
        </is>
      </c>
      <c r="I233">
        <f>E7-D7</f>
        <v/>
      </c>
      <c r="J233" t="n">
        <v>0.001757229224166657</v>
      </c>
      <c r="K233" t="n">
        <v>0.01</v>
      </c>
      <c r="L233" t="inlineStr">
        <is>
          <t>rnoa__20241231,rnoa__20231231</t>
        </is>
      </c>
      <c r="M233" t="inlineStr">
        <is>
          <t>Direct Change in RNOA = Current RNOA - Prior RNOA.</t>
        </is>
      </c>
      <c r="O233" t="inlineStr">
        <is>
          <t>pending</t>
        </is>
      </c>
      <c r="P233" t="inlineStr">
        <is>
          <t>rnoa_change</t>
        </is>
      </c>
      <c r="Q233" t="n">
        <v>52</v>
      </c>
      <c r="R233" t="n">
        <v>3</v>
      </c>
      <c r="S233" t="inlineStr">
        <is>
          <t>2024-12-31</t>
        </is>
      </c>
    </row>
    <row r="234">
      <c r="A234" t="inlineStr">
        <is>
          <t>rnoa_change__20251231</t>
        </is>
      </c>
      <c r="B234" t="n">
        <v>233</v>
      </c>
      <c r="C234" t="inlineStr">
        <is>
          <t>Direct Change in RNOA</t>
        </is>
      </c>
      <c r="D234" t="inlineStr">
        <is>
          <t>Current direct RNOA minus prior comparable direct RNOA.</t>
        </is>
      </c>
      <c r="E234" t="inlineStr">
        <is>
          <t>profitability_change.rnoa_change.2025-12-31</t>
        </is>
      </c>
      <c r="F234" t="inlineStr">
        <is>
          <t>profitability_change</t>
        </is>
      </c>
      <c r="G234" t="inlineStr">
        <is>
          <t>ALT DuPont</t>
        </is>
      </c>
      <c r="H234" t="inlineStr">
        <is>
          <t>F24</t>
        </is>
      </c>
      <c r="I234">
        <f>F7-E7</f>
        <v/>
      </c>
      <c r="J234" t="n">
        <v>-0.00380630917702629</v>
      </c>
      <c r="K234" t="n">
        <v>0.01</v>
      </c>
      <c r="L234" t="inlineStr">
        <is>
          <t>rnoa__20251231,rnoa__20241231</t>
        </is>
      </c>
      <c r="M234" t="inlineStr">
        <is>
          <t>Direct Change in RNOA = Current RNOA - Prior RNOA.</t>
        </is>
      </c>
      <c r="O234" t="inlineStr">
        <is>
          <t>pending</t>
        </is>
      </c>
      <c r="P234" t="inlineStr">
        <is>
          <t>rnoa_change</t>
        </is>
      </c>
      <c r="Q234" t="n">
        <v>52</v>
      </c>
      <c r="R234" t="n">
        <v>4</v>
      </c>
      <c r="S234" t="inlineStr">
        <is>
          <t>2025-12-31</t>
        </is>
      </c>
    </row>
    <row r="235">
      <c r="A235" t="inlineStr">
        <is>
          <t>rnoa_margin_effect__20231231</t>
        </is>
      </c>
      <c r="B235" t="n">
        <v>234</v>
      </c>
      <c r="C235" t="inlineStr">
        <is>
          <t>Margin Effect on Change in RNOA</t>
        </is>
      </c>
      <c r="D235" t="inlineStr">
        <is>
          <t>Change in Margin multiplied by midpoint NOA Turnover.</t>
        </is>
      </c>
      <c r="E235" t="inlineStr">
        <is>
          <t>profitability_change.rnoa_margin_effect.2023-12-31</t>
        </is>
      </c>
      <c r="F235" t="inlineStr">
        <is>
          <t>profitability_change</t>
        </is>
      </c>
      <c r="G235" t="inlineStr">
        <is>
          <t>ALT DuPont</t>
        </is>
      </c>
      <c r="H235" t="inlineStr">
        <is>
          <t>D25</t>
        </is>
      </c>
      <c r="I235">
        <f>D22*((D16+C16)/2)</f>
        <v/>
      </c>
      <c r="J235" t="n">
        <v>5.887739403472384e-05</v>
      </c>
      <c r="K235" t="n">
        <v>0.01</v>
      </c>
      <c r="L235" t="inlineStr">
        <is>
          <t>nopat_margin_change__20231231,noa_turnover__20231231,noa_turnover__20221231</t>
        </is>
      </c>
      <c r="M235" t="inlineStr">
        <is>
          <t>Margin Effect = Change in Margin × average of current and prior NOA Turnover.|Midpoint weighting gives an exact order-neutral product-change attribution.</t>
        </is>
      </c>
      <c r="O235" t="inlineStr">
        <is>
          <t>pending</t>
        </is>
      </c>
      <c r="P235" t="inlineStr">
        <is>
          <t>rnoa_margin_effect</t>
        </is>
      </c>
      <c r="Q235" t="n">
        <v>53</v>
      </c>
      <c r="R235" t="n">
        <v>2</v>
      </c>
      <c r="S235" t="inlineStr">
        <is>
          <t>2023-12-31</t>
        </is>
      </c>
    </row>
    <row r="236">
      <c r="A236" t="inlineStr">
        <is>
          <t>rnoa_margin_effect__20241231</t>
        </is>
      </c>
      <c r="B236" t="n">
        <v>235</v>
      </c>
      <c r="C236" t="inlineStr">
        <is>
          <t>Margin Effect on Change in RNOA</t>
        </is>
      </c>
      <c r="D236" t="inlineStr">
        <is>
          <t>Change in Margin multiplied by midpoint NOA Turnover.</t>
        </is>
      </c>
      <c r="E236" t="inlineStr">
        <is>
          <t>profitability_change.rnoa_margin_effect.2024-12-31</t>
        </is>
      </c>
      <c r="F236" t="inlineStr">
        <is>
          <t>profitability_change</t>
        </is>
      </c>
      <c r="G236" t="inlineStr">
        <is>
          <t>ALT DuPont</t>
        </is>
      </c>
      <c r="H236" t="inlineStr">
        <is>
          <t>E25</t>
        </is>
      </c>
      <c r="I236">
        <f>E22*((E16+D16)/2)</f>
        <v/>
      </c>
      <c r="J236" t="n">
        <v>-1.353853379314131e-05</v>
      </c>
      <c r="K236" t="n">
        <v>0.01</v>
      </c>
      <c r="L236" t="inlineStr">
        <is>
          <t>nopat_margin_change__20241231,noa_turnover__20241231,noa_turnover__20231231</t>
        </is>
      </c>
      <c r="M236" t="inlineStr">
        <is>
          <t>Margin Effect = Change in Margin × average of current and prior NOA Turnover.|Midpoint weighting gives an exact order-neutral product-change attribution.</t>
        </is>
      </c>
      <c r="O236" t="inlineStr">
        <is>
          <t>pending</t>
        </is>
      </c>
      <c r="P236" t="inlineStr">
        <is>
          <t>rnoa_margin_effect</t>
        </is>
      </c>
      <c r="Q236" t="n">
        <v>53</v>
      </c>
      <c r="R236" t="n">
        <v>3</v>
      </c>
      <c r="S236" t="inlineStr">
        <is>
          <t>2024-12-31</t>
        </is>
      </c>
    </row>
    <row r="237">
      <c r="A237" t="inlineStr">
        <is>
          <t>rnoa_margin_effect__20251231</t>
        </is>
      </c>
      <c r="B237" t="n">
        <v>236</v>
      </c>
      <c r="C237" t="inlineStr">
        <is>
          <t>Margin Effect on Change in RNOA</t>
        </is>
      </c>
      <c r="D237" t="inlineStr">
        <is>
          <t>Change in Margin multiplied by midpoint NOA Turnover.</t>
        </is>
      </c>
      <c r="E237" t="inlineStr">
        <is>
          <t>profitability_change.rnoa_margin_effect.2025-12-31</t>
        </is>
      </c>
      <c r="F237" t="inlineStr">
        <is>
          <t>profitability_change</t>
        </is>
      </c>
      <c r="G237" t="inlineStr">
        <is>
          <t>ALT DuPont</t>
        </is>
      </c>
      <c r="H237" t="inlineStr">
        <is>
          <t>F25</t>
        </is>
      </c>
      <c r="I237">
        <f>F22*((F16+E16)/2)</f>
        <v/>
      </c>
      <c r="J237" t="n">
        <v>7.035557782339497e-05</v>
      </c>
      <c r="K237" t="n">
        <v>0.01</v>
      </c>
      <c r="L237" t="inlineStr">
        <is>
          <t>nopat_margin_change__20251231,noa_turnover__20251231,noa_turnover__20241231</t>
        </is>
      </c>
      <c r="M237" t="inlineStr">
        <is>
          <t>Margin Effect = Change in Margin × average of current and prior NOA Turnover.|Midpoint weighting gives an exact order-neutral product-change attribution.</t>
        </is>
      </c>
      <c r="O237" t="inlineStr">
        <is>
          <t>pending</t>
        </is>
      </c>
      <c r="P237" t="inlineStr">
        <is>
          <t>rnoa_margin_effect</t>
        </is>
      </c>
      <c r="Q237" t="n">
        <v>53</v>
      </c>
      <c r="R237" t="n">
        <v>4</v>
      </c>
      <c r="S237" t="inlineStr">
        <is>
          <t>2025-12-31</t>
        </is>
      </c>
    </row>
    <row r="238">
      <c r="A238" t="inlineStr">
        <is>
          <t>rnoa_turnover_effect__20231231</t>
        </is>
      </c>
      <c r="B238" t="n">
        <v>237</v>
      </c>
      <c r="C238" t="inlineStr">
        <is>
          <t>Turnover Effect on Change in RNOA</t>
        </is>
      </c>
      <c r="D238" t="inlineStr">
        <is>
          <t>Change in NOA Turnover multiplied by midpoint NOPAT Margin.</t>
        </is>
      </c>
      <c r="E238" t="inlineStr">
        <is>
          <t>profitability_change.rnoa_turnover_effect.2023-12-31</t>
        </is>
      </c>
      <c r="F238" t="inlineStr">
        <is>
          <t>profitability_change</t>
        </is>
      </c>
      <c r="G238" t="inlineStr">
        <is>
          <t>ALT DuPont</t>
        </is>
      </c>
      <c r="H238" t="inlineStr">
        <is>
          <t>D26</t>
        </is>
      </c>
      <c r="I238">
        <f>D23*((D6+C6)/2)</f>
        <v/>
      </c>
      <c r="J238" t="n">
        <v>0.008673740758006086</v>
      </c>
      <c r="K238" t="n">
        <v>0.01</v>
      </c>
      <c r="L238" t="inlineStr">
        <is>
          <t>noa_turnover_change__20231231,nopat_margin__20231231,nopat_margin__20221231</t>
        </is>
      </c>
      <c r="M238" t="inlineStr">
        <is>
          <t>Turnover Effect = Change in NOA Turnover × average of current and prior NOPAT Margin.|Do not reinterpret this aggregate effect as a specific asset-management cause without further evidence.</t>
        </is>
      </c>
      <c r="O238" t="inlineStr">
        <is>
          <t>pending</t>
        </is>
      </c>
      <c r="P238" t="inlineStr">
        <is>
          <t>rnoa_turnover_effect</t>
        </is>
      </c>
      <c r="Q238" t="n">
        <v>54</v>
      </c>
      <c r="R238" t="n">
        <v>2</v>
      </c>
      <c r="S238" t="inlineStr">
        <is>
          <t>2023-12-31</t>
        </is>
      </c>
    </row>
    <row r="239">
      <c r="A239" t="inlineStr">
        <is>
          <t>rnoa_turnover_effect__20241231</t>
        </is>
      </c>
      <c r="B239" t="n">
        <v>238</v>
      </c>
      <c r="C239" t="inlineStr">
        <is>
          <t>Turnover Effect on Change in RNOA</t>
        </is>
      </c>
      <c r="D239" t="inlineStr">
        <is>
          <t>Change in NOA Turnover multiplied by midpoint NOPAT Margin.</t>
        </is>
      </c>
      <c r="E239" t="inlineStr">
        <is>
          <t>profitability_change.rnoa_turnover_effect.2024-12-31</t>
        </is>
      </c>
      <c r="F239" t="inlineStr">
        <is>
          <t>profitability_change</t>
        </is>
      </c>
      <c r="G239" t="inlineStr">
        <is>
          <t>ALT DuPont</t>
        </is>
      </c>
      <c r="H239" t="inlineStr">
        <is>
          <t>E26</t>
        </is>
      </c>
      <c r="I239">
        <f>E23*((E6+D6)/2)</f>
        <v/>
      </c>
      <c r="J239" t="n">
        <v>0.001770767757959878</v>
      </c>
      <c r="K239" t="n">
        <v>0.01</v>
      </c>
      <c r="L239" t="inlineStr">
        <is>
          <t>noa_turnover_change__20241231,nopat_margin__20241231,nopat_margin__20231231</t>
        </is>
      </c>
      <c r="M239" t="inlineStr">
        <is>
          <t>Turnover Effect = Change in NOA Turnover × average of current and prior NOPAT Margin.|Do not reinterpret this aggregate effect as a specific asset-management cause without further evidence.</t>
        </is>
      </c>
      <c r="O239" t="inlineStr">
        <is>
          <t>pending</t>
        </is>
      </c>
      <c r="P239" t="inlineStr">
        <is>
          <t>rnoa_turnover_effect</t>
        </is>
      </c>
      <c r="Q239" t="n">
        <v>54</v>
      </c>
      <c r="R239" t="n">
        <v>3</v>
      </c>
      <c r="S239" t="inlineStr">
        <is>
          <t>2024-12-31</t>
        </is>
      </c>
    </row>
    <row r="240">
      <c r="A240" t="inlineStr">
        <is>
          <t>rnoa_turnover_effect__20251231</t>
        </is>
      </c>
      <c r="B240" t="n">
        <v>239</v>
      </c>
      <c r="C240" t="inlineStr">
        <is>
          <t>Turnover Effect on Change in RNOA</t>
        </is>
      </c>
      <c r="D240" t="inlineStr">
        <is>
          <t>Change in NOA Turnover multiplied by midpoint NOPAT Margin.</t>
        </is>
      </c>
      <c r="E240" t="inlineStr">
        <is>
          <t>profitability_change.rnoa_turnover_effect.2025-12-31</t>
        </is>
      </c>
      <c r="F240" t="inlineStr">
        <is>
          <t>profitability_change</t>
        </is>
      </c>
      <c r="G240" t="inlineStr">
        <is>
          <t>ALT DuPont</t>
        </is>
      </c>
      <c r="H240" t="inlineStr">
        <is>
          <t>F26</t>
        </is>
      </c>
      <c r="I240">
        <f>F23*((F6+E6)/2)</f>
        <v/>
      </c>
      <c r="J240" t="n">
        <v>-0.003876664754849771</v>
      </c>
      <c r="K240" t="n">
        <v>0.01</v>
      </c>
      <c r="L240" t="inlineStr">
        <is>
          <t>noa_turnover_change__20251231,nopat_margin__20251231,nopat_margin__20241231</t>
        </is>
      </c>
      <c r="M240" t="inlineStr">
        <is>
          <t>Turnover Effect = Change in NOA Turnover × average of current and prior NOPAT Margin.|Do not reinterpret this aggregate effect as a specific asset-management cause without further evidence.</t>
        </is>
      </c>
      <c r="O240" t="inlineStr">
        <is>
          <t>pending</t>
        </is>
      </c>
      <c r="P240" t="inlineStr">
        <is>
          <t>rnoa_turnover_effect</t>
        </is>
      </c>
      <c r="Q240" t="n">
        <v>54</v>
      </c>
      <c r="R240" t="n">
        <v>4</v>
      </c>
      <c r="S240" t="inlineStr">
        <is>
          <t>2025-12-31</t>
        </is>
      </c>
    </row>
    <row r="241">
      <c r="A241" t="inlineStr">
        <is>
          <t>rnoa_change_from_drivers__20231231</t>
        </is>
      </c>
      <c r="B241" t="n">
        <v>240</v>
      </c>
      <c r="C241" t="inlineStr">
        <is>
          <t>Change in RNOA from Margin + Turnover Effects</t>
        </is>
      </c>
      <c r="D241" t="inlineStr">
        <is>
          <t>Margin Effect plus Turnover Effect.</t>
        </is>
      </c>
      <c r="E241" t="inlineStr">
        <is>
          <t>profitability_change.rnoa_change_from_drivers.2023-12-31</t>
        </is>
      </c>
      <c r="F241" t="inlineStr">
        <is>
          <t>profitability_change</t>
        </is>
      </c>
      <c r="G241" t="inlineStr">
        <is>
          <t>ALT DuPont</t>
        </is>
      </c>
      <c r="H241" t="inlineStr">
        <is>
          <t>D27</t>
        </is>
      </c>
      <c r="I241">
        <f>D25+D26</f>
        <v/>
      </c>
      <c r="J241" t="n">
        <v>0.00873261815204081</v>
      </c>
      <c r="K241" t="n">
        <v>0.01</v>
      </c>
      <c r="L241" t="inlineStr">
        <is>
          <t>rnoa_margin_effect__20231231,rnoa_turnover_effect__20231231</t>
        </is>
      </c>
      <c r="M241" t="inlineStr">
        <is>
          <t>Driver Change in RNOA = Margin Effect + Turnover Effect.|When both driver periods are defined, this must reconcile to Direct Change in RNOA.</t>
        </is>
      </c>
      <c r="O241" t="inlineStr">
        <is>
          <t>pending</t>
        </is>
      </c>
      <c r="P241" t="inlineStr">
        <is>
          <t>rnoa_change_from_drivers</t>
        </is>
      </c>
      <c r="Q241" t="n">
        <v>55</v>
      </c>
      <c r="R241" t="n">
        <v>2</v>
      </c>
      <c r="S241" t="inlineStr">
        <is>
          <t>2023-12-31</t>
        </is>
      </c>
    </row>
    <row r="242">
      <c r="A242" t="inlineStr">
        <is>
          <t>rnoa_change_from_drivers__20241231</t>
        </is>
      </c>
      <c r="B242" t="n">
        <v>241</v>
      </c>
      <c r="C242" t="inlineStr">
        <is>
          <t>Change in RNOA from Margin + Turnover Effects</t>
        </is>
      </c>
      <c r="D242" t="inlineStr">
        <is>
          <t>Margin Effect plus Turnover Effect.</t>
        </is>
      </c>
      <c r="E242" t="inlineStr">
        <is>
          <t>profitability_change.rnoa_change_from_drivers.2024-12-31</t>
        </is>
      </c>
      <c r="F242" t="inlineStr">
        <is>
          <t>profitability_change</t>
        </is>
      </c>
      <c r="G242" t="inlineStr">
        <is>
          <t>ALT DuPont</t>
        </is>
      </c>
      <c r="H242" t="inlineStr">
        <is>
          <t>E27</t>
        </is>
      </c>
      <c r="I242">
        <f>E25+E26</f>
        <v/>
      </c>
      <c r="J242" t="n">
        <v>0.001757229224166737</v>
      </c>
      <c r="K242" t="n">
        <v>0.01</v>
      </c>
      <c r="L242" t="inlineStr">
        <is>
          <t>rnoa_margin_effect__20241231,rnoa_turnover_effect__20241231</t>
        </is>
      </c>
      <c r="M242" t="inlineStr">
        <is>
          <t>Driver Change in RNOA = Margin Effect + Turnover Effect.|When both driver periods are defined, this must reconcile to Direct Change in RNOA.</t>
        </is>
      </c>
      <c r="O242" t="inlineStr">
        <is>
          <t>pending</t>
        </is>
      </c>
      <c r="P242" t="inlineStr">
        <is>
          <t>rnoa_change_from_drivers</t>
        </is>
      </c>
      <c r="Q242" t="n">
        <v>55</v>
      </c>
      <c r="R242" t="n">
        <v>3</v>
      </c>
      <c r="S242" t="inlineStr">
        <is>
          <t>2024-12-31</t>
        </is>
      </c>
    </row>
    <row r="243">
      <c r="A243" t="inlineStr">
        <is>
          <t>rnoa_change_from_drivers__20251231</t>
        </is>
      </c>
      <c r="B243" t="n">
        <v>242</v>
      </c>
      <c r="C243" t="inlineStr">
        <is>
          <t>Change in RNOA from Margin + Turnover Effects</t>
        </is>
      </c>
      <c r="D243" t="inlineStr">
        <is>
          <t>Margin Effect plus Turnover Effect.</t>
        </is>
      </c>
      <c r="E243" t="inlineStr">
        <is>
          <t>profitability_change.rnoa_change_from_drivers.2025-12-31</t>
        </is>
      </c>
      <c r="F243" t="inlineStr">
        <is>
          <t>profitability_change</t>
        </is>
      </c>
      <c r="G243" t="inlineStr">
        <is>
          <t>ALT DuPont</t>
        </is>
      </c>
      <c r="H243" t="inlineStr">
        <is>
          <t>F27</t>
        </is>
      </c>
      <c r="I243">
        <f>F25+F26</f>
        <v/>
      </c>
      <c r="J243" t="n">
        <v>-0.003806309177026376</v>
      </c>
      <c r="K243" t="n">
        <v>0.01</v>
      </c>
      <c r="L243" t="inlineStr">
        <is>
          <t>rnoa_margin_effect__20251231,rnoa_turnover_effect__20251231</t>
        </is>
      </c>
      <c r="M243" t="inlineStr">
        <is>
          <t>Driver Change in RNOA = Margin Effect + Turnover Effect.|When both driver periods are defined, this must reconcile to Direct Change in RNOA.</t>
        </is>
      </c>
      <c r="O243" t="inlineStr">
        <is>
          <t>pending</t>
        </is>
      </c>
      <c r="P243" t="inlineStr">
        <is>
          <t>rnoa_change_from_drivers</t>
        </is>
      </c>
      <c r="Q243" t="n">
        <v>55</v>
      </c>
      <c r="R243" t="n">
        <v>4</v>
      </c>
      <c r="S243" t="inlineStr">
        <is>
          <t>2025-12-31</t>
        </is>
      </c>
    </row>
    <row r="244">
      <c r="A244" t="inlineStr">
        <is>
          <t>financing_contribution_to_roe__20221231</t>
        </is>
      </c>
      <c r="B244" t="n">
        <v>243</v>
      </c>
      <c r="C244" t="inlineStr">
        <is>
          <t>Financing Contribution to ROE</t>
        </is>
      </c>
      <c r="D244" t="inlineStr">
        <is>
          <t>FLEV multiplied by Spread.</t>
        </is>
      </c>
      <c r="E244" t="inlineStr">
        <is>
          <t>roe_attribution.financing_contribution.2022-12-31</t>
        </is>
      </c>
      <c r="F244" t="inlineStr">
        <is>
          <t>roe_attribution</t>
        </is>
      </c>
      <c r="G244" t="inlineStr">
        <is>
          <t>ALT DuPont</t>
        </is>
      </c>
      <c r="H244" t="inlineStr">
        <is>
          <t>C31</t>
        </is>
      </c>
      <c r="I244">
        <f>C10*C9</f>
        <v/>
      </c>
      <c r="J244" t="n">
        <v>0.005458893871449926</v>
      </c>
      <c r="K244" t="n">
        <v>0.01</v>
      </c>
      <c r="L244" t="inlineStr">
        <is>
          <t>flev__20221231,spread__20221231</t>
        </is>
      </c>
      <c r="M244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44" t="inlineStr">
        <is>
          <t>pending</t>
        </is>
      </c>
      <c r="P244" t="inlineStr">
        <is>
          <t>financing_contribution_to_roe</t>
        </is>
      </c>
      <c r="Q244" t="n">
        <v>56</v>
      </c>
      <c r="R244" t="n">
        <v>1</v>
      </c>
      <c r="S244" t="inlineStr">
        <is>
          <t>2022-12-31</t>
        </is>
      </c>
    </row>
    <row r="245">
      <c r="A245" t="inlineStr">
        <is>
          <t>financing_contribution_to_roe__20231231</t>
        </is>
      </c>
      <c r="B245" t="n">
        <v>244</v>
      </c>
      <c r="C245" t="inlineStr">
        <is>
          <t>Financing Contribution to ROE</t>
        </is>
      </c>
      <c r="D245" t="inlineStr">
        <is>
          <t>FLEV multiplied by Spread.</t>
        </is>
      </c>
      <c r="E245" t="inlineStr">
        <is>
          <t>roe_attribution.financing_contribution.2023-12-31</t>
        </is>
      </c>
      <c r="F245" t="inlineStr">
        <is>
          <t>roe_attribution</t>
        </is>
      </c>
      <c r="G245" t="inlineStr">
        <is>
          <t>ALT DuPont</t>
        </is>
      </c>
      <c r="H245" t="inlineStr">
        <is>
          <t>D31</t>
        </is>
      </c>
      <c r="I245">
        <f>D10*D9</f>
        <v/>
      </c>
      <c r="J245" t="n">
        <v>-0.01841033630244887</v>
      </c>
      <c r="K245" t="n">
        <v>0.01</v>
      </c>
      <c r="L245" t="inlineStr">
        <is>
          <t>flev__20231231,spread__20231231</t>
        </is>
      </c>
      <c r="M245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45" t="inlineStr">
        <is>
          <t>pending</t>
        </is>
      </c>
      <c r="P245" t="inlineStr">
        <is>
          <t>financing_contribution_to_roe</t>
        </is>
      </c>
      <c r="Q245" t="n">
        <v>56</v>
      </c>
      <c r="R245" t="n">
        <v>2</v>
      </c>
      <c r="S245" t="inlineStr">
        <is>
          <t>2023-12-31</t>
        </is>
      </c>
    </row>
    <row r="246">
      <c r="A246" t="inlineStr">
        <is>
          <t>financing_contribution_to_roe__20241231</t>
        </is>
      </c>
      <c r="B246" t="n">
        <v>245</v>
      </c>
      <c r="C246" t="inlineStr">
        <is>
          <t>Financing Contribution to ROE</t>
        </is>
      </c>
      <c r="D246" t="inlineStr">
        <is>
          <t>FLEV multiplied by Spread.</t>
        </is>
      </c>
      <c r="E246" t="inlineStr">
        <is>
          <t>roe_attribution.financing_contribution.2024-12-31</t>
        </is>
      </c>
      <c r="F246" t="inlineStr">
        <is>
          <t>roe_attribution</t>
        </is>
      </c>
      <c r="G246" t="inlineStr">
        <is>
          <t>ALT DuPont</t>
        </is>
      </c>
      <c r="H246" t="inlineStr">
        <is>
          <t>E31</t>
        </is>
      </c>
      <c r="I246">
        <f>E10*E9</f>
        <v/>
      </c>
      <c r="J246" t="n">
        <v>-0.03779285826666236</v>
      </c>
      <c r="K246" t="n">
        <v>0.01</v>
      </c>
      <c r="L246" t="inlineStr">
        <is>
          <t>flev__20241231,spread__20241231</t>
        </is>
      </c>
      <c r="M246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46" t="inlineStr">
        <is>
          <t>pending</t>
        </is>
      </c>
      <c r="P246" t="inlineStr">
        <is>
          <t>financing_contribution_to_roe</t>
        </is>
      </c>
      <c r="Q246" t="n">
        <v>56</v>
      </c>
      <c r="R246" t="n">
        <v>3</v>
      </c>
      <c r="S246" t="inlineStr">
        <is>
          <t>2024-12-31</t>
        </is>
      </c>
    </row>
    <row r="247">
      <c r="A247" t="inlineStr">
        <is>
          <t>financing_contribution_to_roe__20251231</t>
        </is>
      </c>
      <c r="B247" t="n">
        <v>246</v>
      </c>
      <c r="C247" t="inlineStr">
        <is>
          <t>Financing Contribution to ROE</t>
        </is>
      </c>
      <c r="D247" t="inlineStr">
        <is>
          <t>FLEV multiplied by Spread.</t>
        </is>
      </c>
      <c r="E247" t="inlineStr">
        <is>
          <t>roe_attribution.financing_contribution.2025-12-31</t>
        </is>
      </c>
      <c r="F247" t="inlineStr">
        <is>
          <t>roe_attribution</t>
        </is>
      </c>
      <c r="G247" t="inlineStr">
        <is>
          <t>ALT DuPont</t>
        </is>
      </c>
      <c r="H247" t="inlineStr">
        <is>
          <t>F31</t>
        </is>
      </c>
      <c r="I247">
        <f>F10*F9</f>
        <v/>
      </c>
      <c r="J247" t="n">
        <v>-0.05184192827834853</v>
      </c>
      <c r="K247" t="n">
        <v>0.01</v>
      </c>
      <c r="L247" t="inlineStr">
        <is>
          <t>flev__20251231,spread__20251231</t>
        </is>
      </c>
      <c r="M247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47" t="inlineStr">
        <is>
          <t>pending</t>
        </is>
      </c>
      <c r="P247" t="inlineStr">
        <is>
          <t>financing_contribution_to_roe</t>
        </is>
      </c>
      <c r="Q247" t="n">
        <v>56</v>
      </c>
      <c r="R247" t="n">
        <v>4</v>
      </c>
      <c r="S247" t="inlineStr">
        <is>
          <t>2025-12-31</t>
        </is>
      </c>
    </row>
    <row r="248">
      <c r="A248" t="inlineStr">
        <is>
          <t>roe_change__20231231</t>
        </is>
      </c>
      <c r="B248" t="n">
        <v>247</v>
      </c>
      <c r="C248" t="inlineStr">
        <is>
          <t>Direct Change in Decomposed ROE</t>
        </is>
      </c>
      <c r="D248" t="inlineStr">
        <is>
          <t>Current decomposed ROE minus prior decomposed ROE.</t>
        </is>
      </c>
      <c r="E248" t="inlineStr">
        <is>
          <t>roe_attribution.roe_change.2023-12-31</t>
        </is>
      </c>
      <c r="F248" t="inlineStr">
        <is>
          <t>roe_attribution</t>
        </is>
      </c>
      <c r="G248" t="inlineStr">
        <is>
          <t>ALT DuPont</t>
        </is>
      </c>
      <c r="H248" t="inlineStr">
        <is>
          <t>D35</t>
        </is>
      </c>
      <c r="I248">
        <f>D11-C11</f>
        <v/>
      </c>
      <c r="J248" t="n">
        <v>-0.01513661202185801</v>
      </c>
      <c r="K248" t="n">
        <v>0.01</v>
      </c>
      <c r="L248" t="inlineStr">
        <is>
          <t>roe_decomp__20231231,roe_decomp__20221231</t>
        </is>
      </c>
      <c r="M248" t="inlineStr">
        <is>
          <t>Direct Change in ROE = Current decomposed ROE - Prior decomposed ROE.</t>
        </is>
      </c>
      <c r="O248" t="inlineStr">
        <is>
          <t>pending</t>
        </is>
      </c>
      <c r="P248" t="inlineStr">
        <is>
          <t>roe_change</t>
        </is>
      </c>
      <c r="Q248" t="n">
        <v>57</v>
      </c>
      <c r="R248" t="n">
        <v>2</v>
      </c>
      <c r="S248" t="inlineStr">
        <is>
          <t>2023-12-31</t>
        </is>
      </c>
    </row>
    <row r="249">
      <c r="A249" t="inlineStr">
        <is>
          <t>roe_change__20241231</t>
        </is>
      </c>
      <c r="B249" t="n">
        <v>248</v>
      </c>
      <c r="C249" t="inlineStr">
        <is>
          <t>Direct Change in Decomposed ROE</t>
        </is>
      </c>
      <c r="D249" t="inlineStr">
        <is>
          <t>Current decomposed ROE minus prior decomposed ROE.</t>
        </is>
      </c>
      <c r="E249" t="inlineStr">
        <is>
          <t>roe_attribution.roe_change.2024-12-31</t>
        </is>
      </c>
      <c r="F249" t="inlineStr">
        <is>
          <t>roe_attribution</t>
        </is>
      </c>
      <c r="G249" t="inlineStr">
        <is>
          <t>ALT DuPont</t>
        </is>
      </c>
      <c r="H249" t="inlineStr">
        <is>
          <t>E35</t>
        </is>
      </c>
      <c r="I249">
        <f>E11-D11</f>
        <v/>
      </c>
      <c r="J249" t="n">
        <v>-0.01762529274004676</v>
      </c>
      <c r="K249" t="n">
        <v>0.01</v>
      </c>
      <c r="L249" t="inlineStr">
        <is>
          <t>roe_decomp__20241231,roe_decomp__20231231</t>
        </is>
      </c>
      <c r="M249" t="inlineStr">
        <is>
          <t>Direct Change in ROE = Current decomposed ROE - Prior decomposed ROE.</t>
        </is>
      </c>
      <c r="O249" t="inlineStr">
        <is>
          <t>pending</t>
        </is>
      </c>
      <c r="P249" t="inlineStr">
        <is>
          <t>roe_change</t>
        </is>
      </c>
      <c r="Q249" t="n">
        <v>57</v>
      </c>
      <c r="R249" t="n">
        <v>3</v>
      </c>
      <c r="S249" t="inlineStr">
        <is>
          <t>2024-12-31</t>
        </is>
      </c>
    </row>
    <row r="250">
      <c r="A250" t="inlineStr">
        <is>
          <t>roe_change__20251231</t>
        </is>
      </c>
      <c r="B250" t="n">
        <v>249</v>
      </c>
      <c r="C250" t="inlineStr">
        <is>
          <t>Direct Change in Decomposed ROE</t>
        </is>
      </c>
      <c r="D250" t="inlineStr">
        <is>
          <t>Current decomposed ROE minus prior decomposed ROE.</t>
        </is>
      </c>
      <c r="E250" t="inlineStr">
        <is>
          <t>roe_attribution.roe_change.2025-12-31</t>
        </is>
      </c>
      <c r="F250" t="inlineStr">
        <is>
          <t>roe_attribution</t>
        </is>
      </c>
      <c r="G250" t="inlineStr">
        <is>
          <t>ALT DuPont</t>
        </is>
      </c>
      <c r="H250" t="inlineStr">
        <is>
          <t>F35</t>
        </is>
      </c>
      <c r="I250">
        <f>F11-E11</f>
        <v/>
      </c>
      <c r="J250" t="n">
        <v>-0.01785537918871249</v>
      </c>
      <c r="K250" t="n">
        <v>0.01</v>
      </c>
      <c r="L250" t="inlineStr">
        <is>
          <t>roe_decomp__20251231,roe_decomp__20241231</t>
        </is>
      </c>
      <c r="M250" t="inlineStr">
        <is>
          <t>Direct Change in ROE = Current decomposed ROE - Prior decomposed ROE.</t>
        </is>
      </c>
      <c r="O250" t="inlineStr">
        <is>
          <t>pending</t>
        </is>
      </c>
      <c r="P250" t="inlineStr">
        <is>
          <t>roe_change</t>
        </is>
      </c>
      <c r="Q250" t="n">
        <v>57</v>
      </c>
      <c r="R250" t="n">
        <v>4</v>
      </c>
      <c r="S250" t="inlineStr">
        <is>
          <t>2025-12-31</t>
        </is>
      </c>
    </row>
    <row r="251">
      <c r="A251" t="inlineStr">
        <is>
          <t>operating_effect_on_roe_change__20231231</t>
        </is>
      </c>
      <c r="B251" t="n">
        <v>250</v>
      </c>
      <c r="C251" t="inlineStr">
        <is>
          <t>Operating Effect on Change in ROE</t>
        </is>
      </c>
      <c r="D251" t="inlineStr">
        <is>
          <t>The direct Change in RNOA from the prior diagnostic section.</t>
        </is>
      </c>
      <c r="E251" t="inlineStr">
        <is>
          <t>roe_attribution.operating_effect.2023-12-31</t>
        </is>
      </c>
      <c r="F251" t="inlineStr">
        <is>
          <t>roe_attribution</t>
        </is>
      </c>
      <c r="G251" t="inlineStr">
        <is>
          <t>ALT DuPont</t>
        </is>
      </c>
      <c r="H251" t="inlineStr">
        <is>
          <t>D36</t>
        </is>
      </c>
      <c r="I251">
        <f>D24</f>
        <v/>
      </c>
      <c r="J251" t="n">
        <v>0.00873261815204085</v>
      </c>
      <c r="K251" t="n">
        <v>0.01</v>
      </c>
      <c r="L251" t="inlineStr">
        <is>
          <t>rnoa_change__20231231</t>
        </is>
      </c>
      <c r="M251" t="inlineStr">
        <is>
          <t>Operating Effect on Change in ROE = Change in RNOA.|Use the existing direct RNOA-change result; do not reassign financing effects into the operating term.</t>
        </is>
      </c>
      <c r="O251" t="inlineStr">
        <is>
          <t>pending</t>
        </is>
      </c>
      <c r="P251" t="inlineStr">
        <is>
          <t>operating_effect_on_roe_change</t>
        </is>
      </c>
      <c r="Q251" t="n">
        <v>58</v>
      </c>
      <c r="R251" t="n">
        <v>2</v>
      </c>
      <c r="S251" t="inlineStr">
        <is>
          <t>2023-12-31</t>
        </is>
      </c>
    </row>
    <row r="252">
      <c r="A252" t="inlineStr">
        <is>
          <t>operating_effect_on_roe_change__20241231</t>
        </is>
      </c>
      <c r="B252" t="n">
        <v>251</v>
      </c>
      <c r="C252" t="inlineStr">
        <is>
          <t>Operating Effect on Change in ROE</t>
        </is>
      </c>
      <c r="D252" t="inlineStr">
        <is>
          <t>The direct Change in RNOA from the prior diagnostic section.</t>
        </is>
      </c>
      <c r="E252" t="inlineStr">
        <is>
          <t>roe_attribution.operating_effect.2024-12-31</t>
        </is>
      </c>
      <c r="F252" t="inlineStr">
        <is>
          <t>roe_attribution</t>
        </is>
      </c>
      <c r="G252" t="inlineStr">
        <is>
          <t>ALT DuPont</t>
        </is>
      </c>
      <c r="H252" t="inlineStr">
        <is>
          <t>E36</t>
        </is>
      </c>
      <c r="I252">
        <f>E24</f>
        <v/>
      </c>
      <c r="J252" t="n">
        <v>0.001757229224166657</v>
      </c>
      <c r="K252" t="n">
        <v>0.01</v>
      </c>
      <c r="L252" t="inlineStr">
        <is>
          <t>rnoa_change__20241231</t>
        </is>
      </c>
      <c r="M252" t="inlineStr">
        <is>
          <t>Operating Effect on Change in ROE = Change in RNOA.|Use the existing direct RNOA-change result; do not reassign financing effects into the operating term.</t>
        </is>
      </c>
      <c r="O252" t="inlineStr">
        <is>
          <t>pending</t>
        </is>
      </c>
      <c r="P252" t="inlineStr">
        <is>
          <t>operating_effect_on_roe_change</t>
        </is>
      </c>
      <c r="Q252" t="n">
        <v>58</v>
      </c>
      <c r="R252" t="n">
        <v>3</v>
      </c>
      <c r="S252" t="inlineStr">
        <is>
          <t>2024-12-31</t>
        </is>
      </c>
    </row>
    <row r="253">
      <c r="A253" t="inlineStr">
        <is>
          <t>operating_effect_on_roe_change__20251231</t>
        </is>
      </c>
      <c r="B253" t="n">
        <v>252</v>
      </c>
      <c r="C253" t="inlineStr">
        <is>
          <t>Operating Effect on Change in ROE</t>
        </is>
      </c>
      <c r="D253" t="inlineStr">
        <is>
          <t>The direct Change in RNOA from the prior diagnostic section.</t>
        </is>
      </c>
      <c r="E253" t="inlineStr">
        <is>
          <t>roe_attribution.operating_effect.2025-12-31</t>
        </is>
      </c>
      <c r="F253" t="inlineStr">
        <is>
          <t>roe_attribution</t>
        </is>
      </c>
      <c r="G253" t="inlineStr">
        <is>
          <t>ALT DuPont</t>
        </is>
      </c>
      <c r="H253" t="inlineStr">
        <is>
          <t>F36</t>
        </is>
      </c>
      <c r="I253">
        <f>F24</f>
        <v/>
      </c>
      <c r="J253" t="n">
        <v>-0.00380630917702629</v>
      </c>
      <c r="K253" t="n">
        <v>0.01</v>
      </c>
      <c r="L253" t="inlineStr">
        <is>
          <t>rnoa_change__20251231</t>
        </is>
      </c>
      <c r="M253" t="inlineStr">
        <is>
          <t>Operating Effect on Change in ROE = Change in RNOA.|Use the existing direct RNOA-change result; do not reassign financing effects into the operating term.</t>
        </is>
      </c>
      <c r="O253" t="inlineStr">
        <is>
          <t>pending</t>
        </is>
      </c>
      <c r="P253" t="inlineStr">
        <is>
          <t>operating_effect_on_roe_change</t>
        </is>
      </c>
      <c r="Q253" t="n">
        <v>58</v>
      </c>
      <c r="R253" t="n">
        <v>4</v>
      </c>
      <c r="S253" t="inlineStr">
        <is>
          <t>2025-12-31</t>
        </is>
      </c>
    </row>
    <row r="254">
      <c r="A254" t="inlineStr">
        <is>
          <t>leverage_effect_on_roe_change__20231231</t>
        </is>
      </c>
      <c r="B254" t="n">
        <v>253</v>
      </c>
      <c r="C254" t="inlineStr">
        <is>
          <t>Leverage Effect on Change in ROE</t>
        </is>
      </c>
      <c r="D254" t="inlineStr">
        <is>
          <t>Change in FLEV multiplied by midpoint Spread.</t>
        </is>
      </c>
      <c r="E254" t="inlineStr">
        <is>
          <t>roe_attribution.leverage_effect.2023-12-31</t>
        </is>
      </c>
      <c r="F254" t="inlineStr">
        <is>
          <t>roe_attribution</t>
        </is>
      </c>
      <c r="G254" t="inlineStr">
        <is>
          <t>ALT DuPont</t>
        </is>
      </c>
      <c r="H254" t="inlineStr">
        <is>
          <t>D37</t>
        </is>
      </c>
      <c r="I254">
        <f>(D10-C10)*((D9+C9)/2)</f>
        <v/>
      </c>
      <c r="J254" t="n">
        <v>-0.03723314790601098</v>
      </c>
      <c r="K254" t="n">
        <v>0.01</v>
      </c>
      <c r="L254" t="inlineStr">
        <is>
          <t>flev__20231231,spread__20231231,flev__20221231,spread__20221231</t>
        </is>
      </c>
      <c r="M254" t="inlineStr">
        <is>
          <t>Leverage Effect = Change in FLEV × average of current and prior Spread.|Midpoint weighting gives an exact order-neutral attribution of the financing product change.</t>
        </is>
      </c>
      <c r="O254" t="inlineStr">
        <is>
          <t>pending</t>
        </is>
      </c>
      <c r="P254" t="inlineStr">
        <is>
          <t>leverage_effect_on_roe_change</t>
        </is>
      </c>
      <c r="Q254" t="n">
        <v>59</v>
      </c>
      <c r="R254" t="n">
        <v>2</v>
      </c>
      <c r="S254" t="inlineStr">
        <is>
          <t>2023-12-31</t>
        </is>
      </c>
    </row>
    <row r="255">
      <c r="A255" t="inlineStr">
        <is>
          <t>leverage_effect_on_roe_change__20241231</t>
        </is>
      </c>
      <c r="B255" t="n">
        <v>254</v>
      </c>
      <c r="C255" t="inlineStr">
        <is>
          <t>Leverage Effect on Change in ROE</t>
        </is>
      </c>
      <c r="D255" t="inlineStr">
        <is>
          <t>Change in FLEV multiplied by midpoint Spread.</t>
        </is>
      </c>
      <c r="E255" t="inlineStr">
        <is>
          <t>roe_attribution.leverage_effect.2024-12-31</t>
        </is>
      </c>
      <c r="F255" t="inlineStr">
        <is>
          <t>roe_attribution</t>
        </is>
      </c>
      <c r="G255" t="inlineStr">
        <is>
          <t>ALT DuPont</t>
        </is>
      </c>
      <c r="H255" t="inlineStr">
        <is>
          <t>E37</t>
        </is>
      </c>
      <c r="I255">
        <f>(E10-D10)*((E9+D9)/2)</f>
        <v/>
      </c>
      <c r="J255" t="n">
        <v>-0.04127272913527925</v>
      </c>
      <c r="K255" t="n">
        <v>0.01</v>
      </c>
      <c r="L255" t="inlineStr">
        <is>
          <t>flev__20241231,spread__20241231,flev__20231231,spread__20231231</t>
        </is>
      </c>
      <c r="M255" t="inlineStr">
        <is>
          <t>Leverage Effect = Change in FLEV × average of current and prior Spread.|Midpoint weighting gives an exact order-neutral attribution of the financing product change.</t>
        </is>
      </c>
      <c r="O255" t="inlineStr">
        <is>
          <t>pending</t>
        </is>
      </c>
      <c r="P255" t="inlineStr">
        <is>
          <t>leverage_effect_on_roe_change</t>
        </is>
      </c>
      <c r="Q255" t="n">
        <v>59</v>
      </c>
      <c r="R255" t="n">
        <v>3</v>
      </c>
      <c r="S255" t="inlineStr">
        <is>
          <t>2024-12-31</t>
        </is>
      </c>
    </row>
    <row r="256">
      <c r="A256" t="inlineStr">
        <is>
          <t>leverage_effect_on_roe_change__20251231</t>
        </is>
      </c>
      <c r="B256" t="n">
        <v>255</v>
      </c>
      <c r="C256" t="inlineStr">
        <is>
          <t>Leverage Effect on Change in ROE</t>
        </is>
      </c>
      <c r="D256" t="inlineStr">
        <is>
          <t>Change in FLEV multiplied by midpoint Spread.</t>
        </is>
      </c>
      <c r="E256" t="inlineStr">
        <is>
          <t>roe_attribution.leverage_effect.2025-12-31</t>
        </is>
      </c>
      <c r="F256" t="inlineStr">
        <is>
          <t>roe_attribution</t>
        </is>
      </c>
      <c r="G256" t="inlineStr">
        <is>
          <t>ALT DuPont</t>
        </is>
      </c>
      <c r="H256" t="inlineStr">
        <is>
          <t>F37</t>
        </is>
      </c>
      <c r="I256">
        <f>(F10-E10)*((F9+E9)/2)</f>
        <v/>
      </c>
      <c r="J256" t="n">
        <v>-0.01998087904937235</v>
      </c>
      <c r="K256" t="n">
        <v>0.01</v>
      </c>
      <c r="L256" t="inlineStr">
        <is>
          <t>flev__20251231,spread__20251231,flev__20241231,spread__20241231</t>
        </is>
      </c>
      <c r="M256" t="inlineStr">
        <is>
          <t>Leverage Effect = Change in FLEV × average of current and prior Spread.|Midpoint weighting gives an exact order-neutral attribution of the financing product change.</t>
        </is>
      </c>
      <c r="O256" t="inlineStr">
        <is>
          <t>pending</t>
        </is>
      </c>
      <c r="P256" t="inlineStr">
        <is>
          <t>leverage_effect_on_roe_change</t>
        </is>
      </c>
      <c r="Q256" t="n">
        <v>59</v>
      </c>
      <c r="R256" t="n">
        <v>4</v>
      </c>
      <c r="S256" t="inlineStr">
        <is>
          <t>2025-12-31</t>
        </is>
      </c>
    </row>
    <row r="257">
      <c r="A257" t="inlineStr">
        <is>
          <t>spread_effect_on_roe_change__20231231</t>
        </is>
      </c>
      <c r="B257" t="n">
        <v>256</v>
      </c>
      <c r="C257" t="inlineStr">
        <is>
          <t>Spread Effect on Change in ROE</t>
        </is>
      </c>
      <c r="D257" t="inlineStr">
        <is>
          <t>Change in Spread multiplied by midpoint FLEV.</t>
        </is>
      </c>
      <c r="E257" t="inlineStr">
        <is>
          <t>roe_attribution.spread_effect.2023-12-31</t>
        </is>
      </c>
      <c r="F257" t="inlineStr">
        <is>
          <t>roe_attribution</t>
        </is>
      </c>
      <c r="G257" t="inlineStr">
        <is>
          <t>ALT DuPont</t>
        </is>
      </c>
      <c r="H257" t="inlineStr">
        <is>
          <t>D38</t>
        </is>
      </c>
      <c r="I257">
        <f>(D9-C9)*((D10+C10)/2)</f>
        <v/>
      </c>
      <c r="J257" t="n">
        <v>0.01336391773211218</v>
      </c>
      <c r="K257" t="n">
        <v>0.01</v>
      </c>
      <c r="L257" t="inlineStr">
        <is>
          <t>spread__20231231,flev__20231231,spread__20221231,flev__20221231</t>
        </is>
      </c>
      <c r="M257" t="inlineStr">
        <is>
          <t>Spread Effect = Change in Spread × average of current and prior FLEV.|Do not interpret Spread movement as a specific financing-policy cause without additional evidence.</t>
        </is>
      </c>
      <c r="O257" t="inlineStr">
        <is>
          <t>pending</t>
        </is>
      </c>
      <c r="P257" t="inlineStr">
        <is>
          <t>spread_effect_on_roe_change</t>
        </is>
      </c>
      <c r="Q257" t="n">
        <v>60</v>
      </c>
      <c r="R257" t="n">
        <v>2</v>
      </c>
      <c r="S257" t="inlineStr">
        <is>
          <t>2023-12-31</t>
        </is>
      </c>
    </row>
    <row r="258">
      <c r="A258" t="inlineStr">
        <is>
          <t>spread_effect_on_roe_change__20241231</t>
        </is>
      </c>
      <c r="B258" t="n">
        <v>257</v>
      </c>
      <c r="C258" t="inlineStr">
        <is>
          <t>Spread Effect on Change in ROE</t>
        </is>
      </c>
      <c r="D258" t="inlineStr">
        <is>
          <t>Change in Spread multiplied by midpoint FLEV.</t>
        </is>
      </c>
      <c r="E258" t="inlineStr">
        <is>
          <t>roe_attribution.spread_effect.2024-12-31</t>
        </is>
      </c>
      <c r="F258" t="inlineStr">
        <is>
          <t>roe_attribution</t>
        </is>
      </c>
      <c r="G258" t="inlineStr">
        <is>
          <t>ALT DuPont</t>
        </is>
      </c>
      <c r="H258" t="inlineStr">
        <is>
          <t>E38</t>
        </is>
      </c>
      <c r="I258">
        <f>(E9-D9)*((E10+D10)/2)</f>
        <v/>
      </c>
      <c r="J258" t="n">
        <v>0.02189020717106575</v>
      </c>
      <c r="K258" t="n">
        <v>0.01</v>
      </c>
      <c r="L258" t="inlineStr">
        <is>
          <t>spread__20241231,flev__20241231,spread__20231231,flev__20231231</t>
        </is>
      </c>
      <c r="M258" t="inlineStr">
        <is>
          <t>Spread Effect = Change in Spread × average of current and prior FLEV.|Do not interpret Spread movement as a specific financing-policy cause without additional evidence.</t>
        </is>
      </c>
      <c r="O258" t="inlineStr">
        <is>
          <t>pending</t>
        </is>
      </c>
      <c r="P258" t="inlineStr">
        <is>
          <t>spread_effect_on_roe_change</t>
        </is>
      </c>
      <c r="Q258" t="n">
        <v>60</v>
      </c>
      <c r="R258" t="n">
        <v>3</v>
      </c>
      <c r="S258" t="inlineStr">
        <is>
          <t>2024-12-31</t>
        </is>
      </c>
    </row>
    <row r="259">
      <c r="A259" t="inlineStr">
        <is>
          <t>spread_effect_on_roe_change__20251231</t>
        </is>
      </c>
      <c r="B259" t="n">
        <v>258</v>
      </c>
      <c r="C259" t="inlineStr">
        <is>
          <t>Spread Effect on Change in ROE</t>
        </is>
      </c>
      <c r="D259" t="inlineStr">
        <is>
          <t>Change in Spread multiplied by midpoint FLEV.</t>
        </is>
      </c>
      <c r="E259" t="inlineStr">
        <is>
          <t>roe_attribution.spread_effect.2025-12-31</t>
        </is>
      </c>
      <c r="F259" t="inlineStr">
        <is>
          <t>roe_attribution</t>
        </is>
      </c>
      <c r="G259" t="inlineStr">
        <is>
          <t>ALT DuPont</t>
        </is>
      </c>
      <c r="H259" t="inlineStr">
        <is>
          <t>F38</t>
        </is>
      </c>
      <c r="I259">
        <f>(F9-E9)*((F10+E10)/2)</f>
        <v/>
      </c>
      <c r="J259" t="n">
        <v>0.005931809037686192</v>
      </c>
      <c r="K259" t="n">
        <v>0.01</v>
      </c>
      <c r="L259" t="inlineStr">
        <is>
          <t>spread__20251231,flev__20251231,spread__20241231,flev__20241231</t>
        </is>
      </c>
      <c r="M259" t="inlineStr">
        <is>
          <t>Spread Effect = Change in Spread × average of current and prior FLEV.|Do not interpret Spread movement as a specific financing-policy cause without additional evidence.</t>
        </is>
      </c>
      <c r="O259" t="inlineStr">
        <is>
          <t>pending</t>
        </is>
      </c>
      <c r="P259" t="inlineStr">
        <is>
          <t>spread_effect_on_roe_change</t>
        </is>
      </c>
      <c r="Q259" t="n">
        <v>60</v>
      </c>
      <c r="R259" t="n">
        <v>4</v>
      </c>
      <c r="S259" t="inlineStr">
        <is>
          <t>2025-12-31</t>
        </is>
      </c>
    </row>
    <row r="260">
      <c r="A260" t="inlineStr">
        <is>
          <t>financing_effect_on_roe_change__20231231</t>
        </is>
      </c>
      <c r="B260" t="n">
        <v>259</v>
      </c>
      <c r="C260" t="inlineStr">
        <is>
          <t>Financing Effect on Change in ROE</t>
        </is>
      </c>
      <c r="D260" t="inlineStr">
        <is>
          <t>Leverage Effect plus Spread Effect.</t>
        </is>
      </c>
      <c r="E260" t="inlineStr">
        <is>
          <t>roe_attribution.financing_effect.2023-12-31</t>
        </is>
      </c>
      <c r="F260" t="inlineStr">
        <is>
          <t>roe_attribution</t>
        </is>
      </c>
      <c r="G260" t="inlineStr">
        <is>
          <t>ALT DuPont</t>
        </is>
      </c>
      <c r="H260" t="inlineStr">
        <is>
          <t>D39</t>
        </is>
      </c>
      <c r="I260">
        <f>D37+D38</f>
        <v/>
      </c>
      <c r="J260" t="n">
        <v>-0.0238692301738988</v>
      </c>
      <c r="K260" t="n">
        <v>0.01</v>
      </c>
      <c r="L260" t="inlineStr">
        <is>
          <t>leverage_effect_on_roe_change__20231231,spread_effect_on_roe_change__20231231</t>
        </is>
      </c>
      <c r="M260" t="inlineStr">
        <is>
          <t>Financing Effect = Leverage Effect + Spread Effect.|This equals the change in FLEV × Spread when all required inputs are defined.</t>
        </is>
      </c>
      <c r="O260" t="inlineStr">
        <is>
          <t>pending</t>
        </is>
      </c>
      <c r="P260" t="inlineStr">
        <is>
          <t>financing_effect_on_roe_change</t>
        </is>
      </c>
      <c r="Q260" t="n">
        <v>61</v>
      </c>
      <c r="R260" t="n">
        <v>2</v>
      </c>
      <c r="S260" t="inlineStr">
        <is>
          <t>2023-12-31</t>
        </is>
      </c>
    </row>
    <row r="261">
      <c r="A261" t="inlineStr">
        <is>
          <t>financing_effect_on_roe_change__20241231</t>
        </is>
      </c>
      <c r="B261" t="n">
        <v>260</v>
      </c>
      <c r="C261" t="inlineStr">
        <is>
          <t>Financing Effect on Change in ROE</t>
        </is>
      </c>
      <c r="D261" t="inlineStr">
        <is>
          <t>Leverage Effect plus Spread Effect.</t>
        </is>
      </c>
      <c r="E261" t="inlineStr">
        <is>
          <t>roe_attribution.financing_effect.2024-12-31</t>
        </is>
      </c>
      <c r="F261" t="inlineStr">
        <is>
          <t>roe_attribution</t>
        </is>
      </c>
      <c r="G261" t="inlineStr">
        <is>
          <t>ALT DuPont</t>
        </is>
      </c>
      <c r="H261" t="inlineStr">
        <is>
          <t>E39</t>
        </is>
      </c>
      <c r="I261">
        <f>E37+E38</f>
        <v/>
      </c>
      <c r="J261" t="n">
        <v>-0.0193825219642135</v>
      </c>
      <c r="K261" t="n">
        <v>0.01</v>
      </c>
      <c r="L261" t="inlineStr">
        <is>
          <t>leverage_effect_on_roe_change__20241231,spread_effect_on_roe_change__20241231</t>
        </is>
      </c>
      <c r="M261" t="inlineStr">
        <is>
          <t>Financing Effect = Leverage Effect + Spread Effect.|This equals the change in FLEV × Spread when all required inputs are defined.</t>
        </is>
      </c>
      <c r="O261" t="inlineStr">
        <is>
          <t>pending</t>
        </is>
      </c>
      <c r="P261" t="inlineStr">
        <is>
          <t>financing_effect_on_roe_change</t>
        </is>
      </c>
      <c r="Q261" t="n">
        <v>61</v>
      </c>
      <c r="R261" t="n">
        <v>3</v>
      </c>
      <c r="S261" t="inlineStr">
        <is>
          <t>2024-12-31</t>
        </is>
      </c>
    </row>
    <row r="262">
      <c r="A262" t="inlineStr">
        <is>
          <t>financing_effect_on_roe_change__20251231</t>
        </is>
      </c>
      <c r="B262" t="n">
        <v>261</v>
      </c>
      <c r="C262" t="inlineStr">
        <is>
          <t>Financing Effect on Change in ROE</t>
        </is>
      </c>
      <c r="D262" t="inlineStr">
        <is>
          <t>Leverage Effect plus Spread Effect.</t>
        </is>
      </c>
      <c r="E262" t="inlineStr">
        <is>
          <t>roe_attribution.financing_effect.2025-12-31</t>
        </is>
      </c>
      <c r="F262" t="inlineStr">
        <is>
          <t>roe_attribution</t>
        </is>
      </c>
      <c r="G262" t="inlineStr">
        <is>
          <t>ALT DuPont</t>
        </is>
      </c>
      <c r="H262" t="inlineStr">
        <is>
          <t>F39</t>
        </is>
      </c>
      <c r="I262">
        <f>F37+F38</f>
        <v/>
      </c>
      <c r="J262" t="n">
        <v>-0.01404907001168616</v>
      </c>
      <c r="K262" t="n">
        <v>0.01</v>
      </c>
      <c r="L262" t="inlineStr">
        <is>
          <t>leverage_effect_on_roe_change__20251231,spread_effect_on_roe_change__20251231</t>
        </is>
      </c>
      <c r="M262" t="inlineStr">
        <is>
          <t>Financing Effect = Leverage Effect + Spread Effect.|This equals the change in FLEV × Spread when all required inputs are defined.</t>
        </is>
      </c>
      <c r="O262" t="inlineStr">
        <is>
          <t>pending</t>
        </is>
      </c>
      <c r="P262" t="inlineStr">
        <is>
          <t>financing_effect_on_roe_change</t>
        </is>
      </c>
      <c r="Q262" t="n">
        <v>61</v>
      </c>
      <c r="R262" t="n">
        <v>4</v>
      </c>
      <c r="S262" t="inlineStr">
        <is>
          <t>2025-12-31</t>
        </is>
      </c>
    </row>
    <row r="263">
      <c r="A263" t="inlineStr">
        <is>
          <t>roe_change_from_drivers__20231231</t>
        </is>
      </c>
      <c r="B263" t="n">
        <v>262</v>
      </c>
      <c r="C263" t="inlineStr">
        <is>
          <t>Change in ROE from Operating + Financing Drivers</t>
        </is>
      </c>
      <c r="D263" t="inlineStr">
        <is>
          <t>Operating Effect plus Financing Effect.</t>
        </is>
      </c>
      <c r="E263" t="inlineStr">
        <is>
          <t>roe_attribution.roe_change_from_drivers.2023-12-31</t>
        </is>
      </c>
      <c r="F263" t="inlineStr">
        <is>
          <t>roe_attribution</t>
        </is>
      </c>
      <c r="G263" t="inlineStr">
        <is>
          <t>ALT DuPont</t>
        </is>
      </c>
      <c r="H263" t="inlineStr">
        <is>
          <t>D40</t>
        </is>
      </c>
      <c r="I263">
        <f>D36+D39</f>
        <v/>
      </c>
      <c r="J263" t="n">
        <v>-0.01513661202185795</v>
      </c>
      <c r="K263" t="n">
        <v>0.01</v>
      </c>
      <c r="L263" t="inlineStr">
        <is>
          <t>operating_effect_on_roe_change__20231231,financing_effect_on_roe_change__20231231</t>
        </is>
      </c>
      <c r="M263" t="inlineStr">
        <is>
          <t>Change in ROE from Drivers = Operating Effect + Financing Effect.|When all required terms are defined, this must reconcile to Direct Change in Decomposed ROE.</t>
        </is>
      </c>
      <c r="O263" t="inlineStr">
        <is>
          <t>pending</t>
        </is>
      </c>
      <c r="P263" t="inlineStr">
        <is>
          <t>roe_change_from_drivers</t>
        </is>
      </c>
      <c r="Q263" t="n">
        <v>62</v>
      </c>
      <c r="R263" t="n">
        <v>2</v>
      </c>
      <c r="S263" t="inlineStr">
        <is>
          <t>2023-12-31</t>
        </is>
      </c>
    </row>
    <row r="264">
      <c r="A264" t="inlineStr">
        <is>
          <t>roe_change_from_drivers__20241231</t>
        </is>
      </c>
      <c r="B264" t="n">
        <v>263</v>
      </c>
      <c r="C264" t="inlineStr">
        <is>
          <t>Change in ROE from Operating + Financing Drivers</t>
        </is>
      </c>
      <c r="D264" t="inlineStr">
        <is>
          <t>Operating Effect plus Financing Effect.</t>
        </is>
      </c>
      <c r="E264" t="inlineStr">
        <is>
          <t>roe_attribution.roe_change_from_drivers.2024-12-31</t>
        </is>
      </c>
      <c r="F264" t="inlineStr">
        <is>
          <t>roe_attribution</t>
        </is>
      </c>
      <c r="G264" t="inlineStr">
        <is>
          <t>ALT DuPont</t>
        </is>
      </c>
      <c r="H264" t="inlineStr">
        <is>
          <t>E40</t>
        </is>
      </c>
      <c r="I264">
        <f>E36+E39</f>
        <v/>
      </c>
      <c r="J264" t="n">
        <v>-0.01762529274004684</v>
      </c>
      <c r="K264" t="n">
        <v>0.01</v>
      </c>
      <c r="L264" t="inlineStr">
        <is>
          <t>operating_effect_on_roe_change__20241231,financing_effect_on_roe_change__20241231</t>
        </is>
      </c>
      <c r="M264" t="inlineStr">
        <is>
          <t>Change in ROE from Drivers = Operating Effect + Financing Effect.|When all required terms are defined, this must reconcile to Direct Change in Decomposed ROE.</t>
        </is>
      </c>
      <c r="O264" t="inlineStr">
        <is>
          <t>pending</t>
        </is>
      </c>
      <c r="P264" t="inlineStr">
        <is>
          <t>roe_change_from_drivers</t>
        </is>
      </c>
      <c r="Q264" t="n">
        <v>62</v>
      </c>
      <c r="R264" t="n">
        <v>3</v>
      </c>
      <c r="S264" t="inlineStr">
        <is>
          <t>2024-12-31</t>
        </is>
      </c>
    </row>
    <row r="265">
      <c r="A265" t="inlineStr">
        <is>
          <t>roe_change_from_drivers__20251231</t>
        </is>
      </c>
      <c r="B265" t="n">
        <v>264</v>
      </c>
      <c r="C265" t="inlineStr">
        <is>
          <t>Change in ROE from Operating + Financing Drivers</t>
        </is>
      </c>
      <c r="D265" t="inlineStr">
        <is>
          <t>Operating Effect plus Financing Effect.</t>
        </is>
      </c>
      <c r="E265" t="inlineStr">
        <is>
          <t>roe_attribution.roe_change_from_drivers.2025-12-31</t>
        </is>
      </c>
      <c r="F265" t="inlineStr">
        <is>
          <t>roe_attribution</t>
        </is>
      </c>
      <c r="G265" t="inlineStr">
        <is>
          <t>ALT DuPont</t>
        </is>
      </c>
      <c r="H265" t="inlineStr">
        <is>
          <t>F40</t>
        </is>
      </c>
      <c r="I265">
        <f>F36+F39</f>
        <v/>
      </c>
      <c r="J265" t="n">
        <v>-0.01785537918871245</v>
      </c>
      <c r="K265" t="n">
        <v>0.01</v>
      </c>
      <c r="L265" t="inlineStr">
        <is>
          <t>operating_effect_on_roe_change__20251231,financing_effect_on_roe_change__20251231</t>
        </is>
      </c>
      <c r="M265" t="inlineStr">
        <is>
          <t>Change in ROE from Drivers = Operating Effect + Financing Effect.|When all required terms are defined, this must reconcile to Direct Change in Decomposed ROE.</t>
        </is>
      </c>
      <c r="O265" t="inlineStr">
        <is>
          <t>pending</t>
        </is>
      </c>
      <c r="P265" t="inlineStr">
        <is>
          <t>roe_change_from_drivers</t>
        </is>
      </c>
      <c r="Q265" t="n">
        <v>62</v>
      </c>
      <c r="R265" t="n">
        <v>4</v>
      </c>
      <c r="S265" t="inlineStr">
        <is>
          <t>2025-12-31</t>
        </is>
      </c>
    </row>
    <row r="266">
      <c r="A266" t="inlineStr">
        <is>
          <t>operating_cash_flow_change__20221231</t>
        </is>
      </c>
      <c r="B266" t="n">
        <v>265</v>
      </c>
      <c r="C266" t="inlineStr">
        <is>
          <t>Change in Operating Cash Flow</t>
        </is>
      </c>
      <c r="D266" t="inlineStr">
        <is>
          <t>Current CFO minus prior CFO.</t>
        </is>
      </c>
      <c r="E266" t="inlineStr">
        <is>
          <t>quality_change.operating_cash_flow_change.2022-12-31</t>
        </is>
      </c>
      <c r="F266" t="inlineStr">
        <is>
          <t>earnings_quality_change</t>
        </is>
      </c>
      <c r="G266" t="inlineStr">
        <is>
          <t>Earnings Quality</t>
        </is>
      </c>
      <c r="H266" t="inlineStr">
        <is>
          <t>C15</t>
        </is>
      </c>
      <c r="I266">
        <f>C5-B5</f>
        <v/>
      </c>
      <c r="J266" t="n">
        <v>150</v>
      </c>
      <c r="K266" t="n">
        <v>0.01</v>
      </c>
      <c r="L266" t="inlineStr">
        <is>
          <t>operating_cash_flow_link__20221231,operating_cash_flow_link__20211231</t>
        </is>
      </c>
      <c r="M266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66" t="inlineStr">
        <is>
          <t>pending</t>
        </is>
      </c>
      <c r="P266" t="inlineStr">
        <is>
          <t>operating_cash_flow_change</t>
        </is>
      </c>
      <c r="Q266" t="n">
        <v>63</v>
      </c>
      <c r="R266" t="n">
        <v>1</v>
      </c>
      <c r="S266" t="inlineStr">
        <is>
          <t>2022-12-31</t>
        </is>
      </c>
    </row>
    <row r="267">
      <c r="A267" t="inlineStr">
        <is>
          <t>operating_cash_flow_change__20231231</t>
        </is>
      </c>
      <c r="B267" t="n">
        <v>266</v>
      </c>
      <c r="C267" t="inlineStr">
        <is>
          <t>Change in Operating Cash Flow</t>
        </is>
      </c>
      <c r="D267" t="inlineStr">
        <is>
          <t>Current CFO minus prior CFO.</t>
        </is>
      </c>
      <c r="E267" t="inlineStr">
        <is>
          <t>quality_change.operating_cash_flow_change.2023-12-31</t>
        </is>
      </c>
      <c r="F267" t="inlineStr">
        <is>
          <t>earnings_quality_change</t>
        </is>
      </c>
      <c r="G267" t="inlineStr">
        <is>
          <t>Earnings Quality</t>
        </is>
      </c>
      <c r="H267" t="inlineStr">
        <is>
          <t>D15</t>
        </is>
      </c>
      <c r="I267">
        <f>D5-C5</f>
        <v/>
      </c>
      <c r="J267" t="n">
        <v>150</v>
      </c>
      <c r="K267" t="n">
        <v>0.01</v>
      </c>
      <c r="L267" t="inlineStr">
        <is>
          <t>operating_cash_flow_link__20231231,operating_cash_flow_link__20221231</t>
        </is>
      </c>
      <c r="M267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67" t="inlineStr">
        <is>
          <t>pending</t>
        </is>
      </c>
      <c r="P267" t="inlineStr">
        <is>
          <t>operating_cash_flow_change</t>
        </is>
      </c>
      <c r="Q267" t="n">
        <v>63</v>
      </c>
      <c r="R267" t="n">
        <v>2</v>
      </c>
      <c r="S267" t="inlineStr">
        <is>
          <t>2023-12-31</t>
        </is>
      </c>
    </row>
    <row r="268">
      <c r="A268" t="inlineStr">
        <is>
          <t>operating_cash_flow_change__20241231</t>
        </is>
      </c>
      <c r="B268" t="n">
        <v>267</v>
      </c>
      <c r="C268" t="inlineStr">
        <is>
          <t>Change in Operating Cash Flow</t>
        </is>
      </c>
      <c r="D268" t="inlineStr">
        <is>
          <t>Current CFO minus prior CFO.</t>
        </is>
      </c>
      <c r="E268" t="inlineStr">
        <is>
          <t>quality_change.operating_cash_flow_change.2024-12-31</t>
        </is>
      </c>
      <c r="F268" t="inlineStr">
        <is>
          <t>earnings_quality_change</t>
        </is>
      </c>
      <c r="G268" t="inlineStr">
        <is>
          <t>Earnings Quality</t>
        </is>
      </c>
      <c r="H268" t="inlineStr">
        <is>
          <t>E15</t>
        </is>
      </c>
      <c r="I268">
        <f>E5-D5</f>
        <v/>
      </c>
      <c r="J268" t="n">
        <v>180</v>
      </c>
      <c r="K268" t="n">
        <v>0.01</v>
      </c>
      <c r="L268" t="inlineStr">
        <is>
          <t>operating_cash_flow_link__20241231,operating_cash_flow_link__20231231</t>
        </is>
      </c>
      <c r="M268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68" t="inlineStr">
        <is>
          <t>pending</t>
        </is>
      </c>
      <c r="P268" t="inlineStr">
        <is>
          <t>operating_cash_flow_change</t>
        </is>
      </c>
      <c r="Q268" t="n">
        <v>63</v>
      </c>
      <c r="R268" t="n">
        <v>3</v>
      </c>
      <c r="S268" t="inlineStr">
        <is>
          <t>2024-12-31</t>
        </is>
      </c>
    </row>
    <row r="269">
      <c r="A269" t="inlineStr">
        <is>
          <t>operating_cash_flow_change__20251231</t>
        </is>
      </c>
      <c r="B269" t="n">
        <v>268</v>
      </c>
      <c r="C269" t="inlineStr">
        <is>
          <t>Change in Operating Cash Flow</t>
        </is>
      </c>
      <c r="D269" t="inlineStr">
        <is>
          <t>Current CFO minus prior CFO.</t>
        </is>
      </c>
      <c r="E269" t="inlineStr">
        <is>
          <t>quality_change.operating_cash_flow_change.2025-12-31</t>
        </is>
      </c>
      <c r="F269" t="inlineStr">
        <is>
          <t>earnings_quality_change</t>
        </is>
      </c>
      <c r="G269" t="inlineStr">
        <is>
          <t>Earnings Quality</t>
        </is>
      </c>
      <c r="H269" t="inlineStr">
        <is>
          <t>F15</t>
        </is>
      </c>
      <c r="I269">
        <f>F5-E5</f>
        <v/>
      </c>
      <c r="J269" t="n">
        <v>140</v>
      </c>
      <c r="K269" t="n">
        <v>0.01</v>
      </c>
      <c r="L269" t="inlineStr">
        <is>
          <t>operating_cash_flow_link__20251231,operating_cash_flow_link__20241231</t>
        </is>
      </c>
      <c r="M269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69" t="inlineStr">
        <is>
          <t>pending</t>
        </is>
      </c>
      <c r="P269" t="inlineStr">
        <is>
          <t>operating_cash_flow_change</t>
        </is>
      </c>
      <c r="Q269" t="n">
        <v>63</v>
      </c>
      <c r="R269" t="n">
        <v>4</v>
      </c>
      <c r="S269" t="inlineStr">
        <is>
          <t>2025-12-31</t>
        </is>
      </c>
    </row>
    <row r="270">
      <c r="A270" t="inlineStr">
        <is>
          <t>cash_conversion_ratio_change__20221231</t>
        </is>
      </c>
      <c r="B270" t="n">
        <v>269</v>
      </c>
      <c r="C270" t="inlineStr">
        <is>
          <t>Change in Cash Conversion Ratio</t>
        </is>
      </c>
      <c r="D270" t="inlineStr">
        <is>
          <t>Current cash conversion ratio minus prior ratio.</t>
        </is>
      </c>
      <c r="E270" t="inlineStr">
        <is>
          <t>quality_change.cash_conversion_ratio_change.2022-12-31</t>
        </is>
      </c>
      <c r="F270" t="inlineStr">
        <is>
          <t>earnings_quality_change</t>
        </is>
      </c>
      <c r="G270" t="inlineStr">
        <is>
          <t>Earnings Quality</t>
        </is>
      </c>
      <c r="H270" t="inlineStr">
        <is>
          <t>C16</t>
        </is>
      </c>
      <c r="I270">
        <f>C7-B7</f>
        <v/>
      </c>
      <c r="J270" t="n">
        <v>0.01011291542983528</v>
      </c>
      <c r="K270" t="n">
        <v>0.01</v>
      </c>
      <c r="L270" t="inlineStr">
        <is>
          <t>cash_conversion_ratio__20221231,cash_conversion_ratio__20211231</t>
        </is>
      </c>
      <c r="M270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70" t="inlineStr">
        <is>
          <t>pending</t>
        </is>
      </c>
      <c r="P270" t="inlineStr">
        <is>
          <t>cash_conversion_ratio_change</t>
        </is>
      </c>
      <c r="Q270" t="n">
        <v>64</v>
      </c>
      <c r="R270" t="n">
        <v>1</v>
      </c>
      <c r="S270" t="inlineStr">
        <is>
          <t>2022-12-31</t>
        </is>
      </c>
    </row>
    <row r="271">
      <c r="A271" t="inlineStr">
        <is>
          <t>cash_conversion_ratio_change__20231231</t>
        </is>
      </c>
      <c r="B271" t="n">
        <v>270</v>
      </c>
      <c r="C271" t="inlineStr">
        <is>
          <t>Change in Cash Conversion Ratio</t>
        </is>
      </c>
      <c r="D271" t="inlineStr">
        <is>
          <t>Current cash conversion ratio minus prior ratio.</t>
        </is>
      </c>
      <c r="E271" t="inlineStr">
        <is>
          <t>quality_change.cash_conversion_ratio_change.2023-12-31</t>
        </is>
      </c>
      <c r="F271" t="inlineStr">
        <is>
          <t>earnings_quality_change</t>
        </is>
      </c>
      <c r="G271" t="inlineStr">
        <is>
          <t>Earnings Quality</t>
        </is>
      </c>
      <c r="H271" t="inlineStr">
        <is>
          <t>D16</t>
        </is>
      </c>
      <c r="I271">
        <f>D7-C7</f>
        <v/>
      </c>
      <c r="J271" t="n">
        <v>-0.002426193758687911</v>
      </c>
      <c r="K271" t="n">
        <v>0.01</v>
      </c>
      <c r="L271" t="inlineStr">
        <is>
          <t>cash_conversion_ratio__20231231,cash_conversion_ratio__20221231</t>
        </is>
      </c>
      <c r="M271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71" t="inlineStr">
        <is>
          <t>pending</t>
        </is>
      </c>
      <c r="P271" t="inlineStr">
        <is>
          <t>cash_conversion_ratio_change</t>
        </is>
      </c>
      <c r="Q271" t="n">
        <v>64</v>
      </c>
      <c r="R271" t="n">
        <v>2</v>
      </c>
      <c r="S271" t="inlineStr">
        <is>
          <t>2023-12-31</t>
        </is>
      </c>
    </row>
    <row r="272">
      <c r="A272" t="inlineStr">
        <is>
          <t>cash_conversion_ratio_change__20241231</t>
        </is>
      </c>
      <c r="B272" t="n">
        <v>271</v>
      </c>
      <c r="C272" t="inlineStr">
        <is>
          <t>Change in Cash Conversion Ratio</t>
        </is>
      </c>
      <c r="D272" t="inlineStr">
        <is>
          <t>Current cash conversion ratio minus prior ratio.</t>
        </is>
      </c>
      <c r="E272" t="inlineStr">
        <is>
          <t>quality_change.cash_conversion_ratio_change.2024-12-31</t>
        </is>
      </c>
      <c r="F272" t="inlineStr">
        <is>
          <t>earnings_quality_change</t>
        </is>
      </c>
      <c r="G272" t="inlineStr">
        <is>
          <t>Earnings Quality</t>
        </is>
      </c>
      <c r="H272" t="inlineStr">
        <is>
          <t>E16</t>
        </is>
      </c>
      <c r="I272">
        <f>E7-D7</f>
        <v/>
      </c>
      <c r="J272" t="n">
        <v>-0.003411279809202417</v>
      </c>
      <c r="K272" t="n">
        <v>0.01</v>
      </c>
      <c r="L272" t="inlineStr">
        <is>
          <t>cash_conversion_ratio__20241231,cash_conversion_ratio__20231231</t>
        </is>
      </c>
      <c r="M272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72" t="inlineStr">
        <is>
          <t>pending</t>
        </is>
      </c>
      <c r="P272" t="inlineStr">
        <is>
          <t>cash_conversion_ratio_change</t>
        </is>
      </c>
      <c r="Q272" t="n">
        <v>64</v>
      </c>
      <c r="R272" t="n">
        <v>3</v>
      </c>
      <c r="S272" t="inlineStr">
        <is>
          <t>2024-12-31</t>
        </is>
      </c>
    </row>
    <row r="273">
      <c r="A273" t="inlineStr">
        <is>
          <t>cash_conversion_ratio_change__20251231</t>
        </is>
      </c>
      <c r="B273" t="n">
        <v>272</v>
      </c>
      <c r="C273" t="inlineStr">
        <is>
          <t>Change in Cash Conversion Ratio</t>
        </is>
      </c>
      <c r="D273" t="inlineStr">
        <is>
          <t>Current cash conversion ratio minus prior ratio.</t>
        </is>
      </c>
      <c r="E273" t="inlineStr">
        <is>
          <t>quality_change.cash_conversion_ratio_change.2025-12-31</t>
        </is>
      </c>
      <c r="F273" t="inlineStr">
        <is>
          <t>earnings_quality_change</t>
        </is>
      </c>
      <c r="G273" t="inlineStr">
        <is>
          <t>Earnings Quality</t>
        </is>
      </c>
      <c r="H273" t="inlineStr">
        <is>
          <t>F16</t>
        </is>
      </c>
      <c r="I273">
        <f>F7-E7</f>
        <v/>
      </c>
      <c r="J273" t="n">
        <v>-0.02128805539800604</v>
      </c>
      <c r="K273" t="n">
        <v>0.01</v>
      </c>
      <c r="L273" t="inlineStr">
        <is>
          <t>cash_conversion_ratio__20251231,cash_conversion_ratio__20241231</t>
        </is>
      </c>
      <c r="M273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73" t="inlineStr">
        <is>
          <t>pending</t>
        </is>
      </c>
      <c r="P273" t="inlineStr">
        <is>
          <t>cash_conversion_ratio_change</t>
        </is>
      </c>
      <c r="Q273" t="n">
        <v>64</v>
      </c>
      <c r="R273" t="n">
        <v>4</v>
      </c>
      <c r="S273" t="inlineStr">
        <is>
          <t>2025-12-31</t>
        </is>
      </c>
    </row>
    <row r="274">
      <c r="A274" t="inlineStr">
        <is>
          <t>total_accruals_change__20221231</t>
        </is>
      </c>
      <c r="B274" t="n">
        <v>273</v>
      </c>
      <c r="C274" t="inlineStr">
        <is>
          <t>Change in Total Accruals</t>
        </is>
      </c>
      <c r="D274" t="inlineStr">
        <is>
          <t>Current Total Accruals minus prior Total Accruals.</t>
        </is>
      </c>
      <c r="E274" t="inlineStr">
        <is>
          <t>quality_change.total_accruals_change.2022-12-31</t>
        </is>
      </c>
      <c r="F274" t="inlineStr">
        <is>
          <t>earnings_quality_change</t>
        </is>
      </c>
      <c r="G274" t="inlineStr">
        <is>
          <t>Earnings Quality</t>
        </is>
      </c>
      <c r="H274" t="inlineStr">
        <is>
          <t>C17</t>
        </is>
      </c>
      <c r="I274">
        <f>C8-B8</f>
        <v/>
      </c>
      <c r="J274" t="n">
        <v>78</v>
      </c>
      <c r="K274" t="n">
        <v>0.01</v>
      </c>
      <c r="L274" t="inlineStr">
        <is>
          <t>total_accruals__20221231,total_accruals__20211231</t>
        </is>
      </c>
      <c r="M274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74" t="inlineStr">
        <is>
          <t>pending</t>
        </is>
      </c>
      <c r="P274" t="inlineStr">
        <is>
          <t>total_accruals_change</t>
        </is>
      </c>
      <c r="Q274" t="n">
        <v>65</v>
      </c>
      <c r="R274" t="n">
        <v>1</v>
      </c>
      <c r="S274" t="inlineStr">
        <is>
          <t>2022-12-31</t>
        </is>
      </c>
    </row>
    <row r="275">
      <c r="A275" t="inlineStr">
        <is>
          <t>total_accruals_change__20231231</t>
        </is>
      </c>
      <c r="B275" t="n">
        <v>274</v>
      </c>
      <c r="C275" t="inlineStr">
        <is>
          <t>Change in Total Accruals</t>
        </is>
      </c>
      <c r="D275" t="inlineStr">
        <is>
          <t>Current Total Accruals minus prior Total Accruals.</t>
        </is>
      </c>
      <c r="E275" t="inlineStr">
        <is>
          <t>quality_change.total_accruals_change.2023-12-31</t>
        </is>
      </c>
      <c r="F275" t="inlineStr">
        <is>
          <t>earnings_quality_change</t>
        </is>
      </c>
      <c r="G275" t="inlineStr">
        <is>
          <t>Earnings Quality</t>
        </is>
      </c>
      <c r="H275" t="inlineStr">
        <is>
          <t>D17</t>
        </is>
      </c>
      <c r="I275">
        <f>D8-C8</f>
        <v/>
      </c>
      <c r="J275" t="n">
        <v>145</v>
      </c>
      <c r="K275" t="n">
        <v>0.01</v>
      </c>
      <c r="L275" t="inlineStr">
        <is>
          <t>total_accruals__20231231,total_accruals__20221231</t>
        </is>
      </c>
      <c r="M275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75" t="inlineStr">
        <is>
          <t>pending</t>
        </is>
      </c>
      <c r="P275" t="inlineStr">
        <is>
          <t>total_accruals_change</t>
        </is>
      </c>
      <c r="Q275" t="n">
        <v>65</v>
      </c>
      <c r="R275" t="n">
        <v>2</v>
      </c>
      <c r="S275" t="inlineStr">
        <is>
          <t>2023-12-31</t>
        </is>
      </c>
    </row>
    <row r="276">
      <c r="A276" t="inlineStr">
        <is>
          <t>total_accruals_change__20241231</t>
        </is>
      </c>
      <c r="B276" t="n">
        <v>275</v>
      </c>
      <c r="C276" t="inlineStr">
        <is>
          <t>Change in Total Accruals</t>
        </is>
      </c>
      <c r="D276" t="inlineStr">
        <is>
          <t>Current Total Accruals minus prior Total Accruals.</t>
        </is>
      </c>
      <c r="E276" t="inlineStr">
        <is>
          <t>quality_change.total_accruals_change.2024-12-31</t>
        </is>
      </c>
      <c r="F276" t="inlineStr">
        <is>
          <t>earnings_quality_change</t>
        </is>
      </c>
      <c r="G276" t="inlineStr">
        <is>
          <t>Earnings Quality</t>
        </is>
      </c>
      <c r="H276" t="inlineStr">
        <is>
          <t>E17</t>
        </is>
      </c>
      <c r="I276">
        <f>E8-D8</f>
        <v/>
      </c>
      <c r="J276" t="n">
        <v>181</v>
      </c>
      <c r="K276" t="n">
        <v>0.01</v>
      </c>
      <c r="L276" t="inlineStr">
        <is>
          <t>total_accruals__20241231,total_accruals__20231231</t>
        </is>
      </c>
      <c r="M276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76" t="inlineStr">
        <is>
          <t>pending</t>
        </is>
      </c>
      <c r="P276" t="inlineStr">
        <is>
          <t>total_accruals_change</t>
        </is>
      </c>
      <c r="Q276" t="n">
        <v>65</v>
      </c>
      <c r="R276" t="n">
        <v>3</v>
      </c>
      <c r="S276" t="inlineStr">
        <is>
          <t>2024-12-31</t>
        </is>
      </c>
    </row>
    <row r="277">
      <c r="A277" t="inlineStr">
        <is>
          <t>total_accruals_change__20251231</t>
        </is>
      </c>
      <c r="B277" t="n">
        <v>276</v>
      </c>
      <c r="C277" t="inlineStr">
        <is>
          <t>Change in Total Accruals</t>
        </is>
      </c>
      <c r="D277" t="inlineStr">
        <is>
          <t>Current Total Accruals minus prior Total Accruals.</t>
        </is>
      </c>
      <c r="E277" t="inlineStr">
        <is>
          <t>quality_change.total_accruals_change.2025-12-31</t>
        </is>
      </c>
      <c r="F277" t="inlineStr">
        <is>
          <t>earnings_quality_change</t>
        </is>
      </c>
      <c r="G277" t="inlineStr">
        <is>
          <t>Earnings Quality</t>
        </is>
      </c>
      <c r="H277" t="inlineStr">
        <is>
          <t>F17</t>
        </is>
      </c>
      <c r="I277">
        <f>F8-E8</f>
        <v/>
      </c>
      <c r="J277" t="n">
        <v>288</v>
      </c>
      <c r="K277" t="n">
        <v>0.01</v>
      </c>
      <c r="L277" t="inlineStr">
        <is>
          <t>total_accruals__20251231,total_accruals__20241231</t>
        </is>
      </c>
      <c r="M277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77" t="inlineStr">
        <is>
          <t>pending</t>
        </is>
      </c>
      <c r="P277" t="inlineStr">
        <is>
          <t>total_accruals_change</t>
        </is>
      </c>
      <c r="Q277" t="n">
        <v>65</v>
      </c>
      <c r="R277" t="n">
        <v>4</v>
      </c>
      <c r="S277" t="inlineStr">
        <is>
          <t>2025-12-31</t>
        </is>
      </c>
    </row>
    <row r="278">
      <c r="A278" t="inlineStr">
        <is>
          <t>accrual_ratio_change__20231231</t>
        </is>
      </c>
      <c r="B278" t="n">
        <v>277</v>
      </c>
      <c r="C278" t="inlineStr">
        <is>
          <t>Change in Accrual Ratio</t>
        </is>
      </c>
      <c r="D278" t="inlineStr">
        <is>
          <t>Current accrual ratio minus prior comparable accrual ratio.</t>
        </is>
      </c>
      <c r="E278" t="inlineStr">
        <is>
          <t>quality_change.accrual_ratio_change.2023-12-31</t>
        </is>
      </c>
      <c r="F278" t="inlineStr">
        <is>
          <t>earnings_quality_change</t>
        </is>
      </c>
      <c r="G278" t="inlineStr">
        <is>
          <t>Earnings Quality</t>
        </is>
      </c>
      <c r="H278" t="inlineStr">
        <is>
          <t>D18</t>
        </is>
      </c>
      <c r="I278">
        <f>D12-C12</f>
        <v/>
      </c>
      <c r="J278" t="n">
        <v>0.002023945434852598</v>
      </c>
      <c r="K278" t="n">
        <v>0.01</v>
      </c>
      <c r="L278" t="inlineStr">
        <is>
          <t>accrual_ratio__20231231,accrual_ratio__20221231</t>
        </is>
      </c>
      <c r="M278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78" t="inlineStr">
        <is>
          <t>pending</t>
        </is>
      </c>
      <c r="P278" t="inlineStr">
        <is>
          <t>accrual_ratio_change</t>
        </is>
      </c>
      <c r="Q278" t="n">
        <v>66</v>
      </c>
      <c r="R278" t="n">
        <v>2</v>
      </c>
      <c r="S278" t="inlineStr">
        <is>
          <t>2023-12-31</t>
        </is>
      </c>
    </row>
    <row r="279">
      <c r="A279" t="inlineStr">
        <is>
          <t>accrual_ratio_change__20241231</t>
        </is>
      </c>
      <c r="B279" t="n">
        <v>278</v>
      </c>
      <c r="C279" t="inlineStr">
        <is>
          <t>Change in Accrual Ratio</t>
        </is>
      </c>
      <c r="D279" t="inlineStr">
        <is>
          <t>Current accrual ratio minus prior comparable accrual ratio.</t>
        </is>
      </c>
      <c r="E279" t="inlineStr">
        <is>
          <t>quality_change.accrual_ratio_change.2024-12-31</t>
        </is>
      </c>
      <c r="F279" t="inlineStr">
        <is>
          <t>earnings_quality_change</t>
        </is>
      </c>
      <c r="G279" t="inlineStr">
        <is>
          <t>Earnings Quality</t>
        </is>
      </c>
      <c r="H279" t="inlineStr">
        <is>
          <t>E18</t>
        </is>
      </c>
      <c r="I279">
        <f>E12-D12</f>
        <v/>
      </c>
      <c r="J279" t="n">
        <v>0.002078863509207246</v>
      </c>
      <c r="K279" t="n">
        <v>0.01</v>
      </c>
      <c r="L279" t="inlineStr">
        <is>
          <t>accrual_ratio__20241231,accrual_ratio__20231231</t>
        </is>
      </c>
      <c r="M279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79" t="inlineStr">
        <is>
          <t>pending</t>
        </is>
      </c>
      <c r="P279" t="inlineStr">
        <is>
          <t>accrual_ratio_change</t>
        </is>
      </c>
      <c r="Q279" t="n">
        <v>66</v>
      </c>
      <c r="R279" t="n">
        <v>3</v>
      </c>
      <c r="S279" t="inlineStr">
        <is>
          <t>2024-12-31</t>
        </is>
      </c>
    </row>
    <row r="280">
      <c r="A280" t="inlineStr">
        <is>
          <t>accrual_ratio_change__20251231</t>
        </is>
      </c>
      <c r="B280" t="n">
        <v>279</v>
      </c>
      <c r="C280" t="inlineStr">
        <is>
          <t>Change in Accrual Ratio</t>
        </is>
      </c>
      <c r="D280" t="inlineStr">
        <is>
          <t>Current accrual ratio minus prior comparable accrual ratio.</t>
        </is>
      </c>
      <c r="E280" t="inlineStr">
        <is>
          <t>quality_change.accrual_ratio_change.2025-12-31</t>
        </is>
      </c>
      <c r="F280" t="inlineStr">
        <is>
          <t>earnings_quality_change</t>
        </is>
      </c>
      <c r="G280" t="inlineStr">
        <is>
          <t>Earnings Quality</t>
        </is>
      </c>
      <c r="H280" t="inlineStr">
        <is>
          <t>F18</t>
        </is>
      </c>
      <c r="I280">
        <f>F12-E12</f>
        <v/>
      </c>
      <c r="J280" t="n">
        <v>0.008006180543174646</v>
      </c>
      <c r="K280" t="n">
        <v>0.01</v>
      </c>
      <c r="L280" t="inlineStr">
        <is>
          <t>accrual_ratio__20251231,accrual_ratio__20241231</t>
        </is>
      </c>
      <c r="M280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80" t="inlineStr">
        <is>
          <t>pending</t>
        </is>
      </c>
      <c r="P280" t="inlineStr">
        <is>
          <t>accrual_ratio_change</t>
        </is>
      </c>
      <c r="Q280" t="n">
        <v>66</v>
      </c>
      <c r="R280" t="n">
        <v>4</v>
      </c>
      <c r="S280" t="inlineStr">
        <is>
          <t>2025-12-31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BAV_CHECK_CONTEXT_V1</t>
        </is>
      </c>
    </row>
    <row r="2">
      <c r="A2" t="inlineStr">
        <is>
          <t>{"base_classification_overrides":{},"judgment_bindings":[{"allowed_treatments":["Operating Long-Term Liability","Financial Liability"],"case_id":"classification::concept=lease_liability|label=operating lease liabilities","line_identity":"concept=lease_liability|label=operating lease liabilities","order":1,"override_selector":"concept:lease_liability","reference_treatment":"Operating Long-Term Liability","worksheet_row":5}],"modeled_periods":["2021-12-31","2022-12-31","2023-12-31","2024-12-31","2025-12-31"],"normalization_bindings":[{"allowed_treatments":["Non-recurring","Recurring"],"case_id":"normalization::concept=restructuring_expense|label=restructuring expense","line_identity":"concept=restructuring_expense|label=restructuring expense","order":1,"reference_treatment":"Non-recurring","scope":"operating_pretax_effective_tax","source_selector":"concept:restructuring_expense","worksheet_row":5}],"schema_version":2,"source_payload":{"balance_sheet":[{"concept":"","label":"Cash and cash equivalents","values":{"2021-12-31":1200.0,"2022-12-31":1350.0,"2023-12-31":1500.0,"2024-12-31":1680.0,"2025-12-31":1850.0}},{"concept":"","label":"Trade receivables","values":{"2021-12-31":850.0,"2022-12-31":920.0,"2023-12-31":1010.0,"2024-12-31":1120.0,"2025-12-31":1250.0}},{"concept":"","label":"Inventories","values":{"2021-12-31":680.0,"2022-12-31":736.0,"2023-12-31":808.0,"2024-12-31":896.0,"2025-12-31":1000.0}},{"concept":"","label":"Property, plant and equipment","values":{"2021-12-31":3200.0,"2022-12-31":3400.0,"2023-12-31":3600.0,"2024-12-31":3800.0,"2025-12-31":4000.0}},{"concept":"","label":"Goodwill","values":{"2021-12-31":900.0,"2022-12-31":900.0,"2023-12-31":900.0,"2024-12-31":900.0,"2025-12-31":900.0}},{"concept":"","label":"Other non-current assets","values":{"2021-12-31":1670.0,"2022-12-31":1894.0,"2023-12-31":2282.0,"2024-12-31":2804.0,"2025-12-31":3500.0}},{"concept":"","label":"Total assets","values":{"2021-12-31":8500.0,"2022-12-31":9200.0,"2023-12-31":10100.0,"2024-12-31":11200.0,"2025-12-31":12500.0}},{"concept":"","label":"Trade payables","values":{"2021-12-31":595.0,"2022-12-31":644.0,"2023-12-31":707.0,"2024-12-31":784.0,"2025-12-31":875.0}},{"concept":"","label":"Bank borrowings","values":{"2021-12-31":1500.0,"2022-12-31":1400.0,"2023-12-31":1300.0,"2024-12-31":1200.0,"2025-12-31":1100.0}},{"concept":"lease_liability","label":"Operating lease liabilities","values":{"2021-12-31":300.0,"2022-12-31":320.0,"2023-12-31":340.0,"2024-12-31":360.0,"2025-12-31":380.0}},{"concept":"","label":"Other non-current liabilities","values":{"2021-12-31":1005.0,"2022-12-31":1136.0,"2023-12-31":1253.0,"2024-12-31":1356.0,"2025-12-31":1445.0}},{"concept":"","label":"Total liabilities","values":{"2021-12-31":3400.0,"2022-12-31":3500.0,"2023-12-31":3600.0,"2024-12-31":3700.0,"2025-12-31":3800.0}},{"concept":"","label":"Share capital and reserves","values":{"2021-12-31":5100.0,"2022-12-31":5700.0,"2023-12-31":6500.0,"2024-12-31":7500.0,"2025-12-31":8700.0}},{"concept":"","label":"Total equity","values":{"2021-12-31":5100.0,"2022-12-31":5700.0,"2023-12-31":6500.0,"2024-12-31":7500.0,"2025-12-31":8700.0}}],"cash_flow":[{"concept":"","label":"Profit for the year","values":{"2021-12-31":2760.0,"2022-12-31":2988.0,"2023-12-31":3283.0,"2024-12-31":3644.0,"2025-12-31":4072.0}},{"concept":"","label":"Depreciation and amortisation","values":{"2021-12-31":340.0,"2022-12-31":368.0,"2023-12-31":404.0,"2024-12-31":448.0,"2025-12-31":500.0}},{"concept":"","label":"Net cash from operating activities","values":{"2021-12-31":1450.0,"2022-12-31":1600.0,"2023-12-31":1750.0,"2024-12-31":1930.0,"2025-12-31":2070.0}},{"concept":"","label":"Net cash used in investing activities","values":{"2021-12-31":-800.0,"2022-12-31":-850.0,"2023-12-31":-900.0,"2024-12-31":-950.0,"2025-12-31":-1000.0}},{"concept":"","label":"Net cash from financing activities","values":{"2021-12-31":-500.0,"2022-12-31":-600.0,"2023-12-31":-700.0,"2024-12-31":-800.0,"2025-12-31":-900.0}},{"concept":"","label":"Net change in cash and cash equivalents","values":{"2021-12-31":150.0,"2022-12-31":150.0,"2023-12-31":150.0,"2024-12-31":180.0,"2025-12-31":170.0}}],"company_name":"Demo Holdings Limited","currency":"HKD","historical_shares":null,"income_statement":[{"concept":"","label":"Revenue","values":{"2021-12-31":8500.0,"2022-12-31":9200.0,"2023-12-31":10100.0,"2024-12-31":11200.0,"2025-12-31":12500.0}},{"concept":"","label":"Cost of sales","values":{"2021-12-31":-3400.0,"2022-12-31":-3680.0,"2023-12-31":-4040.0,"2024-12-31":-4480.0,"2025-12-31":-5000.0}},{"concept":"","label":"Gross profit","values":{"2021-12-31":5100.0,"2022-12-31":5520.0,"2023-12-31":6060.0,"2024-12-31":6720.0,"2025-12-31":7500.0}},{"concept":"","label":"Administrative expenses","values":{"2021-12-31":-1700.0,"2022-12-31":-1840.0,"2023-12-31":-1820.0,"2024-12-31":-2240.0,"2025-12-31":-2500.0}},{"concept":"restructuring_expense","label":"Restructuring expense","values":{"2021-12-31":0.0,"2022-12-31":0.0,"2023-12-31":-200.0,"2024-12-31":0.0,"2025-12-31":0.0}},{"concept":"","label":"Operating profit","values":{"2021-12-31":3400.0,"2022-12-31":3680.0,"2023-12-31":4040.0,"2024-12-31":4480.0,"2025-12-31":5000.0}},{"concept":"","label":"Finance costs","values":{"2021-12-31":-120.0,"2022-12-31":-130.0,"2023-12-31":-140.0,"2024-12-31":-150.0,"2025-12-31":-160.0}},{"concept":"","label":"Finance income","values":{"2021-12-31":45.0,"2022-12-31":50.0,"2023-12-31":55.0,"2024-12-31":60.0,"2025-12-31":65.0}},{"concept":"","label":"Profit before tax","values":{"2021-12-31":3325.0,"2022-12-31":3600.0,"2023-12-31":3955.0,"2024-12-31":4390.0,"2025-12-31":4905.0}},{"concept":"","label":"Income tax expense","values":{"2021-12-31":-565.0,"2022-12-31":-612.0,"2023-12-31":-672.0,"2024-12-31":-746.0,"2025-12-31":-833.0}},{"concept":"","label":"Profit for the year","values":{"2021-12-31":2760.0,"2022-12-31":2988.0,"2023-12-31":3283.0,"2024-12-31":3644.0,"2025-12-31":4072.0}}],"jurisdiction":"HK","periods":[{"end_date":"2021-12-31","is_interim":false,"label":"FY2021"},{"end_date":"2022-12-31","is_interim":false,"label":"FY2022"},{"end_date":"2023-12-31","is_interim":false,"label":"FY2023"},{"end_date":"2024-12-31","is_interim":false,"label":"FY2024"},{"end_date":"2025-12-31","is_interim":false,"label":"FY2025"}],"stock_code":"1234.HK","ticker":"DEMO","units":"HKD in Millions"}}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2026-09-12T20:13:08Z</dcterms:created>
  <dcterms:modified xmlns:dcterms="http://purl.org/dc/terms/" xmlns:xsi="http://www.w3.org/2001/XMLSchema-instance" xsi:type="dcterms:W3CDTF">2026-09-12T20:13:08Z</dcterms:modified>
</cp:coreProperties>
</file>