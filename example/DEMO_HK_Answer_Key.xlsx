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Accounting Judgment" sheetId="7" state="visible" r:id="rId7"/>
    <sheet xmlns:r="http://schemas.openxmlformats.org/officeDocument/2006/relationships" name="Model_Bear" sheetId="8" state="hidden" r:id="rId8"/>
    <sheet xmlns:r="http://schemas.openxmlformats.org/officeDocument/2006/relationships" name="Model_Base" sheetId="9" state="hidden" r:id="rId9"/>
    <sheet xmlns:r="http://schemas.openxmlformats.org/officeDocument/2006/relationships" name="Model_Bull" sheetId="10" state="hidden" r:id="rId10"/>
    <sheet xmlns:r="http://schemas.openxmlformats.org/officeDocument/2006/relationships" name="Scenario_Summary" sheetId="11" state="hidden" r:id="rId11"/>
    <sheet xmlns:r="http://schemas.openxmlformats.org/officeDocument/2006/relationships" name="_ComponentMap" sheetId="12" state="hidden" r:id="rId12"/>
    <sheet xmlns:r="http://schemas.openxmlformats.org/officeDocument/2006/relationships" name="_CheckContext" sheetId="13" state="hidden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166" fontId="4" fillId="3" borderId="1" pivotButton="0" quotePrefix="0" xfId="0"/>
    <xf numFmtId="165" fontId="4" fillId="3" borderId="1" pivotButton="0" quotePrefix="0" xfId="0"/>
    <xf numFmtId="0" fontId="5" fillId="0" borderId="0" pivotButton="0" quotePrefix="0" xfId="0"/>
    <xf numFmtId="165" fontId="4" fillId="3" borderId="0" pivotButton="0" quotePrefix="0" xfId="0"/>
    <xf numFmtId="166" fontId="4" fillId="3" borderId="0" pivotButton="0" quotePrefix="0" xfId="0"/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BAV Trainer</author>
  </authors>
  <commentList>
    <comment ref="B19" authorId="0" shapeId="0">
      <text>
        <t>Link Revenue from the Income Statement into Condensed Financials.</t>
      </text>
    </comment>
    <comment ref="C19" authorId="0" shapeId="0">
      <text>
        <t>Link Revenue from the Income Statement into Condensed Financials.</t>
      </text>
    </comment>
    <comment ref="D19" authorId="0" shapeId="0">
      <text>
        <t>Link Revenue from the Income Statement into Condensed Financials.</t>
      </text>
    </comment>
    <comment ref="E19" authorId="0" shapeId="0">
      <text>
        <t>Link Revenue from the Income Statement into Condensed Financials.</t>
      </text>
    </comment>
    <comment ref="F19" authorId="0" shapeId="0">
      <text>
        <t>Link Revenue from the Income Statement into Condensed Financials.</t>
      </text>
    </comment>
    <comment ref="B20" authorId="0" shapeId="0">
      <text>
        <t>Link Net Income from the Income Statement into Condensed Financials.</t>
      </text>
    </comment>
    <comment ref="C20" authorId="0" shapeId="0">
      <text>
        <t>Link Net Income from the Income Statement into Condensed Financials.</t>
      </text>
    </comment>
    <comment ref="D20" authorId="0" shapeId="0">
      <text>
        <t>Link Net Income from the Income Statement into Condensed Financials.</t>
      </text>
    </comment>
    <comment ref="E20" authorId="0" shapeId="0">
      <text>
        <t>Link Net Income from the Income Statement into Condensed Financials.</t>
      </text>
    </comment>
    <comment ref="F20" authorId="0" shapeId="0">
      <text>
        <t>Link Net Income from the Income Statement into Condensed Financials.</t>
      </text>
    </comment>
    <comment ref="B25" authorId="0" shapeId="0">
      <text>
        <t>Relate tax expense to pretax income using the model's sign convention.</t>
      </text>
    </comment>
    <comment ref="C25" authorId="0" shapeId="0">
      <text>
        <t>Relate tax expense to pretax income using the model's sign convention.</t>
      </text>
    </comment>
    <comment ref="D25" authorId="0" shapeId="0">
      <text>
        <t>Relate tax expense to pretax income using the model's sign convention.</t>
      </text>
    </comment>
    <comment ref="E25" authorId="0" shapeId="0">
      <text>
        <t>Relate tax expense to pretax income using the model's sign convention.</t>
      </text>
    </comment>
    <comment ref="F25" authorId="0" shapeId="0">
      <text>
        <t>Relate tax expense to pretax income using the model's sign convention.</t>
      </text>
    </comment>
    <comment ref="B26" authorId="0" shapeId="0">
      <text>
        <t>Combine interest expense and interest income into the financing result.</t>
      </text>
    </comment>
    <comment ref="C26" authorId="0" shapeId="0">
      <text>
        <t>Combine interest expense and interest income into the financing result.</t>
      </text>
    </comment>
    <comment ref="D26" authorId="0" shapeId="0">
      <text>
        <t>Combine interest expense and interest income into the financing result.</t>
      </text>
    </comment>
    <comment ref="E26" authorId="0" shapeId="0">
      <text>
        <t>Combine interest expense and interest income into the financing result.</t>
      </text>
    </comment>
    <comment ref="F26" authorId="0" shapeId="0">
      <text>
        <t>Combine interest expense and interest income into the financing result.</t>
      </text>
    </comment>
    <comment ref="B27" authorId="0" shapeId="0">
      <text>
        <t>Apply the effective tax rate once to net interest.</t>
      </text>
    </comment>
    <comment ref="C27" authorId="0" shapeId="0">
      <text>
        <t>Apply the effective tax rate once to net interest.</t>
      </text>
    </comment>
    <comment ref="D27" authorId="0" shapeId="0">
      <text>
        <t>Apply the effective tax rate once to net interest.</t>
      </text>
    </comment>
    <comment ref="E27" authorId="0" shapeId="0">
      <text>
        <t>Apply the effective tax rate once to net interest.</t>
      </text>
    </comment>
    <comment ref="F27" authorId="0" shapeId="0">
      <text>
        <t>Apply the effective tax rate once to net interest.</t>
      </text>
    </comment>
    <comment ref="B28" authorId="0" shapeId="0">
      <text>
        <t>Reformulate net income to operating profit after tax.</t>
      </text>
    </comment>
    <comment ref="C28" authorId="0" shapeId="0">
      <text>
        <t>Reformulate net income to operating profit after tax.</t>
      </text>
    </comment>
    <comment ref="D28" authorId="0" shapeId="0">
      <text>
        <t>Reformulate net income to operating profit after tax.</t>
      </text>
    </comment>
    <comment ref="E28" authorId="0" shapeId="0">
      <text>
        <t>Reformulate net income to operating profit after tax.</t>
      </text>
    </comment>
    <comment ref="F28" authorId="0" shapeId="0">
      <text>
        <t>Reformulate net income to operating profit after tax.</t>
      </text>
    </comment>
    <comment ref="B31" authorId="0" shapeId="0">
      <text>
        <t>Aggregate the classified balance-sheet detail with the classification column.</t>
      </text>
    </comment>
    <comment ref="C31" authorId="0" shapeId="0">
      <text>
        <t>Aggregate the classified balance-sheet detail with the classification column.</t>
      </text>
    </comment>
    <comment ref="D31" authorId="0" shapeId="0">
      <text>
        <t>Aggregate the classified balance-sheet detail with the classification column.</t>
      </text>
    </comment>
    <comment ref="E31" authorId="0" shapeId="0">
      <text>
        <t>Aggregate the classified balance-sheet detail with the classification column.</t>
      </text>
    </comment>
    <comment ref="F31" authorId="0" shapeId="0">
      <text>
        <t>Aggregate the classified balance-sheet detail with the classification column.</t>
      </text>
    </comment>
    <comment ref="B32" authorId="0" shapeId="0">
      <text>
        <t>Aggregate the classified balance-sheet detail with the classification column.</t>
      </text>
    </comment>
    <comment ref="C32" authorId="0" shapeId="0">
      <text>
        <t>Aggregate the classified balance-sheet detail with the classification column.</t>
      </text>
    </comment>
    <comment ref="D32" authorId="0" shapeId="0">
      <text>
        <t>Aggregate the classified balance-sheet detail with the classification column.</t>
      </text>
    </comment>
    <comment ref="E32" authorId="0" shapeId="0">
      <text>
        <t>Aggregate the classified balance-sheet detail with the classification column.</t>
      </text>
    </comment>
    <comment ref="F32" authorId="0" shapeId="0">
      <text>
        <t>Aggregate the classified balance-sheet detail with the classification column.</t>
      </text>
    </comment>
    <comment ref="B33" authorId="0" shapeId="0">
      <text>
        <t>Sum operating WC assets minus operating WC liabilities.</t>
      </text>
    </comment>
    <comment ref="C33" authorId="0" shapeId="0">
      <text>
        <t>Sum operating WC assets minus operating WC liabilities.</t>
      </text>
    </comment>
    <comment ref="D33" authorId="0" shapeId="0">
      <text>
        <t>Sum operating WC assets minus operating WC liabilities.</t>
      </text>
    </comment>
    <comment ref="E33" authorId="0" shapeId="0">
      <text>
        <t>Sum operating WC assets minus operating WC liabilities.</t>
      </text>
    </comment>
    <comment ref="F33" authorId="0" shapeId="0">
      <text>
        <t>Sum operating WC assets minus operating WC liabilities.</t>
      </text>
    </comment>
    <comment ref="B34" authorId="0" shapeId="0">
      <text>
        <t>Aggregate the classified balance-sheet detail with the classification column.</t>
      </text>
    </comment>
    <comment ref="C34" authorId="0" shapeId="0">
      <text>
        <t>Aggregate the classified balance-sheet detail with the classification column.</t>
      </text>
    </comment>
    <comment ref="D34" authorId="0" shapeId="0">
      <text>
        <t>Aggregate the classified balance-sheet detail with the classification column.</t>
      </text>
    </comment>
    <comment ref="E34" authorId="0" shapeId="0">
      <text>
        <t>Aggregate the classified balance-sheet detail with the classification column.</t>
      </text>
    </comment>
    <comment ref="F34" authorId="0" shapeId="0">
      <text>
        <t>Aggregate the classified balance-sheet detail with the classification column.</t>
      </text>
    </comment>
    <comment ref="B35" authorId="0" shapeId="0">
      <text>
        <t>Aggregate the classified balance-sheet detail with the classification column.</t>
      </text>
    </comment>
    <comment ref="C35" authorId="0" shapeId="0">
      <text>
        <t>Aggregate the classified balance-sheet detail with the classification column.</t>
      </text>
    </comment>
    <comment ref="D35" authorId="0" shapeId="0">
      <text>
        <t>Aggregate the classified balance-sheet detail with the classification column.</t>
      </text>
    </comment>
    <comment ref="E35" authorId="0" shapeId="0">
      <text>
        <t>Aggregate the classified balance-sheet detail with the classification column.</t>
      </text>
    </comment>
    <comment ref="F35" authorId="0" shapeId="0">
      <text>
        <t>Aggregate the classified balance-sheet detail with the classification column.</t>
      </text>
    </comment>
    <comment ref="B36" authorId="0" shapeId="0">
      <text>
        <t>Operating long-term assets less operating long-term liabilities.</t>
      </text>
    </comment>
    <comment ref="C36" authorId="0" shapeId="0">
      <text>
        <t>Operating long-term assets less operating long-term liabilities.</t>
      </text>
    </comment>
    <comment ref="D36" authorId="0" shapeId="0">
      <text>
        <t>Operating long-term assets less operating long-term liabilities.</t>
      </text>
    </comment>
    <comment ref="E36" authorId="0" shapeId="0">
      <text>
        <t>Operating long-term assets less operating long-term liabilities.</t>
      </text>
    </comment>
    <comment ref="F36" authorId="0" shapeId="0">
      <text>
        <t>Operating long-term assets less operating long-term liabilities.</t>
      </text>
    </comment>
    <comment ref="B37" authorId="0" shapeId="0">
      <text>
        <t>NOWC plus net operating long-term assets.</t>
      </text>
    </comment>
    <comment ref="C37" authorId="0" shapeId="0">
      <text>
        <t>NOWC plus net operating long-term assets.</t>
      </text>
    </comment>
    <comment ref="D37" authorId="0" shapeId="0">
      <text>
        <t>NOWC plus net operating long-term assets.</t>
      </text>
    </comment>
    <comment ref="E37" authorId="0" shapeId="0">
      <text>
        <t>NOWC plus net operating long-term assets.</t>
      </text>
    </comment>
    <comment ref="F37" authorId="0" shapeId="0">
      <text>
        <t>NOWC plus net operating long-term assets.</t>
      </text>
    </comment>
    <comment ref="B38" authorId="0" shapeId="0">
      <text>
        <t>Aggregate the classified balance-sheet detail with the classification column.</t>
      </text>
    </comment>
    <comment ref="C38" authorId="0" shapeId="0">
      <text>
        <t>Aggregate the classified balance-sheet detail with the classification column.</t>
      </text>
    </comment>
    <comment ref="D38" authorId="0" shapeId="0">
      <text>
        <t>Aggregate the classified balance-sheet detail with the classification column.</t>
      </text>
    </comment>
    <comment ref="E38" authorId="0" shapeId="0">
      <text>
        <t>Aggregate the classified balance-sheet detail with the classification column.</t>
      </text>
    </comment>
    <comment ref="F38" authorId="0" shapeId="0">
      <text>
        <t>Aggregate the classified balance-sheet detail with the classification column.</t>
      </text>
    </comment>
    <comment ref="B39" authorId="0" shapeId="0">
      <text>
        <t>Aggregate the classified balance-sheet detail with the classification column.</t>
      </text>
    </comment>
    <comment ref="C39" authorId="0" shapeId="0">
      <text>
        <t>Aggregate the classified balance-sheet detail with the classification column.</t>
      </text>
    </comment>
    <comment ref="D39" authorId="0" shapeId="0">
      <text>
        <t>Aggregate the classified balance-sheet detail with the classification column.</t>
      </text>
    </comment>
    <comment ref="E39" authorId="0" shapeId="0">
      <text>
        <t>Aggregate the classified balance-sheet detail with the classification column.</t>
      </text>
    </comment>
    <comment ref="F39" authorId="0" shapeId="0">
      <text>
        <t>Aggregate the classified balance-sheet detail with the classification column.</t>
      </text>
    </comment>
    <comment ref="B40" authorId="0" shapeId="0">
      <text>
        <t>Financial liabilities minus financial assets.</t>
      </text>
    </comment>
    <comment ref="C40" authorId="0" shapeId="0">
      <text>
        <t>Financial liabilities minus financial assets.</t>
      </text>
    </comment>
    <comment ref="D40" authorId="0" shapeId="0">
      <text>
        <t>Financial liabilities minus financial assets.</t>
      </text>
    </comment>
    <comment ref="E40" authorId="0" shapeId="0">
      <text>
        <t>Financial liabilities minus financial assets.</t>
      </text>
    </comment>
    <comment ref="F40" authorId="0" shapeId="0">
      <text>
        <t>Financial liabilities minus financial assets.</t>
      </text>
    </comment>
    <comment ref="B41" authorId="0" shapeId="0">
      <text>
        <t>Use the operating/financing identity linking NOA, Net Debt, and Equity.</t>
      </text>
    </comment>
    <comment ref="C41" authorId="0" shapeId="0">
      <text>
        <t>Use the operating/financing identity linking NOA, Net Debt, and Equity.</t>
      </text>
    </comment>
    <comment ref="D41" authorId="0" shapeId="0">
      <text>
        <t>Use the operating/financing identity linking NOA, Net Debt, and Equity.</t>
      </text>
    </comment>
    <comment ref="E41" authorId="0" shapeId="0">
      <text>
        <t>Use the operating/financing identity linking NOA, Net Debt, and Equity.</t>
      </text>
    </comment>
    <comment ref="F41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8" t="inlineStr">
        <is>
          <t>BAV Excel Trainer</t>
        </is>
      </c>
    </row>
    <row r="2">
      <c r="A2" s="9" t="inlineStr">
        <is>
          <t>Complete each historical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Also complete Accounting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9" t="n">
        <v>1</v>
      </c>
      <c r="B5" s="9" t="inlineStr">
        <is>
          <t>Revenue historical source link</t>
        </is>
      </c>
      <c r="C5" s="9" t="inlineStr">
        <is>
          <t>2021–2025 (5 cells)</t>
        </is>
      </c>
      <c r="D5" s="9" t="inlineStr">
        <is>
          <t>Condensed Financials</t>
        </is>
      </c>
      <c r="E5" s="9" t="inlineStr">
        <is>
          <t>B19:F19</t>
        </is>
      </c>
      <c r="F5" s="9" t="inlineStr">
        <is>
          <t>—</t>
        </is>
      </c>
    </row>
    <row r="6">
      <c r="A6" s="9" t="n">
        <v>2</v>
      </c>
      <c r="B6" s="9" t="inlineStr">
        <is>
          <t>Net Income historical source link</t>
        </is>
      </c>
      <c r="C6" s="9" t="inlineStr">
        <is>
          <t>2021–2025 (5 cells)</t>
        </is>
      </c>
      <c r="D6" s="9" t="inlineStr">
        <is>
          <t>Condensed Financials</t>
        </is>
      </c>
      <c r="E6" s="9" t="inlineStr">
        <is>
          <t>B20:F20</t>
        </is>
      </c>
      <c r="F6" s="9" t="inlineStr">
        <is>
          <t>—</t>
        </is>
      </c>
    </row>
    <row r="7">
      <c r="A7" s="9" t="n">
        <v>3</v>
      </c>
      <c r="B7" s="9" t="inlineStr">
        <is>
          <t>Effective tax rate</t>
        </is>
      </c>
      <c r="C7" s="9" t="inlineStr">
        <is>
          <t>2021–2025 (5 cells)</t>
        </is>
      </c>
      <c r="D7" s="9" t="inlineStr">
        <is>
          <t>Condensed Financials</t>
        </is>
      </c>
      <c r="E7" s="9" t="inlineStr">
        <is>
          <t>B25:F25</t>
        </is>
      </c>
      <c r="F7" s="9" t="inlineStr">
        <is>
          <t>—</t>
        </is>
      </c>
    </row>
    <row r="8">
      <c r="A8" s="9" t="n">
        <v>4</v>
      </c>
      <c r="B8" s="9" t="inlineStr">
        <is>
          <t>Net interest</t>
        </is>
      </c>
      <c r="C8" s="9" t="inlineStr">
        <is>
          <t>2021–2025 (5 cells)</t>
        </is>
      </c>
      <c r="D8" s="9" t="inlineStr">
        <is>
          <t>Condensed Financials</t>
        </is>
      </c>
      <c r="E8" s="9" t="inlineStr">
        <is>
          <t>B26:F26</t>
        </is>
      </c>
      <c r="F8" s="9" t="inlineStr">
        <is>
          <t>—</t>
        </is>
      </c>
    </row>
    <row r="9">
      <c r="A9" s="9" t="n">
        <v>5</v>
      </c>
      <c r="B9" s="9" t="inlineStr">
        <is>
          <t>Net interest after tax</t>
        </is>
      </c>
      <c r="C9" s="9" t="inlineStr">
        <is>
          <t>2021–2025 (5 cells)</t>
        </is>
      </c>
      <c r="D9" s="9" t="inlineStr">
        <is>
          <t>Condensed Financials</t>
        </is>
      </c>
      <c r="E9" s="9" t="inlineStr">
        <is>
          <t>B27:F27</t>
        </is>
      </c>
      <c r="F9" s="9" t="inlineStr">
        <is>
          <t>effective_tax_rate_fy, net_interest_fy</t>
        </is>
      </c>
    </row>
    <row r="10">
      <c r="A10" s="9" t="n">
        <v>6</v>
      </c>
      <c r="B10" s="9" t="inlineStr">
        <is>
          <t>NOPAT</t>
        </is>
      </c>
      <c r="C10" s="9" t="inlineStr">
        <is>
          <t>2021–2025 (5 cells)</t>
        </is>
      </c>
      <c r="D10" s="9" t="inlineStr">
        <is>
          <t>Condensed Financials</t>
        </is>
      </c>
      <c r="E10" s="9" t="inlineStr">
        <is>
          <t>B28:F28</t>
        </is>
      </c>
      <c r="F10" s="9" t="inlineStr">
        <is>
          <t>net_income_link, net_interest_after_tax_fy</t>
        </is>
      </c>
    </row>
    <row r="11">
      <c r="A11" s="9" t="n">
        <v>7</v>
      </c>
      <c r="B11" s="9" t="inlineStr">
        <is>
          <t>Operating working capital assets</t>
        </is>
      </c>
      <c r="C11" s="9" t="inlineStr">
        <is>
          <t>2021–2025 (5 cells)</t>
        </is>
      </c>
      <c r="D11" s="9" t="inlineStr">
        <is>
          <t>Condensed Financials</t>
        </is>
      </c>
      <c r="E11" s="9" t="inlineStr">
        <is>
          <t>B31:F31</t>
        </is>
      </c>
      <c r="F11" s="9" t="inlineStr">
        <is>
          <t>—</t>
        </is>
      </c>
    </row>
    <row r="12">
      <c r="A12" s="9" t="n">
        <v>8</v>
      </c>
      <c r="B12" s="9" t="inlineStr">
        <is>
          <t>Operating working capital liabilities</t>
        </is>
      </c>
      <c r="C12" s="9" t="inlineStr">
        <is>
          <t>2021–2025 (5 cells)</t>
        </is>
      </c>
      <c r="D12" s="9" t="inlineStr">
        <is>
          <t>Condensed Financials</t>
        </is>
      </c>
      <c r="E12" s="9" t="inlineStr">
        <is>
          <t>B32:F32</t>
        </is>
      </c>
      <c r="F12" s="9" t="inlineStr">
        <is>
          <t>—</t>
        </is>
      </c>
    </row>
    <row r="13">
      <c r="A13" s="9" t="n">
        <v>9</v>
      </c>
      <c r="B13" s="9" t="inlineStr">
        <is>
          <t>Net Operating Working Capital (NOWC)</t>
        </is>
      </c>
      <c r="C13" s="9" t="inlineStr">
        <is>
          <t>2021–2025 (5 cells)</t>
        </is>
      </c>
      <c r="D13" s="9" t="inlineStr">
        <is>
          <t>Condensed Financials</t>
        </is>
      </c>
      <c r="E13" s="9" t="inlineStr">
        <is>
          <t>B33:F33</t>
        </is>
      </c>
      <c r="F13" s="9" t="inlineStr">
        <is>
          <t>owca_agg, owcl_agg</t>
        </is>
      </c>
    </row>
    <row r="14">
      <c r="A14" s="9" t="n">
        <v>10</v>
      </c>
      <c r="B14" s="9" t="inlineStr">
        <is>
          <t>Operating long-term assets</t>
        </is>
      </c>
      <c r="C14" s="9" t="inlineStr">
        <is>
          <t>2021–2025 (5 cells)</t>
        </is>
      </c>
      <c r="D14" s="9" t="inlineStr">
        <is>
          <t>Condensed Financials</t>
        </is>
      </c>
      <c r="E14" s="9" t="inlineStr">
        <is>
          <t>B34:F34</t>
        </is>
      </c>
      <c r="F14" s="9" t="inlineStr">
        <is>
          <t>—</t>
        </is>
      </c>
    </row>
    <row r="15">
      <c r="A15" s="9" t="n">
        <v>11</v>
      </c>
      <c r="B15" s="9" t="inlineStr">
        <is>
          <t>Operating long-term liabilities</t>
        </is>
      </c>
      <c r="C15" s="9" t="inlineStr">
        <is>
          <t>2021–2025 (5 cells)</t>
        </is>
      </c>
      <c r="D15" s="9" t="inlineStr">
        <is>
          <t>Condensed Financials</t>
        </is>
      </c>
      <c r="E15" s="9" t="inlineStr">
        <is>
          <t>B35:F35</t>
        </is>
      </c>
      <c r="F15" s="9" t="inlineStr">
        <is>
          <t>—</t>
        </is>
      </c>
    </row>
    <row r="16">
      <c r="A16" s="9" t="n">
        <v>12</v>
      </c>
      <c r="B16" s="9" t="inlineStr">
        <is>
          <t>Net operating long-term assets (NOLA)</t>
        </is>
      </c>
      <c r="C16" s="9" t="inlineStr">
        <is>
          <t>2021–2025 (5 cells)</t>
        </is>
      </c>
      <c r="D16" s="9" t="inlineStr">
        <is>
          <t>Condensed Financials</t>
        </is>
      </c>
      <c r="E16" s="9" t="inlineStr">
        <is>
          <t>B36:F36</t>
        </is>
      </c>
      <c r="F16" s="9" t="inlineStr">
        <is>
          <t>olta_agg, oltl_agg</t>
        </is>
      </c>
    </row>
    <row r="17">
      <c r="A17" s="9" t="n">
        <v>13</v>
      </c>
      <c r="B17" s="9" t="inlineStr">
        <is>
          <t>Net Operating Assets (NOA)</t>
        </is>
      </c>
      <c r="C17" s="9" t="inlineStr">
        <is>
          <t>2021–2025 (5 cells)</t>
        </is>
      </c>
      <c r="D17" s="9" t="inlineStr">
        <is>
          <t>Condensed Financials</t>
        </is>
      </c>
      <c r="E17" s="9" t="inlineStr">
        <is>
          <t>B37:F37</t>
        </is>
      </c>
      <c r="F17" s="9" t="inlineStr">
        <is>
          <t>nowc_agg, nola_agg</t>
        </is>
      </c>
    </row>
    <row r="18">
      <c r="A18" s="9" t="n">
        <v>14</v>
      </c>
      <c r="B18" s="9" t="inlineStr">
        <is>
          <t>Financial assets</t>
        </is>
      </c>
      <c r="C18" s="9" t="inlineStr">
        <is>
          <t>2021–2025 (5 cells)</t>
        </is>
      </c>
      <c r="D18" s="9" t="inlineStr">
        <is>
          <t>Condensed Financials</t>
        </is>
      </c>
      <c r="E18" s="9" t="inlineStr">
        <is>
          <t>B38:F38</t>
        </is>
      </c>
      <c r="F18" s="9" t="inlineStr">
        <is>
          <t>—</t>
        </is>
      </c>
    </row>
    <row r="19">
      <c r="A19" s="9" t="n">
        <v>15</v>
      </c>
      <c r="B19" s="9" t="inlineStr">
        <is>
          <t>Financial liabilities</t>
        </is>
      </c>
      <c r="C19" s="9" t="inlineStr">
        <is>
          <t>2021–2025 (5 cells)</t>
        </is>
      </c>
      <c r="D19" s="9" t="inlineStr">
        <is>
          <t>Condensed Financials</t>
        </is>
      </c>
      <c r="E19" s="9" t="inlineStr">
        <is>
          <t>B39:F39</t>
        </is>
      </c>
      <c r="F19" s="9" t="inlineStr">
        <is>
          <t>—</t>
        </is>
      </c>
    </row>
    <row r="20">
      <c r="A20" s="9" t="n">
        <v>16</v>
      </c>
      <c r="B20" s="9" t="inlineStr">
        <is>
          <t>Net Debt</t>
        </is>
      </c>
      <c r="C20" s="9" t="inlineStr">
        <is>
          <t>2021–2025 (5 cells)</t>
        </is>
      </c>
      <c r="D20" s="9" t="inlineStr">
        <is>
          <t>Condensed Financials</t>
        </is>
      </c>
      <c r="E20" s="9" t="inlineStr">
        <is>
          <t>B40:F40</t>
        </is>
      </c>
      <c r="F20" s="9" t="inlineStr">
        <is>
          <t>financial_assets_agg, financial_liabilities_agg</t>
        </is>
      </c>
    </row>
    <row r="21">
      <c r="A21" s="9" t="n">
        <v>17</v>
      </c>
      <c r="B21" s="9" t="inlineStr">
        <is>
          <t>Reformulated equity</t>
        </is>
      </c>
      <c r="C21" s="9" t="inlineStr">
        <is>
          <t>2021–2025 (5 cells)</t>
        </is>
      </c>
      <c r="D21" s="9" t="inlineStr">
        <is>
          <t>Condensed Financials</t>
        </is>
      </c>
      <c r="E21" s="9" t="inlineStr">
        <is>
          <t>B41:F41</t>
        </is>
      </c>
      <c r="F21" s="9" t="inlineStr">
        <is>
          <t>noa_agg, net_debt</t>
        </is>
      </c>
    </row>
    <row r="22">
      <c r="A22" s="9" t="n">
        <v>18</v>
      </c>
      <c r="B22" s="9" t="inlineStr">
        <is>
          <t>Sales Growth</t>
        </is>
      </c>
      <c r="C22" s="9" t="inlineStr">
        <is>
          <t>2022–2025 (4 cells)</t>
        </is>
      </c>
      <c r="D22" s="9" t="inlineStr">
        <is>
          <t>ALT DuPont</t>
        </is>
      </c>
      <c r="E22" s="9" t="inlineStr">
        <is>
          <t>C5:F5</t>
        </is>
      </c>
      <c r="F22" s="9" t="inlineStr">
        <is>
          <t>revenue_link</t>
        </is>
      </c>
    </row>
    <row r="23">
      <c r="A23" s="9" t="n">
        <v>19</v>
      </c>
      <c r="B23" s="9" t="inlineStr">
        <is>
          <t>NOPAT Margin</t>
        </is>
      </c>
      <c r="C23" s="9" t="inlineStr">
        <is>
          <t>2021–2025 (5 cells)</t>
        </is>
      </c>
      <c r="D23" s="9" t="inlineStr">
        <is>
          <t>ALT DuPont</t>
        </is>
      </c>
      <c r="E23" s="9" t="inlineStr">
        <is>
          <t>B6:F6</t>
        </is>
      </c>
      <c r="F23" s="9" t="inlineStr">
        <is>
          <t>nopat_fy, revenue_link</t>
        </is>
      </c>
    </row>
    <row r="24">
      <c r="A24" s="9" t="n">
        <v>20</v>
      </c>
      <c r="B24" s="9" t="inlineStr">
        <is>
          <t>Return on Net Operating Assets (RNOA)</t>
        </is>
      </c>
      <c r="C24" s="9" t="inlineStr">
        <is>
          <t>2022–2025 (4 cells)</t>
        </is>
      </c>
      <c r="D24" s="9" t="inlineStr">
        <is>
          <t>ALT DuPont</t>
        </is>
      </c>
      <c r="E24" s="9" t="inlineStr">
        <is>
          <t>C7:F7</t>
        </is>
      </c>
      <c r="F24" s="9" t="inlineStr">
        <is>
          <t>nopat_fy, noa_agg</t>
        </is>
      </c>
    </row>
    <row r="25">
      <c r="A25" s="9" t="n">
        <v>21</v>
      </c>
      <c r="B25" s="9" t="inlineStr">
        <is>
          <t>After-tax cost of debt</t>
        </is>
      </c>
      <c r="C25" s="9" t="inlineStr">
        <is>
          <t>2022–2025 (4 cells)</t>
        </is>
      </c>
      <c r="D25" s="9" t="inlineStr">
        <is>
          <t>ALT DuPont</t>
        </is>
      </c>
      <c r="E25" s="9" t="inlineStr">
        <is>
          <t>C8:F8</t>
        </is>
      </c>
      <c r="F25" s="9" t="inlineStr">
        <is>
          <t>net_interest_after_tax_fy, net_debt</t>
        </is>
      </c>
    </row>
    <row r="26">
      <c r="A26" s="9" t="n">
        <v>22</v>
      </c>
      <c r="B26" s="9" t="inlineStr">
        <is>
          <t>Operating Spread (RNOA − After-tax CoD)</t>
        </is>
      </c>
      <c r="C26" s="9" t="inlineStr">
        <is>
          <t>2022–2025 (4 cells)</t>
        </is>
      </c>
      <c r="D26" s="9" t="inlineStr">
        <is>
          <t>ALT DuPont</t>
        </is>
      </c>
      <c r="E26" s="9" t="inlineStr">
        <is>
          <t>C9:F9</t>
        </is>
      </c>
      <c r="F26" s="9" t="inlineStr">
        <is>
          <t>rnoa, after_tax_cod</t>
        </is>
      </c>
    </row>
    <row r="27">
      <c r="A27" s="9" t="n">
        <v>23</v>
      </c>
      <c r="B27" s="9" t="inlineStr">
        <is>
          <t>Financial leverage (FLEV)</t>
        </is>
      </c>
      <c r="C27" s="9" t="inlineStr">
        <is>
          <t>2022–2025 (4 cells)</t>
        </is>
      </c>
      <c r="D27" s="9" t="inlineStr">
        <is>
          <t>ALT DuPont</t>
        </is>
      </c>
      <c r="E27" s="9" t="inlineStr">
        <is>
          <t>C10:F10</t>
        </is>
      </c>
      <c r="F27" s="9" t="inlineStr">
        <is>
          <t>net_debt, equity_reformulated_fy</t>
        </is>
      </c>
    </row>
    <row r="28">
      <c r="A28" s="9" t="n">
        <v>24</v>
      </c>
      <c r="B28" s="9" t="inlineStr">
        <is>
          <t>ROE decomposition</t>
        </is>
      </c>
      <c r="C28" s="9" t="inlineStr">
        <is>
          <t>2022–2025 (4 cells)</t>
        </is>
      </c>
      <c r="D28" s="9" t="inlineStr">
        <is>
          <t>ALT DuPont</t>
        </is>
      </c>
      <c r="E28" s="9" t="inlineStr">
        <is>
          <t>C11:F11</t>
        </is>
      </c>
      <c r="F28" s="9" t="inlineStr">
        <is>
          <t>rnoa, spread, flev</t>
        </is>
      </c>
    </row>
    <row r="29">
      <c r="A29" s="9" t="n">
        <v>25</v>
      </c>
      <c r="B29" s="9" t="inlineStr">
        <is>
          <t>Actual ROE</t>
        </is>
      </c>
      <c r="C29" s="9" t="inlineStr">
        <is>
          <t>2022–2025 (4 cells)</t>
        </is>
      </c>
      <c r="D29" s="9" t="inlineStr">
        <is>
          <t>ALT DuPont</t>
        </is>
      </c>
      <c r="E29" s="9" t="inlineStr">
        <is>
          <t>C12:F12</t>
        </is>
      </c>
      <c r="F29" s="9" t="inlineStr">
        <is>
          <t>net_income_link, 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Operating lease liabilities</t>
        </is>
      </c>
      <c r="B16" s="15" t="n">
        <v>300</v>
      </c>
      <c r="C16" s="15" t="n">
        <v>320</v>
      </c>
      <c r="D16" s="15" t="n">
        <v>340</v>
      </c>
      <c r="E16" s="15" t="n">
        <v>360</v>
      </c>
      <c r="F16" s="15" t="n">
        <v>380</v>
      </c>
    </row>
    <row r="17">
      <c r="A17" s="12" t="inlineStr">
        <is>
          <t>Other non-current liabilities</t>
        </is>
      </c>
      <c r="B17" s="15" t="n">
        <v>1005</v>
      </c>
      <c r="C17" s="15" t="n">
        <v>1136</v>
      </c>
      <c r="D17" s="15" t="n">
        <v>1253</v>
      </c>
      <c r="E17" s="15" t="n">
        <v>1356</v>
      </c>
      <c r="F17" s="15" t="n">
        <v>1445</v>
      </c>
    </row>
    <row r="18">
      <c r="A18" s="12" t="inlineStr">
        <is>
          <t>Total liabilities</t>
        </is>
      </c>
      <c r="B18" s="15" t="n">
        <v>3400</v>
      </c>
      <c r="C18" s="15" t="n">
        <v>3500</v>
      </c>
      <c r="D18" s="15" t="n">
        <v>3600</v>
      </c>
      <c r="E18" s="15" t="n">
        <v>3700</v>
      </c>
      <c r="F18" s="15" t="n">
        <v>3800</v>
      </c>
    </row>
    <row r="19">
      <c r="A19" s="12" t="inlineStr">
        <is>
          <t>Share capital and reserves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  <row r="20">
      <c r="A20" s="12" t="inlineStr">
        <is>
          <t>Total equity</t>
        </is>
      </c>
      <c r="B20" s="15" t="n">
        <v>5100</v>
      </c>
      <c r="C20" s="15" t="n">
        <v>5700</v>
      </c>
      <c r="D20" s="15" t="n">
        <v>6500</v>
      </c>
      <c r="E20" s="15" t="n">
        <v>7500</v>
      </c>
      <c r="F20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5"/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Operating lease liabilities</t>
        </is>
      </c>
      <c r="B14" s="12">
        <f>IF('Accounting Judgment'!$F$5="","Operating Long-Term Liability",'Accounting Judgment'!$F$5)</f>
        <v/>
      </c>
      <c r="C14" s="15" t="n">
        <v>300</v>
      </c>
      <c r="D14" s="15" t="n">
        <v>320</v>
      </c>
      <c r="E14" s="15" t="n">
        <v>340</v>
      </c>
      <c r="F14" s="15" t="n">
        <v>360</v>
      </c>
      <c r="G14" s="15" t="n">
        <v>380</v>
      </c>
      <c r="H14" s="12" t="inlineStr">
        <is>
          <t>⚠ Review: Lease liability concept — operating vs financial judgment</t>
        </is>
      </c>
    </row>
    <row r="15">
      <c r="A15" s="12" t="inlineStr">
        <is>
          <t>Other non-current liabilities</t>
        </is>
      </c>
      <c r="B15" s="12" t="inlineStr">
        <is>
          <t>Operating Long-Term Liability</t>
        </is>
      </c>
      <c r="C15" s="15" t="n">
        <v>1005</v>
      </c>
      <c r="D15" s="15" t="n">
        <v>1136</v>
      </c>
      <c r="E15" s="15" t="n">
        <v>1253</v>
      </c>
      <c r="F15" s="15" t="n">
        <v>1356</v>
      </c>
      <c r="G15" s="15" t="n">
        <v>1445</v>
      </c>
    </row>
    <row r="16">
      <c r="A16" s="12" t="inlineStr">
        <is>
          <t>Share capital and reserves</t>
        </is>
      </c>
      <c r="B16" s="12" t="inlineStr">
        <is>
          <t>Equity</t>
        </is>
      </c>
      <c r="C16" s="15" t="n">
        <v>5100</v>
      </c>
      <c r="D16" s="15" t="n">
        <v>5700</v>
      </c>
      <c r="E16" s="15" t="n">
        <v>6500</v>
      </c>
      <c r="F16" s="15" t="n">
        <v>7500</v>
      </c>
      <c r="G16" s="15" t="n">
        <v>8700</v>
      </c>
    </row>
    <row r="17"/>
    <row r="18">
      <c r="A18" s="10" t="inlineStr">
        <is>
          <t>CONDENSED INCOME STATEMENT</t>
        </is>
      </c>
      <c r="B18" s="13" t="n">
        <v>44561</v>
      </c>
      <c r="C18" s="13" t="n">
        <v>44926</v>
      </c>
      <c r="D18" s="13" t="n">
        <v>45291</v>
      </c>
      <c r="E18" s="13" t="n">
        <v>45657</v>
      </c>
      <c r="F18" s="13" t="n">
        <v>46022</v>
      </c>
    </row>
    <row r="19">
      <c r="A19" s="9" t="inlineStr">
        <is>
          <t>Revenue</t>
        </is>
      </c>
      <c r="B19" s="16">
        <f>'Income Statement'!B7</f>
        <v/>
      </c>
      <c r="C19" s="16">
        <f>'Income Statement'!C7</f>
        <v/>
      </c>
      <c r="D19" s="16">
        <f>'Income Statement'!D7</f>
        <v/>
      </c>
      <c r="E19" s="16">
        <f>'Income Statement'!E7</f>
        <v/>
      </c>
      <c r="F19" s="16">
        <f>'Income Statement'!F7</f>
        <v/>
      </c>
    </row>
    <row r="20">
      <c r="A20" s="12" t="inlineStr">
        <is>
          <t>Net Income</t>
        </is>
      </c>
      <c r="B20" s="17">
        <f>'Income Statement'!B16</f>
        <v/>
      </c>
      <c r="C20" s="17">
        <f>'Income Statement'!C16</f>
        <v/>
      </c>
      <c r="D20" s="17">
        <f>'Income Statement'!D16</f>
        <v/>
      </c>
      <c r="E20" s="17">
        <f>'Income Statement'!E16</f>
        <v/>
      </c>
      <c r="F20" s="17">
        <f>'Income Statement'!F16</f>
        <v/>
      </c>
    </row>
    <row r="21">
      <c r="A21" s="12" t="inlineStr">
        <is>
          <t>Pretax Income</t>
        </is>
      </c>
      <c r="B21" s="12">
        <f>'Income Statement'!B14</f>
        <v/>
      </c>
      <c r="C21" s="12">
        <f>'Income Statement'!C14</f>
        <v/>
      </c>
      <c r="D21" s="12">
        <f>'Income Statement'!D14</f>
        <v/>
      </c>
      <c r="E21" s="12">
        <f>'Income Statement'!E14</f>
        <v/>
      </c>
      <c r="F21" s="12">
        <f>'Income Statement'!F14</f>
        <v/>
      </c>
    </row>
    <row r="22">
      <c r="A22" s="12" t="inlineStr">
        <is>
          <t>Tax Expense</t>
        </is>
      </c>
      <c r="B22" s="12">
        <f>'Income Statement'!B15</f>
        <v/>
      </c>
      <c r="C22" s="12">
        <f>'Income Statement'!C15</f>
        <v/>
      </c>
      <c r="D22" s="12">
        <f>'Income Statement'!D15</f>
        <v/>
      </c>
      <c r="E22" s="12">
        <f>'Income Statement'!E15</f>
        <v/>
      </c>
      <c r="F22" s="12">
        <f>'Income Statement'!F15</f>
        <v/>
      </c>
    </row>
    <row r="23">
      <c r="A23" s="12" t="inlineStr">
        <is>
          <t>Interest Expense</t>
        </is>
      </c>
      <c r="B23" s="12">
        <f>'Income Statement'!B12</f>
        <v/>
      </c>
      <c r="C23" s="12">
        <f>'Income Statement'!C12</f>
        <v/>
      </c>
      <c r="D23" s="12">
        <f>'Income Statement'!D12</f>
        <v/>
      </c>
      <c r="E23" s="12">
        <f>'Income Statement'!E12</f>
        <v/>
      </c>
      <c r="F23" s="12">
        <f>'Income Statement'!F12</f>
        <v/>
      </c>
    </row>
    <row r="24">
      <c r="A24" s="12" t="inlineStr">
        <is>
          <t>Interest Income</t>
        </is>
      </c>
      <c r="B24" s="12">
        <f>'Income Statement'!B13</f>
        <v/>
      </c>
      <c r="C24" s="12">
        <f>'Income Statement'!C13</f>
        <v/>
      </c>
      <c r="D24" s="12">
        <f>'Income Statement'!D13</f>
        <v/>
      </c>
      <c r="E24" s="12">
        <f>'Income Statement'!E13</f>
        <v/>
      </c>
      <c r="F24" s="12">
        <f>'Income Statement'!F13</f>
        <v/>
      </c>
    </row>
    <row r="25">
      <c r="A25" s="12" t="inlineStr">
        <is>
          <t>Effective Tax Rate</t>
        </is>
      </c>
      <c r="B25" s="18">
        <f>IF(B21=0,0,-B22/B21)</f>
        <v/>
      </c>
      <c r="C25" s="18">
        <f>IF(C21=0,0,-C22/C21)</f>
        <v/>
      </c>
      <c r="D25" s="18">
        <f>IF(D21=0,0,-D22/D21)</f>
        <v/>
      </c>
      <c r="E25" s="18">
        <f>IF(E21=0,0,-E22/E21)</f>
        <v/>
      </c>
      <c r="F25" s="18">
        <f>IF(F21=0,0,-F22/F21)</f>
        <v/>
      </c>
    </row>
    <row r="26">
      <c r="A26" s="12" t="inlineStr">
        <is>
          <t>Net Interest</t>
        </is>
      </c>
      <c r="B26" s="19">
        <f>-(B23+B24)</f>
        <v/>
      </c>
      <c r="C26" s="19">
        <f>-(C23+C24)</f>
        <v/>
      </c>
      <c r="D26" s="19">
        <f>-(D23+D24)</f>
        <v/>
      </c>
      <c r="E26" s="19">
        <f>-(E23+E24)</f>
        <v/>
      </c>
      <c r="F26" s="19">
        <f>-(F23+F24)</f>
        <v/>
      </c>
    </row>
    <row r="27">
      <c r="A27" s="12" t="inlineStr">
        <is>
          <t>Net Interest After Tax</t>
        </is>
      </c>
      <c r="B27" s="19">
        <f>B26*(1-B25)</f>
        <v/>
      </c>
      <c r="C27" s="19">
        <f>C26*(1-C25)</f>
        <v/>
      </c>
      <c r="D27" s="19">
        <f>D26*(1-D25)</f>
        <v/>
      </c>
      <c r="E27" s="19">
        <f>E26*(1-E25)</f>
        <v/>
      </c>
      <c r="F27" s="19">
        <f>F26*(1-F25)</f>
        <v/>
      </c>
    </row>
    <row r="28">
      <c r="A28" s="20" t="inlineStr">
        <is>
          <t>NOPAT</t>
        </is>
      </c>
      <c r="B28" s="21">
        <f>B20+B27</f>
        <v/>
      </c>
      <c r="C28" s="21">
        <f>C20+C27</f>
        <v/>
      </c>
      <c r="D28" s="21">
        <f>D20+D27</f>
        <v/>
      </c>
      <c r="E28" s="21">
        <f>E20+E27</f>
        <v/>
      </c>
      <c r="F28" s="21">
        <f>F20+F27</f>
        <v/>
      </c>
    </row>
    <row r="29"/>
    <row r="30">
      <c r="A30" s="10" t="inlineStr">
        <is>
          <t>CONDENSED BALANCE SHEET</t>
        </is>
      </c>
    </row>
    <row r="31">
      <c r="A31" s="12" t="inlineStr">
        <is>
          <t>Operating Working Capital Assets</t>
        </is>
      </c>
      <c r="B31" s="19">
        <f>SUMIF($B$6:$B$16,"Operating Working Capital Asset",C$6:C$16)</f>
        <v/>
      </c>
      <c r="C31" s="19">
        <f>SUMIF($B$6:$B$16,"Operating Working Capital Asset",D$6:D$16)</f>
        <v/>
      </c>
      <c r="D31" s="19">
        <f>SUMIF($B$6:$B$16,"Operating Working Capital Asset",E$6:E$16)</f>
        <v/>
      </c>
      <c r="E31" s="19">
        <f>SUMIF($B$6:$B$16,"Operating Working Capital Asset",F$6:F$16)</f>
        <v/>
      </c>
      <c r="F31" s="19">
        <f>SUMIF($B$6:$B$16,"Operating Working Capital Asset",G$6:G$16)</f>
        <v/>
      </c>
    </row>
    <row r="32">
      <c r="A32" s="12" t="inlineStr">
        <is>
          <t>Operating Working Capital Liabilities</t>
        </is>
      </c>
      <c r="B32" s="19">
        <f>SUMIF($B$6:$B$16,"Operating Working Capital Liability",C$6:C$16)</f>
        <v/>
      </c>
      <c r="C32" s="19">
        <f>SUMIF($B$6:$B$16,"Operating Working Capital Liability",D$6:D$16)</f>
        <v/>
      </c>
      <c r="D32" s="19">
        <f>SUMIF($B$6:$B$16,"Operating Working Capital Liability",E$6:E$16)</f>
        <v/>
      </c>
      <c r="E32" s="19">
        <f>SUMIF($B$6:$B$16,"Operating Working Capital Liability",F$6:F$16)</f>
        <v/>
      </c>
      <c r="F32" s="19">
        <f>SUMIF($B$6:$B$16,"Operating Working Capital Liability",G$6:G$16)</f>
        <v/>
      </c>
    </row>
    <row r="33">
      <c r="A33" s="20" t="inlineStr">
        <is>
          <t>NOWC</t>
        </is>
      </c>
      <c r="B33" s="21">
        <f>B31-B32</f>
        <v/>
      </c>
      <c r="C33" s="21">
        <f>C31-C32</f>
        <v/>
      </c>
      <c r="D33" s="21">
        <f>D31-D32</f>
        <v/>
      </c>
      <c r="E33" s="21">
        <f>E31-E32</f>
        <v/>
      </c>
      <c r="F33" s="21">
        <f>F31-F32</f>
        <v/>
      </c>
    </row>
    <row r="34">
      <c r="A34" s="12" t="inlineStr">
        <is>
          <t>Operating Long-Term Assets</t>
        </is>
      </c>
      <c r="B34" s="19">
        <f>SUMIF($B$6:$B$16,"Operating Long-Term Asset",C$6:C$16)</f>
        <v/>
      </c>
      <c r="C34" s="19">
        <f>SUMIF($B$6:$B$16,"Operating Long-Term Asset",D$6:D$16)</f>
        <v/>
      </c>
      <c r="D34" s="19">
        <f>SUMIF($B$6:$B$16,"Operating Long-Term Asset",E$6:E$16)</f>
        <v/>
      </c>
      <c r="E34" s="19">
        <f>SUMIF($B$6:$B$16,"Operating Long-Term Asset",F$6:F$16)</f>
        <v/>
      </c>
      <c r="F34" s="19">
        <f>SUMIF($B$6:$B$16,"Operating Long-Term Asset",G$6:G$16)</f>
        <v/>
      </c>
    </row>
    <row r="35">
      <c r="A35" s="12" t="inlineStr">
        <is>
          <t>Operating Long-Term Liabilities</t>
        </is>
      </c>
      <c r="B35" s="19">
        <f>SUMIF($B$6:$B$16,"Operating Long-Term Liability",C$6:C$16)</f>
        <v/>
      </c>
      <c r="C35" s="19">
        <f>SUMIF($B$6:$B$16,"Operating Long-Term Liability",D$6:D$16)</f>
        <v/>
      </c>
      <c r="D35" s="19">
        <f>SUMIF($B$6:$B$16,"Operating Long-Term Liability",E$6:E$16)</f>
        <v/>
      </c>
      <c r="E35" s="19">
        <f>SUMIF($B$6:$B$16,"Operating Long-Term Liability",F$6:F$16)</f>
        <v/>
      </c>
      <c r="F35" s="19">
        <f>SUMIF($B$6:$B$16,"Operating Long-Term Liability",G$6:G$16)</f>
        <v/>
      </c>
    </row>
    <row r="36">
      <c r="A36" s="20" t="inlineStr">
        <is>
          <t>NOLA</t>
        </is>
      </c>
      <c r="B36" s="21">
        <f>B34-B35</f>
        <v/>
      </c>
      <c r="C36" s="21">
        <f>C34-C35</f>
        <v/>
      </c>
      <c r="D36" s="21">
        <f>D34-D35</f>
        <v/>
      </c>
      <c r="E36" s="21">
        <f>E34-E35</f>
        <v/>
      </c>
      <c r="F36" s="21">
        <f>F34-F35</f>
        <v/>
      </c>
    </row>
    <row r="37">
      <c r="A37" s="20" t="inlineStr">
        <is>
          <t>NOA</t>
        </is>
      </c>
      <c r="B37" s="21">
        <f>B33+B36</f>
        <v/>
      </c>
      <c r="C37" s="21">
        <f>C33+C36</f>
        <v/>
      </c>
      <c r="D37" s="21">
        <f>D33+D36</f>
        <v/>
      </c>
      <c r="E37" s="21">
        <f>E33+E36</f>
        <v/>
      </c>
      <c r="F37" s="21">
        <f>F33+F36</f>
        <v/>
      </c>
    </row>
    <row r="38">
      <c r="A38" s="12" t="inlineStr">
        <is>
          <t>Financial Assets</t>
        </is>
      </c>
      <c r="B38" s="19">
        <f>SUMIF($B$6:$B$16,"Financial Asset",C$6:C$16)</f>
        <v/>
      </c>
      <c r="C38" s="19">
        <f>SUMIF($B$6:$B$16,"Financial Asset",D$6:D$16)</f>
        <v/>
      </c>
      <c r="D38" s="19">
        <f>SUMIF($B$6:$B$16,"Financial Asset",E$6:E$16)</f>
        <v/>
      </c>
      <c r="E38" s="19">
        <f>SUMIF($B$6:$B$16,"Financial Asset",F$6:F$16)</f>
        <v/>
      </c>
      <c r="F38" s="19">
        <f>SUMIF($B$6:$B$16,"Financial Asset",G$6:G$16)</f>
        <v/>
      </c>
    </row>
    <row r="39">
      <c r="A39" s="12" t="inlineStr">
        <is>
          <t>Financial Liabilities</t>
        </is>
      </c>
      <c r="B39" s="19">
        <f>SUMIF($B$6:$B$16,"Financial Liability",C$6:C$16)</f>
        <v/>
      </c>
      <c r="C39" s="19">
        <f>SUMIF($B$6:$B$16,"Financial Liability",D$6:D$16)</f>
        <v/>
      </c>
      <c r="D39" s="19">
        <f>SUMIF($B$6:$B$16,"Financial Liability",E$6:E$16)</f>
        <v/>
      </c>
      <c r="E39" s="19">
        <f>SUMIF($B$6:$B$16,"Financial Liability",F$6:F$16)</f>
        <v/>
      </c>
      <c r="F39" s="19">
        <f>SUMIF($B$6:$B$16,"Financial Liability",G$6:G$16)</f>
        <v/>
      </c>
    </row>
    <row r="40">
      <c r="A40" s="10" t="inlineStr">
        <is>
          <t>Net Debt</t>
        </is>
      </c>
      <c r="B40" s="19">
        <f>B39-B38</f>
        <v/>
      </c>
      <c r="C40" s="19">
        <f>C39-C38</f>
        <v/>
      </c>
      <c r="D40" s="19">
        <f>D39-D38</f>
        <v/>
      </c>
      <c r="E40" s="19">
        <f>E39-E38</f>
        <v/>
      </c>
      <c r="F40" s="19">
        <f>F39-F38</f>
        <v/>
      </c>
    </row>
    <row r="41">
      <c r="A41" s="10" t="inlineStr">
        <is>
          <t>Equity (NOA - Net Debt)</t>
        </is>
      </c>
      <c r="B41" s="19">
        <f>B37-B40</f>
        <v/>
      </c>
      <c r="C41" s="19">
        <f>C37-C40</f>
        <v/>
      </c>
      <c r="D41" s="19">
        <f>D37-D40</f>
        <v/>
      </c>
      <c r="E41" s="19">
        <f>E37-E40</f>
        <v/>
      </c>
      <c r="F41" s="19">
        <f>F37-F40</f>
        <v/>
      </c>
    </row>
    <row r="42">
      <c r="A42" s="10" t="inlineStr">
        <is>
          <t>Reported Equity</t>
        </is>
      </c>
      <c r="B42" s="15">
        <f>'Balance Sheet'!B20</f>
        <v/>
      </c>
      <c r="C42" s="15">
        <f>'Balance Sheet'!C20</f>
        <v/>
      </c>
      <c r="D42" s="15">
        <f>'Balance Sheet'!D20</f>
        <v/>
      </c>
      <c r="E42" s="15">
        <f>'Balance Sheet'!E20</f>
        <v/>
      </c>
      <c r="F42" s="15">
        <f>'Balance Sheet'!F20</f>
        <v/>
      </c>
    </row>
    <row r="43">
      <c r="A43" s="10" t="inlineStr">
        <is>
          <t>Total Capital</t>
        </is>
      </c>
      <c r="B43" s="15">
        <f>B40+B41</f>
        <v/>
      </c>
      <c r="C43" s="15">
        <f>C40+C41</f>
        <v/>
      </c>
      <c r="D43" s="15">
        <f>D40+D41</f>
        <v/>
      </c>
      <c r="E43" s="15">
        <f>E40+E41</f>
        <v/>
      </c>
      <c r="F43" s="15">
        <f>F40+F41</f>
        <v/>
      </c>
    </row>
    <row r="44">
      <c r="A44" s="20" t="inlineStr">
        <is>
          <t>CHECK</t>
        </is>
      </c>
      <c r="B44" s="9">
        <f>IF(ABS(B41-B42)&lt;1,"OK","CHECK")</f>
        <v/>
      </c>
      <c r="C44" s="9">
        <f>IF(ABS(C41-C42)&lt;1,"OK","CHECK")</f>
        <v/>
      </c>
      <c r="D44" s="9">
        <f>IF(ABS(D41-D42)&lt;1,"OK","CHECK")</f>
        <v/>
      </c>
      <c r="E44" s="9">
        <f>IF(ABS(E41-E42)&lt;1,"OK","CHECK")</f>
        <v/>
      </c>
      <c r="F44" s="9">
        <f>IF(ABS(F41-F42)&lt;1,"OK","CHECK")</f>
        <v/>
      </c>
    </row>
  </sheetData>
  <dataValidations count="1">
    <dataValidation sqref="B6 B7 B8 B9 B10 B11 B12 B13 B15 B16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3"/>
    <row r="4">
      <c r="A4" s="10" t="inlineStr">
        <is>
          <t>Metric</t>
        </is>
      </c>
      <c r="B4" s="13" t="n">
        <v>44561</v>
      </c>
      <c r="C4" s="13" t="n">
        <v>44926</v>
      </c>
      <c r="D4" s="13" t="n">
        <v>45291</v>
      </c>
      <c r="E4" s="13" t="n">
        <v>45657</v>
      </c>
      <c r="F4" s="13" t="n">
        <v>46022</v>
      </c>
    </row>
    <row r="5">
      <c r="A5" s="12" t="inlineStr">
        <is>
          <t>Sales Growth</t>
        </is>
      </c>
      <c r="B5" s="12" t="inlineStr">
        <is>
          <t>N/A</t>
        </is>
      </c>
      <c r="C5" s="18">
        <f>IF('Condensed Financials'!B19=0,0,'Condensed Financials'!C19/'Condensed Financials'!B19-1)</f>
        <v/>
      </c>
      <c r="D5" s="18">
        <f>IF('Condensed Financials'!C19=0,0,'Condensed Financials'!D19/'Condensed Financials'!C19-1)</f>
        <v/>
      </c>
      <c r="E5" s="18">
        <f>IF('Condensed Financials'!D19=0,0,'Condensed Financials'!E19/'Condensed Financials'!D19-1)</f>
        <v/>
      </c>
      <c r="F5" s="18">
        <f>IF('Condensed Financials'!E19=0,0,'Condensed Financials'!F19/'Condensed Financials'!E19-1)</f>
        <v/>
      </c>
    </row>
    <row r="6">
      <c r="A6" s="12" t="inlineStr">
        <is>
          <t>NOPAT Margin</t>
        </is>
      </c>
      <c r="B6" s="18">
        <f>IF('Condensed Financials'!B19=0,0,'Condensed Financials'!B28/'Condensed Financials'!B19)</f>
        <v/>
      </c>
      <c r="C6" s="18">
        <f>IF('Condensed Financials'!C19=0,0,'Condensed Financials'!C28/'Condensed Financials'!C19)</f>
        <v/>
      </c>
      <c r="D6" s="18">
        <f>IF('Condensed Financials'!D19=0,0,'Condensed Financials'!D28/'Condensed Financials'!D19)</f>
        <v/>
      </c>
      <c r="E6" s="18">
        <f>IF('Condensed Financials'!E19=0,0,'Condensed Financials'!E28/'Condensed Financials'!E19)</f>
        <v/>
      </c>
      <c r="F6" s="18">
        <f>IF('Condensed Financials'!F19=0,0,'Condensed Financials'!F28/'Condensed Financials'!F19)</f>
        <v/>
      </c>
    </row>
    <row r="7">
      <c r="A7" s="9" t="inlineStr">
        <is>
          <t>RNOA</t>
        </is>
      </c>
      <c r="B7" s="9" t="inlineStr">
        <is>
          <t>N/A</t>
        </is>
      </c>
      <c r="C7" s="22">
        <f>IF((('Condensed Financials'!C37+'Condensed Financials'!B37)/2)=0,0,'Condensed Financials'!C28/(('Condensed Financials'!C37+'Condensed Financials'!B37)/2))</f>
        <v/>
      </c>
      <c r="D7" s="22">
        <f>IF((('Condensed Financials'!D37+'Condensed Financials'!C37)/2)=0,0,'Condensed Financials'!D28/(('Condensed Financials'!D37+'Condensed Financials'!C37)/2))</f>
        <v/>
      </c>
      <c r="E7" s="22">
        <f>IF((('Condensed Financials'!E37+'Condensed Financials'!D37)/2)=0,0,'Condensed Financials'!E28/(('Condensed Financials'!E37+'Condensed Financials'!D37)/2))</f>
        <v/>
      </c>
      <c r="F7" s="22">
        <f>IF((('Condensed Financials'!F37+'Condensed Financials'!E37)/2)=0,0,'Condensed Financials'!F28/(('Condensed Financials'!F37+'Condensed Financials'!E37)/2))</f>
        <v/>
      </c>
    </row>
    <row r="8">
      <c r="A8" s="12" t="inlineStr">
        <is>
          <t>After-tax CoD</t>
        </is>
      </c>
      <c r="B8" s="12" t="inlineStr">
        <is>
          <t>N/A</t>
        </is>
      </c>
      <c r="C8" s="18">
        <f>IF((('Condensed Financials'!C40+'Condensed Financials'!B40)/2)=0,0,'Condensed Financials'!C27/(('Condensed Financials'!C40+'Condensed Financials'!B40)/2))</f>
        <v/>
      </c>
      <c r="D8" s="18">
        <f>IF((('Condensed Financials'!D40+'Condensed Financials'!C40)/2)=0,0,'Condensed Financials'!D27/(('Condensed Financials'!D40+'Condensed Financials'!C40)/2))</f>
        <v/>
      </c>
      <c r="E8" s="18">
        <f>IF((('Condensed Financials'!E40+'Condensed Financials'!D40)/2)=0,0,'Condensed Financials'!E27/(('Condensed Financials'!E40+'Condensed Financials'!D40)/2))</f>
        <v/>
      </c>
      <c r="F8" s="18">
        <f>IF((('Condensed Financials'!F40+'Condensed Financials'!E40)/2)=0,0,'Condensed Financials'!F27/(('Condensed Financials'!F40+'Condensed Financials'!E40)/2))</f>
        <v/>
      </c>
    </row>
    <row r="9">
      <c r="A9" s="9" t="inlineStr">
        <is>
          <t>Spread</t>
        </is>
      </c>
      <c r="B9" s="9" t="inlineStr">
        <is>
          <t>N/A</t>
        </is>
      </c>
      <c r="C9" s="22">
        <f>C7-C8</f>
        <v/>
      </c>
      <c r="D9" s="22">
        <f>D7-D8</f>
        <v/>
      </c>
      <c r="E9" s="22">
        <f>E7-E8</f>
        <v/>
      </c>
      <c r="F9" s="22">
        <f>F7-F8</f>
        <v/>
      </c>
    </row>
    <row r="10">
      <c r="A10" s="9" t="inlineStr">
        <is>
          <t>FLEV</t>
        </is>
      </c>
      <c r="B10" s="9" t="inlineStr">
        <is>
          <t>N/A</t>
        </is>
      </c>
      <c r="C10" s="16">
        <f>IF((('Condensed Financials'!C41+'Condensed Financials'!B41)/2)=0,0,(('Condensed Financials'!C40+'Condensed Financials'!B40)/2)/(('Condensed Financials'!C41+'Condensed Financials'!B41)/2))</f>
        <v/>
      </c>
      <c r="D10" s="16">
        <f>IF((('Condensed Financials'!D41+'Condensed Financials'!C41)/2)=0,0,(('Condensed Financials'!D40+'Condensed Financials'!C40)/2)/(('Condensed Financials'!D41+'Condensed Financials'!C41)/2))</f>
        <v/>
      </c>
      <c r="E10" s="16">
        <f>IF((('Condensed Financials'!E41+'Condensed Financials'!D41)/2)=0,0,(('Condensed Financials'!E40+'Condensed Financials'!D40)/2)/(('Condensed Financials'!E41+'Condensed Financials'!D41)/2))</f>
        <v/>
      </c>
      <c r="F10" s="16">
        <f>IF((('Condensed Financials'!F41+'Condensed Financials'!E41)/2)=0,0,(('Condensed Financials'!F40+'Condensed Financials'!E40)/2)/(('Condensed Financials'!F41+'Condensed Financials'!E41)/2))</f>
        <v/>
      </c>
    </row>
    <row r="11">
      <c r="A11" s="12" t="inlineStr">
        <is>
          <t>ROE (decomposed)</t>
        </is>
      </c>
      <c r="B11" s="12" t="inlineStr">
        <is>
          <t>N/A</t>
        </is>
      </c>
      <c r="C11" s="18">
        <f>C7+C10*(C9)</f>
        <v/>
      </c>
      <c r="D11" s="18">
        <f>D7+D10*(D9)</f>
        <v/>
      </c>
      <c r="E11" s="18">
        <f>E7+E10*(E9)</f>
        <v/>
      </c>
      <c r="F11" s="18">
        <f>F7+F10*(F9)</f>
        <v/>
      </c>
    </row>
    <row r="12">
      <c r="A12" s="12" t="inlineStr">
        <is>
          <t>Actual ROE</t>
        </is>
      </c>
      <c r="B12" s="12" t="inlineStr">
        <is>
          <t>N/A</t>
        </is>
      </c>
      <c r="C12" s="18">
        <f>IF((('Condensed Financials'!C41+'Condensed Financials'!B41)/2)=0,0,'Condensed Financials'!C20/(('Condensed Financials'!C41+'Condensed Financials'!B41)/2))</f>
        <v/>
      </c>
      <c r="D12" s="18">
        <f>IF((('Condensed Financials'!D41+'Condensed Financials'!C41)/2)=0,0,'Condensed Financials'!D20/(('Condensed Financials'!D41+'Condensed Financials'!C41)/2))</f>
        <v/>
      </c>
      <c r="E12" s="18">
        <f>IF((('Condensed Financials'!E41+'Condensed Financials'!D41)/2)=0,0,'Condensed Financials'!E20/(('Condensed Financials'!E41+'Condensed Financials'!D41)/2))</f>
        <v/>
      </c>
      <c r="F12" s="18">
        <f>IF((('Condensed Financials'!F41+'Condensed Financials'!E41)/2)=0,0,'Condensed Financials'!F20/(('Condensed Financials'!F41+'Condensed Financials'!E41)/2))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2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2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9" t="n">
        <v>1</v>
      </c>
      <c r="B5" s="9" t="inlineStr">
        <is>
          <t>Operating lease liabilities</t>
        </is>
      </c>
      <c r="C5" s="9" t="inlineStr">
        <is>
          <t>Lease liability operating vs financing</t>
        </is>
      </c>
      <c r="D5" s="9" t="inlineStr">
        <is>
          <t>Operating Long-Term Liability</t>
        </is>
      </c>
      <c r="E5" s="9" t="inlineStr">
        <is>
          <t>Financial Liability</t>
        </is>
      </c>
      <c r="F5" s="23" t="inlineStr">
        <is>
          <t>Operating Long-Term Liability</t>
        </is>
      </c>
      <c r="G5" s="23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23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</sheetData>
  <dataValidations count="1">
    <dataValidation sqref="F5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revenue_link__20211231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condensed.revenue_link.2021-12-31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B19</t>
        </is>
      </c>
      <c r="I2">
        <f>'Income Statement'!B7</f>
        <v/>
      </c>
      <c r="J2" t="n">
        <v>8500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2021-12-31</t>
        </is>
      </c>
    </row>
    <row r="3">
      <c r="A3" t="inlineStr">
        <is>
          <t>revenue_link__20221231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condensed.revenue_link.2022-12-31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C19</t>
        </is>
      </c>
      <c r="I3">
        <f>'Income Statement'!C7</f>
        <v/>
      </c>
      <c r="J3" t="n">
        <v>9200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2022-12-31</t>
        </is>
      </c>
    </row>
    <row r="4">
      <c r="A4" t="inlineStr">
        <is>
          <t>revenue_link__20231231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condensed.revenue_link.2023-12-31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D19</t>
        </is>
      </c>
      <c r="I4">
        <f>'Income Statement'!D7</f>
        <v/>
      </c>
      <c r="J4" t="n">
        <v>10100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2023-12-31</t>
        </is>
      </c>
    </row>
    <row r="5">
      <c r="A5" t="inlineStr">
        <is>
          <t>revenue_link__20241231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condensed.revenue_link.2024-12-31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E19</t>
        </is>
      </c>
      <c r="I5">
        <f>'Income Statement'!E7</f>
        <v/>
      </c>
      <c r="J5" t="n">
        <v>11200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2024-12-31</t>
        </is>
      </c>
    </row>
    <row r="6">
      <c r="A6" t="inlineStr">
        <is>
          <t>revenue_link__20251231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condensed.revenue_link.2025-12-31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F19</t>
        </is>
      </c>
      <c r="I6">
        <f>'Income Statement'!F7</f>
        <v/>
      </c>
      <c r="J6" t="n">
        <v>12500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2025-12-31</t>
        </is>
      </c>
    </row>
    <row r="7">
      <c r="A7" t="inlineStr">
        <is>
          <t>net_income_link__20211231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condensed.net_income_link.2021-12-31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B20</t>
        </is>
      </c>
      <c r="I7">
        <f>'Income Statement'!B16</f>
        <v/>
      </c>
      <c r="J7" t="n">
        <v>2760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2021-12-31</t>
        </is>
      </c>
    </row>
    <row r="8">
      <c r="A8" t="inlineStr">
        <is>
          <t>net_income_link__20221231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condensed.net_income_link.2022-12-31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C20</t>
        </is>
      </c>
      <c r="I8">
        <f>'Income Statement'!C16</f>
        <v/>
      </c>
      <c r="J8" t="n">
        <v>2988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2022-12-31</t>
        </is>
      </c>
    </row>
    <row r="9">
      <c r="A9" t="inlineStr">
        <is>
          <t>net_income_link__20231231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condensed.net_income_link.2023-12-31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D20</t>
        </is>
      </c>
      <c r="I9">
        <f>'Income Statement'!D16</f>
        <v/>
      </c>
      <c r="J9" t="n">
        <v>3283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2023-12-31</t>
        </is>
      </c>
    </row>
    <row r="10">
      <c r="A10" t="inlineStr">
        <is>
          <t>net_income_link__20241231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condensed.net_income_link.2024-12-31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E20</t>
        </is>
      </c>
      <c r="I10">
        <f>'Income Statement'!E16</f>
        <v/>
      </c>
      <c r="J10" t="n">
        <v>3644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2024-12-31</t>
        </is>
      </c>
    </row>
    <row r="11">
      <c r="A11" t="inlineStr">
        <is>
          <t>net_income_link__20251231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condensed.net_income_link.2025-12-31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F20</t>
        </is>
      </c>
      <c r="I11">
        <f>'Income Statement'!F16</f>
        <v/>
      </c>
      <c r="J11" t="n">
        <v>4072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2025-12-31</t>
        </is>
      </c>
    </row>
    <row r="12">
      <c r="A12" t="inlineStr">
        <is>
          <t>effective_tax_rate_fy__20211231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condensed.effective_tax_rate.2021-12-31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B25</t>
        </is>
      </c>
      <c r="I12">
        <f>IF(B21=0,0,-B22/B21)</f>
        <v/>
      </c>
      <c r="J12" t="n">
        <v>0.1699248120300752</v>
      </c>
      <c r="K12" t="n">
        <v>0.01</v>
      </c>
      <c r="M12" t="inlineStr">
        <is>
          <t>Effective tax rate uses pretax income in the denominator.|Preserve the model's sign convention for tax expense.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2021-12-31</t>
        </is>
      </c>
    </row>
    <row r="13">
      <c r="A13" t="inlineStr">
        <is>
          <t>effective_tax_rate_fy__20221231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condensed.effective_tax_rate.2022-12-31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C25</t>
        </is>
      </c>
      <c r="I13">
        <f>IF(C21=0,0,-C22/C21)</f>
        <v/>
      </c>
      <c r="J13" t="n">
        <v>0.17</v>
      </c>
      <c r="K13" t="n">
        <v>0.01</v>
      </c>
      <c r="M13" t="inlineStr">
        <is>
          <t>Effective tax rate uses pretax income in the denominator.|Preserve the model's sign convention for tax expense.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2022-12-31</t>
        </is>
      </c>
    </row>
    <row r="14">
      <c r="A14" t="inlineStr">
        <is>
          <t>effective_tax_rate_fy__20231231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condensed.effective_tax_rate.2023-12-31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D25</t>
        </is>
      </c>
      <c r="I14">
        <f>IF(D21=0,0,-D22/D21)</f>
        <v/>
      </c>
      <c r="J14" t="n">
        <v>0.1699115044247788</v>
      </c>
      <c r="K14" t="n">
        <v>0.01</v>
      </c>
      <c r="M14" t="inlineStr">
        <is>
          <t>Effective tax rate uses pretax income in the denominator.|Preserve the model's sign convention for tax expense.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2023-12-31</t>
        </is>
      </c>
    </row>
    <row r="15">
      <c r="A15" t="inlineStr">
        <is>
          <t>effective_tax_rate_fy__20241231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condensed.effective_tax_rate.2024-12-31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E25</t>
        </is>
      </c>
      <c r="I15">
        <f>IF(E21=0,0,-E22/E21)</f>
        <v/>
      </c>
      <c r="J15" t="n">
        <v>0.1699316628701595</v>
      </c>
      <c r="K15" t="n">
        <v>0.01</v>
      </c>
      <c r="M15" t="inlineStr">
        <is>
          <t>Effective tax rate uses pretax income in the denominator.|Preserve the model's sign convention for tax expense.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2024-12-31</t>
        </is>
      </c>
    </row>
    <row r="16">
      <c r="A16" t="inlineStr">
        <is>
          <t>effective_tax_rate_fy__20251231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condensed.effective_tax_rate.2025-12-31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F25</t>
        </is>
      </c>
      <c r="I16">
        <f>IF(F21=0,0,-F22/F21)</f>
        <v/>
      </c>
      <c r="J16" t="n">
        <v>0.1698267074413863</v>
      </c>
      <c r="K16" t="n">
        <v>0.01</v>
      </c>
      <c r="M16" t="inlineStr">
        <is>
          <t>Effective tax rate uses pretax income in the denominator.|Preserve the model's sign convention for tax expense.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2025-12-31</t>
        </is>
      </c>
    </row>
    <row r="17">
      <c r="A17" t="inlineStr">
        <is>
          <t>net_interest_fy__20211231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condensed.net_interest.2021-12-31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B26</t>
        </is>
      </c>
      <c r="I17">
        <f>-(B23+B24)</f>
        <v/>
      </c>
      <c r="J17" t="n">
        <v>75</v>
      </c>
      <c r="K17" t="n">
        <v>0.01</v>
      </c>
      <c r="M17" t="inlineStr">
        <is>
          <t>Net interest consolidates interest expense and interest income.|Missing optional interest lines are treated as zero.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2021-12-31</t>
        </is>
      </c>
    </row>
    <row r="18">
      <c r="A18" t="inlineStr">
        <is>
          <t>net_interest_fy__20221231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condensed.net_interest.2022-12-31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C26</t>
        </is>
      </c>
      <c r="I18">
        <f>-(C23+C24)</f>
        <v/>
      </c>
      <c r="J18" t="n">
        <v>80</v>
      </c>
      <c r="K18" t="n">
        <v>0.01</v>
      </c>
      <c r="M18" t="inlineStr">
        <is>
          <t>Net interest consolidates interest expense and interest income.|Missing optional interest lines are treated as zero.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2022-12-31</t>
        </is>
      </c>
    </row>
    <row r="19">
      <c r="A19" t="inlineStr">
        <is>
          <t>net_interest_fy__20231231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condensed.net_interest.2023-12-31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D26</t>
        </is>
      </c>
      <c r="I19">
        <f>-(D23+D24)</f>
        <v/>
      </c>
      <c r="J19" t="n">
        <v>85</v>
      </c>
      <c r="K19" t="n">
        <v>0.01</v>
      </c>
      <c r="M19" t="inlineStr">
        <is>
          <t>Net interest consolidates interest expense and interest income.|Missing optional interest lines are treated as zero.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2023-12-31</t>
        </is>
      </c>
    </row>
    <row r="20">
      <c r="A20" t="inlineStr">
        <is>
          <t>net_interest_fy__20241231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condensed.net_interest.2024-12-31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E26</t>
        </is>
      </c>
      <c r="I20">
        <f>-(E23+E24)</f>
        <v/>
      </c>
      <c r="J20" t="n">
        <v>90</v>
      </c>
      <c r="K20" t="n">
        <v>0.01</v>
      </c>
      <c r="M20" t="inlineStr">
        <is>
          <t>Net interest consolidates interest expense and interest income.|Missing optional interest lines are treated as zero.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2024-12-31</t>
        </is>
      </c>
    </row>
    <row r="21">
      <c r="A21" t="inlineStr">
        <is>
          <t>net_interest_fy__20251231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condensed.net_interest.2025-12-31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F26</t>
        </is>
      </c>
      <c r="I21">
        <f>-(F23+F24)</f>
        <v/>
      </c>
      <c r="J21" t="n">
        <v>95</v>
      </c>
      <c r="K21" t="n">
        <v>0.01</v>
      </c>
      <c r="M21" t="inlineStr">
        <is>
          <t>Net interest consolidates interest expense and interest income.|Missing optional interest lines are treated as zero.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2025-12-31</t>
        </is>
      </c>
    </row>
    <row r="22">
      <c r="A22" t="inlineStr">
        <is>
          <t>net_interest_after_tax_fy__20211231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condensed.net_interest_after_tax.2021-12-31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B27</t>
        </is>
      </c>
      <c r="I22">
        <f>B26*(1-B25)</f>
        <v/>
      </c>
      <c r="J22" t="n">
        <v>62.25563909774436</v>
      </c>
      <c r="K22" t="n">
        <v>0.01</v>
      </c>
      <c r="L22" t="inlineStr">
        <is>
          <t>effective_tax_rate_fy__20211231,net_interest_fy__20211231</t>
        </is>
      </c>
      <c r="M22" t="inlineStr">
        <is>
          <t>After-tax net interest = Net Interest × (1 − Effective Tax Rate).|Do not tax-adjust a rate that is already after tax.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2021-12-31</t>
        </is>
      </c>
    </row>
    <row r="23">
      <c r="A23" t="inlineStr">
        <is>
          <t>net_interest_after_tax_fy__20221231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condensed.net_interest_after_tax.2022-12-31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C27</t>
        </is>
      </c>
      <c r="I23">
        <f>C26*(1-C25)</f>
        <v/>
      </c>
      <c r="J23" t="n">
        <v>66.39999999999999</v>
      </c>
      <c r="K23" t="n">
        <v>0.01</v>
      </c>
      <c r="L23" t="inlineStr">
        <is>
          <t>effective_tax_rate_fy__20221231,net_interest_fy__20221231</t>
        </is>
      </c>
      <c r="M23" t="inlineStr">
        <is>
          <t>After-tax net interest = Net Interest × (1 − Effective Tax Rate).|Do not tax-adjust a rate that is already after tax.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2022-12-31</t>
        </is>
      </c>
    </row>
    <row r="24">
      <c r="A24" t="inlineStr">
        <is>
          <t>net_interest_after_tax_fy__20231231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condensed.net_interest_after_tax.2023-12-31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D27</t>
        </is>
      </c>
      <c r="I24">
        <f>D26*(1-D25)</f>
        <v/>
      </c>
      <c r="J24" t="n">
        <v>70.5575221238938</v>
      </c>
      <c r="K24" t="n">
        <v>0.01</v>
      </c>
      <c r="L24" t="inlineStr">
        <is>
          <t>effective_tax_rate_fy__20231231,net_interest_fy__20231231</t>
        </is>
      </c>
      <c r="M24" t="inlineStr">
        <is>
          <t>After-tax net interest = Net Interest × (1 − Effective Tax Rate).|Do not tax-adjust a rate that is already after tax.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2023-12-31</t>
        </is>
      </c>
    </row>
    <row r="25">
      <c r="A25" t="inlineStr">
        <is>
          <t>net_interest_after_tax_fy__20241231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condensed.net_interest_after_tax.2024-12-31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E27</t>
        </is>
      </c>
      <c r="I25">
        <f>E26*(1-E25)</f>
        <v/>
      </c>
      <c r="J25" t="n">
        <v>74.70615034168564</v>
      </c>
      <c r="K25" t="n">
        <v>0.01</v>
      </c>
      <c r="L25" t="inlineStr">
        <is>
          <t>effective_tax_rate_fy__20241231,net_interest_fy__20241231</t>
        </is>
      </c>
      <c r="M25" t="inlineStr">
        <is>
          <t>After-tax net interest = Net Interest × (1 − Effective Tax Rate).|Do not tax-adjust a rate that is already after tax.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2024-12-31</t>
        </is>
      </c>
    </row>
    <row r="26">
      <c r="A26" t="inlineStr">
        <is>
          <t>net_interest_after_tax_fy__20251231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condensed.net_interest_after_tax.2025-12-31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F27</t>
        </is>
      </c>
      <c r="I26">
        <f>F26*(1-F25)</f>
        <v/>
      </c>
      <c r="J26" t="n">
        <v>78.86646279306829</v>
      </c>
      <c r="K26" t="n">
        <v>0.01</v>
      </c>
      <c r="L26" t="inlineStr">
        <is>
          <t>effective_tax_rate_fy__20251231,net_interest_fy__20251231</t>
        </is>
      </c>
      <c r="M26" t="inlineStr">
        <is>
          <t>After-tax net interest = Net Interest × (1 − Effective Tax Rate).|Do not tax-adjust a rate that is already after tax.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2025-12-31</t>
        </is>
      </c>
    </row>
    <row r="27">
      <c r="A27" t="inlineStr">
        <is>
          <t>nopat_fy__20211231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condensed.nopat.2021-12-31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B28</t>
        </is>
      </c>
      <c r="I27">
        <f>B20+B27</f>
        <v/>
      </c>
      <c r="J27" t="n">
        <v>2822.255639097744</v>
      </c>
      <c r="K27" t="n">
        <v>0.01</v>
      </c>
      <c r="L27" t="inlineStr">
        <is>
          <t>net_income_link__20211231,net_interest_after_tax_fy__20211231</t>
        </is>
      </c>
      <c r="M27" t="inlineStr">
        <is>
          <t>Start from Net Income on the Income Statement.|Add back after-tax net interest: Net Interest × (1 − Tax Rate).|NOPAT = Net Income + Net Interest After Tax.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2021-12-31</t>
        </is>
      </c>
    </row>
    <row r="28">
      <c r="A28" t="inlineStr">
        <is>
          <t>nopat_fy__20221231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condensed.nopat.2022-12-31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C28</t>
        </is>
      </c>
      <c r="I28">
        <f>C20+C27</f>
        <v/>
      </c>
      <c r="J28" t="n">
        <v>3054.4</v>
      </c>
      <c r="K28" t="n">
        <v>0.01</v>
      </c>
      <c r="L28" t="inlineStr">
        <is>
          <t>net_income_link__20221231,net_interest_after_tax_fy__20221231</t>
        </is>
      </c>
      <c r="M28" t="inlineStr">
        <is>
          <t>Start from Net Income on the Income Statement.|Add back after-tax net interest: Net Interest × (1 − Tax Rate).|NOPAT = Net Income + Net Interest After Tax.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2022-12-31</t>
        </is>
      </c>
    </row>
    <row r="29">
      <c r="A29" t="inlineStr">
        <is>
          <t>nopat_fy__20231231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condensed.nopat.2023-12-31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D28</t>
        </is>
      </c>
      <c r="I29">
        <f>D20+D27</f>
        <v/>
      </c>
      <c r="J29" t="n">
        <v>3353.557522123894</v>
      </c>
      <c r="K29" t="n">
        <v>0.01</v>
      </c>
      <c r="L29" t="inlineStr">
        <is>
          <t>net_income_link__20231231,net_interest_after_tax_fy__20231231</t>
        </is>
      </c>
      <c r="M29" t="inlineStr">
        <is>
          <t>Start from Net Income on the Income Statement.|Add back after-tax net interest: Net Interest × (1 − Tax Rate).|NOPAT = Net Income + Net Interest After Tax.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2023-12-31</t>
        </is>
      </c>
    </row>
    <row r="30">
      <c r="A30" t="inlineStr">
        <is>
          <t>nopat_fy__20241231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condensed.nopat.2024-12-31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E28</t>
        </is>
      </c>
      <c r="I30">
        <f>E20+E27</f>
        <v/>
      </c>
      <c r="J30" t="n">
        <v>3718.706150341686</v>
      </c>
      <c r="K30" t="n">
        <v>0.01</v>
      </c>
      <c r="L30" t="inlineStr">
        <is>
          <t>net_income_link__20241231,net_interest_after_tax_fy__20241231</t>
        </is>
      </c>
      <c r="M30" t="inlineStr">
        <is>
          <t>Start from Net Income on the Income Statement.|Add back after-tax net interest: Net Interest × (1 − Tax Rate).|NOPAT = Net Income + Net Interest After Tax.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2024-12-31</t>
        </is>
      </c>
    </row>
    <row r="31">
      <c r="A31" t="inlineStr">
        <is>
          <t>nopat_fy__20251231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condensed.nopat.2025-12-31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F28</t>
        </is>
      </c>
      <c r="I31">
        <f>F20+F27</f>
        <v/>
      </c>
      <c r="J31" t="n">
        <v>4150.866462793068</v>
      </c>
      <c r="K31" t="n">
        <v>0.01</v>
      </c>
      <c r="L31" t="inlineStr">
        <is>
          <t>net_income_link__20251231,net_interest_after_tax_fy__20251231</t>
        </is>
      </c>
      <c r="M31" t="inlineStr">
        <is>
          <t>Start from Net Income on the Income Statement.|Add back after-tax net interest: Net Interest × (1 − Tax Rate).|NOPAT = Net Income + Net Interest After Tax.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2025-12-31</t>
        </is>
      </c>
    </row>
    <row r="32">
      <c r="A32" t="inlineStr">
        <is>
          <t>owca_agg__20211231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condensed.owca.2021-12-31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B31</t>
        </is>
      </c>
      <c r="I32">
        <f>SUMIF($B$6:$B$16,"Operating Working Capital Asset",C$6:C$16)</f>
        <v/>
      </c>
      <c r="J32" t="n">
        <v>1530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2021-12-31</t>
        </is>
      </c>
    </row>
    <row r="33">
      <c r="A33" t="inlineStr">
        <is>
          <t>owca_agg__20221231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condensed.owca.2022-12-31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C31</t>
        </is>
      </c>
      <c r="I33">
        <f>SUMIF($B$6:$B$16,"Operating Working Capital Asset",D$6:D$16)</f>
        <v/>
      </c>
      <c r="J33" t="n">
        <v>1656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2022-12-31</t>
        </is>
      </c>
    </row>
    <row r="34">
      <c r="A34" t="inlineStr">
        <is>
          <t>owca_agg__20231231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condensed.owca.2023-12-31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D31</t>
        </is>
      </c>
      <c r="I34">
        <f>SUMIF($B$6:$B$16,"Operating Working Capital Asset",E$6:E$16)</f>
        <v/>
      </c>
      <c r="J34" t="n">
        <v>1818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2023-12-31</t>
        </is>
      </c>
    </row>
    <row r="35">
      <c r="A35" t="inlineStr">
        <is>
          <t>owca_agg__20241231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condensed.owca.2024-12-31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E31</t>
        </is>
      </c>
      <c r="I35">
        <f>SUMIF($B$6:$B$16,"Operating Working Capital Asset",F$6:F$16)</f>
        <v/>
      </c>
      <c r="J35" t="n">
        <v>2016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2024-12-31</t>
        </is>
      </c>
    </row>
    <row r="36">
      <c r="A36" t="inlineStr">
        <is>
          <t>owca_agg__20251231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condensed.owca.2025-12-31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F31</t>
        </is>
      </c>
      <c r="I36">
        <f>SUMIF($B$6:$B$16,"Operating Working Capital Asset",G$6:G$16)</f>
        <v/>
      </c>
      <c r="J36" t="n">
        <v>2250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2025-12-31</t>
        </is>
      </c>
    </row>
    <row r="37">
      <c r="A37" t="inlineStr">
        <is>
          <t>owcl_agg__20211231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condensed.owcl.2021-12-31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B32</t>
        </is>
      </c>
      <c r="I37">
        <f>SUMIF($B$6:$B$16,"Operating Working Capital Liability",C$6:C$16)</f>
        <v/>
      </c>
      <c r="J37" t="n">
        <v>595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2021-12-31</t>
        </is>
      </c>
    </row>
    <row r="38">
      <c r="A38" t="inlineStr">
        <is>
          <t>owcl_agg__20221231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condensed.owcl.2022-12-31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C32</t>
        </is>
      </c>
      <c r="I38">
        <f>SUMIF($B$6:$B$16,"Operating Working Capital Liability",D$6:D$16)</f>
        <v/>
      </c>
      <c r="J38" t="n">
        <v>644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2022-12-31</t>
        </is>
      </c>
    </row>
    <row r="39">
      <c r="A39" t="inlineStr">
        <is>
          <t>owcl_agg__20231231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condensed.owcl.2023-12-31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D32</t>
        </is>
      </c>
      <c r="I39">
        <f>SUMIF($B$6:$B$16,"Operating Working Capital Liability",E$6:E$16)</f>
        <v/>
      </c>
      <c r="J39" t="n">
        <v>707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2023-12-31</t>
        </is>
      </c>
    </row>
    <row r="40">
      <c r="A40" t="inlineStr">
        <is>
          <t>owcl_agg__20241231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condensed.owcl.2024-12-31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E32</t>
        </is>
      </c>
      <c r="I40">
        <f>SUMIF($B$6:$B$16,"Operating Working Capital Liability",F$6:F$16)</f>
        <v/>
      </c>
      <c r="J40" t="n">
        <v>784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2024-12-31</t>
        </is>
      </c>
    </row>
    <row r="41">
      <c r="A41" t="inlineStr">
        <is>
          <t>owcl_agg__20251231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condensed.owcl.2025-12-31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F32</t>
        </is>
      </c>
      <c r="I41">
        <f>SUMIF($B$6:$B$16,"Operating Working Capital Liability",G$6:G$16)</f>
        <v/>
      </c>
      <c r="J41" t="n">
        <v>875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2025-12-31</t>
        </is>
      </c>
    </row>
    <row r="42">
      <c r="A42" t="inlineStr">
        <is>
          <t>nowc_agg__20211231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condensed.nowc.2021-12-31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B33</t>
        </is>
      </c>
      <c r="I42">
        <f>B31-B32</f>
        <v/>
      </c>
      <c r="J42" t="n">
        <v>935</v>
      </c>
      <c r="K42" t="n">
        <v>0.01</v>
      </c>
      <c r="L42" t="inlineStr">
        <is>
          <t>owca_agg__20211231,owcl_agg__20211231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2021-12-31</t>
        </is>
      </c>
    </row>
    <row r="43">
      <c r="A43" t="inlineStr">
        <is>
          <t>nowc_agg__20221231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condensed.nowc.2022-12-31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C33</t>
        </is>
      </c>
      <c r="I43">
        <f>C31-C32</f>
        <v/>
      </c>
      <c r="J43" t="n">
        <v>1012</v>
      </c>
      <c r="K43" t="n">
        <v>0.01</v>
      </c>
      <c r="L43" t="inlineStr">
        <is>
          <t>owca_agg__20221231,owcl_agg__20221231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2022-12-31</t>
        </is>
      </c>
    </row>
    <row r="44">
      <c r="A44" t="inlineStr">
        <is>
          <t>nowc_agg__20231231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condensed.nowc.2023-12-31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D33</t>
        </is>
      </c>
      <c r="I44">
        <f>D31-D32</f>
        <v/>
      </c>
      <c r="J44" t="n">
        <v>1111</v>
      </c>
      <c r="K44" t="n">
        <v>0.01</v>
      </c>
      <c r="L44" t="inlineStr">
        <is>
          <t>owca_agg__20231231,owcl_agg__20231231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2023-12-31</t>
        </is>
      </c>
    </row>
    <row r="45">
      <c r="A45" t="inlineStr">
        <is>
          <t>nowc_agg__20241231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condensed.nowc.2024-12-31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E33</t>
        </is>
      </c>
      <c r="I45">
        <f>E31-E32</f>
        <v/>
      </c>
      <c r="J45" t="n">
        <v>1232</v>
      </c>
      <c r="K45" t="n">
        <v>0.01</v>
      </c>
      <c r="L45" t="inlineStr">
        <is>
          <t>owca_agg__20241231,owcl_agg__20241231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2024-12-31</t>
        </is>
      </c>
    </row>
    <row r="46">
      <c r="A46" t="inlineStr">
        <is>
          <t>nowc_agg__20251231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condensed.nowc.2025-12-31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F33</t>
        </is>
      </c>
      <c r="I46">
        <f>F31-F32</f>
        <v/>
      </c>
      <c r="J46" t="n">
        <v>1375</v>
      </c>
      <c r="K46" t="n">
        <v>0.01</v>
      </c>
      <c r="L46" t="inlineStr">
        <is>
          <t>owca_agg__20251231,owcl_agg__20251231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2025-12-31</t>
        </is>
      </c>
    </row>
    <row r="47">
      <c r="A47" t="inlineStr">
        <is>
          <t>olta_agg__20211231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condensed.olta.2021-12-31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B34</t>
        </is>
      </c>
      <c r="I47">
        <f>SUMIF($B$6:$B$16,"Operating Long-Term Asset",C$6:C$16)</f>
        <v/>
      </c>
      <c r="J47" t="n">
        <v>5770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2021-12-31</t>
        </is>
      </c>
    </row>
    <row r="48">
      <c r="A48" t="inlineStr">
        <is>
          <t>olta_agg__20221231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condensed.olta.2022-12-31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C34</t>
        </is>
      </c>
      <c r="I48">
        <f>SUMIF($B$6:$B$16,"Operating Long-Term Asset",D$6:D$16)</f>
        <v/>
      </c>
      <c r="J48" t="n">
        <v>6194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2022-12-31</t>
        </is>
      </c>
    </row>
    <row r="49">
      <c r="A49" t="inlineStr">
        <is>
          <t>olta_agg__20231231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condensed.olta.2023-12-31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D34</t>
        </is>
      </c>
      <c r="I49">
        <f>SUMIF($B$6:$B$16,"Operating Long-Term Asset",E$6:E$16)</f>
        <v/>
      </c>
      <c r="J49" t="n">
        <v>6782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2023-12-31</t>
        </is>
      </c>
    </row>
    <row r="50">
      <c r="A50" t="inlineStr">
        <is>
          <t>olta_agg__20241231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condensed.olta.2024-12-31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E34</t>
        </is>
      </c>
      <c r="I50">
        <f>SUMIF($B$6:$B$16,"Operating Long-Term Asset",F$6:F$16)</f>
        <v/>
      </c>
      <c r="J50" t="n">
        <v>7504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2024-12-31</t>
        </is>
      </c>
    </row>
    <row r="51">
      <c r="A51" t="inlineStr">
        <is>
          <t>olta_agg__20251231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condensed.olta.2025-12-31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F34</t>
        </is>
      </c>
      <c r="I51">
        <f>SUMIF($B$6:$B$16,"Operating Long-Term Asset",G$6:G$16)</f>
        <v/>
      </c>
      <c r="J51" t="n">
        <v>8400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2025-12-31</t>
        </is>
      </c>
    </row>
    <row r="52">
      <c r="A52" t="inlineStr">
        <is>
          <t>oltl_agg__20211231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condensed.oltl.2021-12-31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B35</t>
        </is>
      </c>
      <c r="I52">
        <f>SUMIF($B$6:$B$16,"Operating Long-Term Liability",C$6:C$16)</f>
        <v/>
      </c>
      <c r="J52" t="n">
        <v>1305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2021-12-31</t>
        </is>
      </c>
    </row>
    <row r="53">
      <c r="A53" t="inlineStr">
        <is>
          <t>oltl_agg__20221231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condensed.oltl.2022-12-31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C35</t>
        </is>
      </c>
      <c r="I53">
        <f>SUMIF($B$6:$B$16,"Operating Long-Term Liability",D$6:D$16)</f>
        <v/>
      </c>
      <c r="J53" t="n">
        <v>1456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2022-12-31</t>
        </is>
      </c>
    </row>
    <row r="54">
      <c r="A54" t="inlineStr">
        <is>
          <t>oltl_agg__20231231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condensed.oltl.2023-12-31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D35</t>
        </is>
      </c>
      <c r="I54">
        <f>SUMIF($B$6:$B$16,"Operating Long-Term Liability",E$6:E$16)</f>
        <v/>
      </c>
      <c r="J54" t="n">
        <v>1593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2023-12-31</t>
        </is>
      </c>
    </row>
    <row r="55">
      <c r="A55" t="inlineStr">
        <is>
          <t>oltl_agg__20241231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condensed.oltl.2024-12-31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E35</t>
        </is>
      </c>
      <c r="I55">
        <f>SUMIF($B$6:$B$16,"Operating Long-Term Liability",F$6:F$16)</f>
        <v/>
      </c>
      <c r="J55" t="n">
        <v>1716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2024-12-31</t>
        </is>
      </c>
    </row>
    <row r="56">
      <c r="A56" t="inlineStr">
        <is>
          <t>oltl_agg__20251231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condensed.oltl.2025-12-31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F35</t>
        </is>
      </c>
      <c r="I56">
        <f>SUMIF($B$6:$B$16,"Operating Long-Term Liability",G$6:G$16)</f>
        <v/>
      </c>
      <c r="J56" t="n">
        <v>1825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2025-12-31</t>
        </is>
      </c>
    </row>
    <row r="57">
      <c r="A57" t="inlineStr">
        <is>
          <t>nola_agg__20211231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condensed.nola.2021-12-31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B36</t>
        </is>
      </c>
      <c r="I57">
        <f>B34-B35</f>
        <v/>
      </c>
      <c r="J57" t="n">
        <v>4465</v>
      </c>
      <c r="K57" t="n">
        <v>0.01</v>
      </c>
      <c r="L57" t="inlineStr">
        <is>
          <t>olta_agg__20211231,oltl_agg__20211231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2021-12-31</t>
        </is>
      </c>
    </row>
    <row r="58">
      <c r="A58" t="inlineStr">
        <is>
          <t>nola_agg__20221231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condensed.nola.2022-12-31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C36</t>
        </is>
      </c>
      <c r="I58">
        <f>C34-C35</f>
        <v/>
      </c>
      <c r="J58" t="n">
        <v>4738</v>
      </c>
      <c r="K58" t="n">
        <v>0.01</v>
      </c>
      <c r="L58" t="inlineStr">
        <is>
          <t>olta_agg__20221231,oltl_agg__20221231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2022-12-31</t>
        </is>
      </c>
    </row>
    <row r="59">
      <c r="A59" t="inlineStr">
        <is>
          <t>nola_agg__20231231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condensed.nola.2023-12-31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D36</t>
        </is>
      </c>
      <c r="I59">
        <f>D34-D35</f>
        <v/>
      </c>
      <c r="J59" t="n">
        <v>5189</v>
      </c>
      <c r="K59" t="n">
        <v>0.01</v>
      </c>
      <c r="L59" t="inlineStr">
        <is>
          <t>olta_agg__20231231,oltl_agg__20231231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2023-12-31</t>
        </is>
      </c>
    </row>
    <row r="60">
      <c r="A60" t="inlineStr">
        <is>
          <t>nola_agg__20241231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condensed.nola.2024-12-31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E36</t>
        </is>
      </c>
      <c r="I60">
        <f>E34-E35</f>
        <v/>
      </c>
      <c r="J60" t="n">
        <v>5788</v>
      </c>
      <c r="K60" t="n">
        <v>0.01</v>
      </c>
      <c r="L60" t="inlineStr">
        <is>
          <t>olta_agg__20241231,oltl_agg__20241231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2024-12-31</t>
        </is>
      </c>
    </row>
    <row r="61">
      <c r="A61" t="inlineStr">
        <is>
          <t>nola_agg__20251231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condensed.nola.2025-12-31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F36</t>
        </is>
      </c>
      <c r="I61">
        <f>F34-F35</f>
        <v/>
      </c>
      <c r="J61" t="n">
        <v>6575</v>
      </c>
      <c r="K61" t="n">
        <v>0.01</v>
      </c>
      <c r="L61" t="inlineStr">
        <is>
          <t>olta_agg__20251231,oltl_agg__20251231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2025-12-31</t>
        </is>
      </c>
    </row>
    <row r="62">
      <c r="A62" t="inlineStr">
        <is>
          <t>noa_agg__20211231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condensed.noa.2021-12-31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B37</t>
        </is>
      </c>
      <c r="I62">
        <f>B33+B36</f>
        <v/>
      </c>
      <c r="J62" t="n">
        <v>5400</v>
      </c>
      <c r="K62" t="n">
        <v>0.01</v>
      </c>
      <c r="L62" t="inlineStr">
        <is>
          <t>nowc_agg__20211231,nola_agg__20211231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2021-12-31</t>
        </is>
      </c>
    </row>
    <row r="63">
      <c r="A63" t="inlineStr">
        <is>
          <t>noa_agg__20221231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condensed.noa.2022-12-31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C37</t>
        </is>
      </c>
      <c r="I63">
        <f>C33+C36</f>
        <v/>
      </c>
      <c r="J63" t="n">
        <v>5750</v>
      </c>
      <c r="K63" t="n">
        <v>0.01</v>
      </c>
      <c r="L63" t="inlineStr">
        <is>
          <t>nowc_agg__20221231,nola_agg__20221231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2022-12-31</t>
        </is>
      </c>
    </row>
    <row r="64">
      <c r="A64" t="inlineStr">
        <is>
          <t>noa_agg__20231231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condensed.noa.2023-12-31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D37</t>
        </is>
      </c>
      <c r="I64">
        <f>D33+D36</f>
        <v/>
      </c>
      <c r="J64" t="n">
        <v>6300</v>
      </c>
      <c r="K64" t="n">
        <v>0.01</v>
      </c>
      <c r="L64" t="inlineStr">
        <is>
          <t>nowc_agg__20231231,nola_agg__20231231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2023-12-31</t>
        </is>
      </c>
    </row>
    <row r="65">
      <c r="A65" t="inlineStr">
        <is>
          <t>noa_agg__20241231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condensed.noa.2024-12-31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E37</t>
        </is>
      </c>
      <c r="I65">
        <f>E33+E36</f>
        <v/>
      </c>
      <c r="J65" t="n">
        <v>7020</v>
      </c>
      <c r="K65" t="n">
        <v>0.01</v>
      </c>
      <c r="L65" t="inlineStr">
        <is>
          <t>nowc_agg__20241231,nola_agg__20241231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2024-12-31</t>
        </is>
      </c>
    </row>
    <row r="66">
      <c r="A66" t="inlineStr">
        <is>
          <t>noa_agg__20251231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condensed.noa.2025-12-31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F37</t>
        </is>
      </c>
      <c r="I66">
        <f>F33+F36</f>
        <v/>
      </c>
      <c r="J66" t="n">
        <v>7950</v>
      </c>
      <c r="K66" t="n">
        <v>0.01</v>
      </c>
      <c r="L66" t="inlineStr">
        <is>
          <t>nowc_agg__20251231,nola_agg__20251231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2025-12-31</t>
        </is>
      </c>
    </row>
    <row r="67">
      <c r="A67" t="inlineStr">
        <is>
          <t>financial_assets_agg__20211231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condensed.financial_assets.2021-12-31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B38</t>
        </is>
      </c>
      <c r="I67">
        <f>SUMIF($B$6:$B$16,"Financial Asset",C$6:C$16)</f>
        <v/>
      </c>
      <c r="J67" t="n">
        <v>1200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2021-12-31</t>
        </is>
      </c>
    </row>
    <row r="68">
      <c r="A68" t="inlineStr">
        <is>
          <t>financial_assets_agg__20221231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condensed.financial_assets.2022-12-31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C38</t>
        </is>
      </c>
      <c r="I68">
        <f>SUMIF($B$6:$B$16,"Financial Asset",D$6:D$16)</f>
        <v/>
      </c>
      <c r="J68" t="n">
        <v>1350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2022-12-31</t>
        </is>
      </c>
    </row>
    <row r="69">
      <c r="A69" t="inlineStr">
        <is>
          <t>financial_assets_agg__20231231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condensed.financial_assets.2023-12-31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D38</t>
        </is>
      </c>
      <c r="I69">
        <f>SUMIF($B$6:$B$16,"Financial Asset",E$6:E$16)</f>
        <v/>
      </c>
      <c r="J69" t="n">
        <v>1500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2023-12-31</t>
        </is>
      </c>
    </row>
    <row r="70">
      <c r="A70" t="inlineStr">
        <is>
          <t>financial_assets_agg__20241231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condensed.financial_assets.2024-12-31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E38</t>
        </is>
      </c>
      <c r="I70">
        <f>SUMIF($B$6:$B$16,"Financial Asset",F$6:F$16)</f>
        <v/>
      </c>
      <c r="J70" t="n">
        <v>1680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2024-12-31</t>
        </is>
      </c>
    </row>
    <row r="71">
      <c r="A71" t="inlineStr">
        <is>
          <t>financial_assets_agg__20251231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condensed.financial_assets.2025-12-31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F38</t>
        </is>
      </c>
      <c r="I71">
        <f>SUMIF($B$6:$B$16,"Financial Asset",G$6:G$16)</f>
        <v/>
      </c>
      <c r="J71" t="n">
        <v>1850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2025-12-31</t>
        </is>
      </c>
    </row>
    <row r="72">
      <c r="A72" t="inlineStr">
        <is>
          <t>financial_liabilities_agg__20211231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condensed.financial_liabilities.2021-12-31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B39</t>
        </is>
      </c>
      <c r="I72">
        <f>SUMIF($B$6:$B$16,"Financial Liability",C$6:C$16)</f>
        <v/>
      </c>
      <c r="J72" t="n">
        <v>1500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2021-12-31</t>
        </is>
      </c>
    </row>
    <row r="73">
      <c r="A73" t="inlineStr">
        <is>
          <t>financial_liabilities_agg__20221231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condensed.financial_liabilities.2022-12-31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C39</t>
        </is>
      </c>
      <c r="I73">
        <f>SUMIF($B$6:$B$16,"Financial Liability",D$6:D$16)</f>
        <v/>
      </c>
      <c r="J73" t="n">
        <v>1400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2022-12-31</t>
        </is>
      </c>
    </row>
    <row r="74">
      <c r="A74" t="inlineStr">
        <is>
          <t>financial_liabilities_agg__20231231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condensed.financial_liabilities.2023-12-31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D39</t>
        </is>
      </c>
      <c r="I74">
        <f>SUMIF($B$6:$B$16,"Financial Liability",E$6:E$16)</f>
        <v/>
      </c>
      <c r="J74" t="n">
        <v>1300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2023-12-31</t>
        </is>
      </c>
    </row>
    <row r="75">
      <c r="A75" t="inlineStr">
        <is>
          <t>financial_liabilities_agg__20241231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condensed.financial_liabilities.2024-12-31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E39</t>
        </is>
      </c>
      <c r="I75">
        <f>SUMIF($B$6:$B$16,"Financial Liability",F$6:F$16)</f>
        <v/>
      </c>
      <c r="J75" t="n">
        <v>1200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2024-12-31</t>
        </is>
      </c>
    </row>
    <row r="76">
      <c r="A76" t="inlineStr">
        <is>
          <t>financial_liabilities_agg__20251231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condensed.financial_liabilities.2025-12-31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F39</t>
        </is>
      </c>
      <c r="I76">
        <f>SUMIF($B$6:$B$16,"Financial Liability",G$6:G$16)</f>
        <v/>
      </c>
      <c r="J76" t="n">
        <v>1100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2025-12-31</t>
        </is>
      </c>
    </row>
    <row r="77">
      <c r="A77" t="inlineStr">
        <is>
          <t>net_debt__20211231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condensed.net_debt.2021-12-31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B40</t>
        </is>
      </c>
      <c r="I77">
        <f>B39-B38</f>
        <v/>
      </c>
      <c r="J77" t="n">
        <v>300</v>
      </c>
      <c r="K77" t="n">
        <v>0.01</v>
      </c>
      <c r="L77" t="inlineStr">
        <is>
          <t>financial_assets_agg__20211231,financial_liabilities_agg__20211231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2021-12-31</t>
        </is>
      </c>
    </row>
    <row r="78">
      <c r="A78" t="inlineStr">
        <is>
          <t>net_debt__20221231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condensed.net_debt.2022-12-31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C40</t>
        </is>
      </c>
      <c r="I78">
        <f>C39-C38</f>
        <v/>
      </c>
      <c r="J78" t="n">
        <v>50</v>
      </c>
      <c r="K78" t="n">
        <v>0.01</v>
      </c>
      <c r="L78" t="inlineStr">
        <is>
          <t>financial_assets_agg__20221231,financial_liabilities_agg__20221231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2022-12-31</t>
        </is>
      </c>
    </row>
    <row r="79">
      <c r="A79" t="inlineStr">
        <is>
          <t>net_debt__20231231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condensed.net_debt.2023-12-31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D40</t>
        </is>
      </c>
      <c r="I79">
        <f>D39-D38</f>
        <v/>
      </c>
      <c r="J79" t="n">
        <v>-200</v>
      </c>
      <c r="K79" t="n">
        <v>0.01</v>
      </c>
      <c r="L79" t="inlineStr">
        <is>
          <t>financial_assets_agg__20231231,financial_liabilities_agg__20231231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2023-12-31</t>
        </is>
      </c>
    </row>
    <row r="80">
      <c r="A80" t="inlineStr">
        <is>
          <t>net_debt__20241231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condensed.net_debt.2024-12-31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E40</t>
        </is>
      </c>
      <c r="I80">
        <f>E39-E38</f>
        <v/>
      </c>
      <c r="J80" t="n">
        <v>-480</v>
      </c>
      <c r="K80" t="n">
        <v>0.01</v>
      </c>
      <c r="L80" t="inlineStr">
        <is>
          <t>financial_assets_agg__20241231,financial_liabilities_agg__20241231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2024-12-31</t>
        </is>
      </c>
    </row>
    <row r="81">
      <c r="A81" t="inlineStr">
        <is>
          <t>net_debt__20251231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condensed.net_debt.2025-12-31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F40</t>
        </is>
      </c>
      <c r="I81">
        <f>F39-F38</f>
        <v/>
      </c>
      <c r="J81" t="n">
        <v>-750</v>
      </c>
      <c r="K81" t="n">
        <v>0.01</v>
      </c>
      <c r="L81" t="inlineStr">
        <is>
          <t>financial_assets_agg__20251231,financial_liabilities_agg__20251231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2025-12-31</t>
        </is>
      </c>
    </row>
    <row r="82">
      <c r="A82" t="inlineStr">
        <is>
          <t>equity_reformulated_fy__20211231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condensed.equity.2021-12-31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B41</t>
        </is>
      </c>
      <c r="I82">
        <f>B37-B40</f>
        <v/>
      </c>
      <c r="J82" t="n">
        <v>5100</v>
      </c>
      <c r="K82" t="n">
        <v>0.01</v>
      </c>
      <c r="L82" t="inlineStr">
        <is>
          <t>noa_agg__20211231,net_debt__20211231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2021-12-31</t>
        </is>
      </c>
    </row>
    <row r="83">
      <c r="A83" t="inlineStr">
        <is>
          <t>equity_reformulated_fy__20221231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condensed.equity.2022-12-31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C41</t>
        </is>
      </c>
      <c r="I83">
        <f>C37-C40</f>
        <v/>
      </c>
      <c r="J83" t="n">
        <v>5700</v>
      </c>
      <c r="K83" t="n">
        <v>0.01</v>
      </c>
      <c r="L83" t="inlineStr">
        <is>
          <t>noa_agg__20221231,net_debt__20221231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2022-12-31</t>
        </is>
      </c>
    </row>
    <row r="84">
      <c r="A84" t="inlineStr">
        <is>
          <t>equity_reformulated_fy__20231231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condensed.equity.2023-12-31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D41</t>
        </is>
      </c>
      <c r="I84">
        <f>D37-D40</f>
        <v/>
      </c>
      <c r="J84" t="n">
        <v>6500</v>
      </c>
      <c r="K84" t="n">
        <v>0.01</v>
      </c>
      <c r="L84" t="inlineStr">
        <is>
          <t>noa_agg__20231231,net_debt__20231231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2023-12-31</t>
        </is>
      </c>
    </row>
    <row r="85">
      <c r="A85" t="inlineStr">
        <is>
          <t>equity_reformulated_fy__20241231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condensed.equity.2024-12-31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E41</t>
        </is>
      </c>
      <c r="I85">
        <f>E37-E40</f>
        <v/>
      </c>
      <c r="J85" t="n">
        <v>7500</v>
      </c>
      <c r="K85" t="n">
        <v>0.01</v>
      </c>
      <c r="L85" t="inlineStr">
        <is>
          <t>noa_agg__20241231,net_debt__20241231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2024-12-31</t>
        </is>
      </c>
    </row>
    <row r="86">
      <c r="A86" t="inlineStr">
        <is>
          <t>equity_reformulated_fy__20251231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condensed.equity.2025-12-31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F41</t>
        </is>
      </c>
      <c r="I86">
        <f>F37-F40</f>
        <v/>
      </c>
      <c r="J86" t="n">
        <v>8700</v>
      </c>
      <c r="K86" t="n">
        <v>0.01</v>
      </c>
      <c r="L86" t="inlineStr">
        <is>
          <t>noa_agg__20251231,net_debt__20251231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2025-12-31</t>
        </is>
      </c>
    </row>
    <row r="87">
      <c r="A87" t="inlineStr">
        <is>
          <t>sales_growth__20221231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dupont.sales_growth.2022-12-31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Financials'!B19=0,0,'Condensed Financials'!C19/'Condensed Financials'!B19-1)</f>
        <v/>
      </c>
      <c r="J87" t="n">
        <v>0.08235294117647052</v>
      </c>
      <c r="K87" t="n">
        <v>0.01</v>
      </c>
      <c r="L87" t="inlineStr">
        <is>
          <t>revenue_link__20221231,revenue_link__20211231</t>
        </is>
      </c>
      <c r="M87" t="inlineStr">
        <is>
          <t>Sales Growth = Current Revenue / Prior Revenue − 1.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2022-12-31</t>
        </is>
      </c>
    </row>
    <row r="88">
      <c r="A88" t="inlineStr">
        <is>
          <t>sales_growth__20231231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dupont.sales_growth.2023-12-31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Financials'!C19=0,0,'Condensed Financials'!D19/'Condensed Financials'!C19-1)</f>
        <v/>
      </c>
      <c r="J88" t="n">
        <v>0.09782608695652173</v>
      </c>
      <c r="K88" t="n">
        <v>0.01</v>
      </c>
      <c r="L88" t="inlineStr">
        <is>
          <t>revenue_link__20231231,revenue_link__20221231</t>
        </is>
      </c>
      <c r="M88" t="inlineStr">
        <is>
          <t>Sales Growth = Current Revenue / Prior Revenue − 1.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2023-12-31</t>
        </is>
      </c>
    </row>
    <row r="89">
      <c r="A89" t="inlineStr">
        <is>
          <t>sales_growth__20241231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dupont.sales_growth.2024-12-31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Financials'!D19=0,0,'Condensed Financials'!E19/'Condensed Financials'!D19-1)</f>
        <v/>
      </c>
      <c r="J89" t="n">
        <v>0.108910891089109</v>
      </c>
      <c r="K89" t="n">
        <v>0.01</v>
      </c>
      <c r="L89" t="inlineStr">
        <is>
          <t>revenue_link__20241231,revenue_link__20231231</t>
        </is>
      </c>
      <c r="M89" t="inlineStr">
        <is>
          <t>Sales Growth = Current Revenue / Prior Revenue − 1.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2024-12-31</t>
        </is>
      </c>
    </row>
    <row r="90">
      <c r="A90" t="inlineStr">
        <is>
          <t>sales_growth__20251231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dupont.sales_growth.2025-12-31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Financials'!E19=0,0,'Condensed Financials'!F19/'Condensed Financials'!E19-1)</f>
        <v/>
      </c>
      <c r="J90" t="n">
        <v>0.1160714285714286</v>
      </c>
      <c r="K90" t="n">
        <v>0.01</v>
      </c>
      <c r="L90" t="inlineStr">
        <is>
          <t>revenue_link__20251231,revenue_link__20241231</t>
        </is>
      </c>
      <c r="M90" t="inlineStr">
        <is>
          <t>Sales Growth = Current Revenue / Prior Revenue − 1.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2025-12-31</t>
        </is>
      </c>
    </row>
    <row r="91">
      <c r="A91" t="inlineStr">
        <is>
          <t>nopat_margin__20211231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dupont.nopat_margin.2021-12-31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Financials'!B19=0,0,'Condensed Financials'!B28/'Condensed Financials'!B19)</f>
        <v/>
      </c>
      <c r="J91" t="n">
        <v>0.3320300751879699</v>
      </c>
      <c r="K91" t="n">
        <v>0.01</v>
      </c>
      <c r="L91" t="inlineStr">
        <is>
          <t>nopat_fy__20211231,revenue_link__20211231</t>
        </is>
      </c>
      <c r="M91" t="inlineStr">
        <is>
          <t>NOPAT Margin = NOPAT / Revenue.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2021-12-31</t>
        </is>
      </c>
    </row>
    <row r="92">
      <c r="A92" t="inlineStr">
        <is>
          <t>nopat_margin__20221231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dupont.nopat_margin.2022-12-31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Financials'!C19=0,0,'Condensed Financials'!C28/'Condensed Financials'!C19)</f>
        <v/>
      </c>
      <c r="J92" t="n">
        <v>0.332</v>
      </c>
      <c r="K92" t="n">
        <v>0.01</v>
      </c>
      <c r="L92" t="inlineStr">
        <is>
          <t>nopat_fy__20221231,revenue_link__20221231</t>
        </is>
      </c>
      <c r="M92" t="inlineStr">
        <is>
          <t>NOPAT Margin = NOPAT / Revenue.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2022-12-31</t>
        </is>
      </c>
    </row>
    <row r="93">
      <c r="A93" t="inlineStr">
        <is>
          <t>nopat_margin__20231231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dupont.nopat_margin.2023-12-31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Financials'!D19=0,0,'Condensed Financials'!D28/'Condensed Financials'!D19)</f>
        <v/>
      </c>
      <c r="J93" t="n">
        <v>0.3320353982300885</v>
      </c>
      <c r="K93" t="n">
        <v>0.01</v>
      </c>
      <c r="L93" t="inlineStr">
        <is>
          <t>nopat_fy__20231231,revenue_link__20231231</t>
        </is>
      </c>
      <c r="M93" t="inlineStr">
        <is>
          <t>NOPAT Margin = NOPAT / Revenue.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2023-12-31</t>
        </is>
      </c>
    </row>
    <row r="94">
      <c r="A94" t="inlineStr">
        <is>
          <t>nopat_margin__20241231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dupont.nopat_margin.2024-12-31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Financials'!E19=0,0,'Condensed Financials'!E28/'Condensed Financials'!E19)</f>
        <v/>
      </c>
      <c r="J94" t="n">
        <v>0.3320273348519363</v>
      </c>
      <c r="K94" t="n">
        <v>0.01</v>
      </c>
      <c r="L94" t="inlineStr">
        <is>
          <t>nopat_fy__20241231,revenue_link__20241231</t>
        </is>
      </c>
      <c r="M94" t="inlineStr">
        <is>
          <t>NOPAT Margin = NOPAT / Revenue.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2024-12-31</t>
        </is>
      </c>
    </row>
    <row r="95">
      <c r="A95" t="inlineStr">
        <is>
          <t>nopat_margin__20251231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dupont.nopat_margin.2025-12-31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Financials'!F19=0,0,'Condensed Financials'!F28/'Condensed Financials'!F19)</f>
        <v/>
      </c>
      <c r="J95" t="n">
        <v>0.3320693170234455</v>
      </c>
      <c r="K95" t="n">
        <v>0.01</v>
      </c>
      <c r="L95" t="inlineStr">
        <is>
          <t>nopat_fy__20251231,revenue_link__20251231</t>
        </is>
      </c>
      <c r="M95" t="inlineStr">
        <is>
          <t>NOPAT Margin = NOPAT / Revenue.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2025-12-31</t>
        </is>
      </c>
    </row>
    <row r="96">
      <c r="A96" t="inlineStr">
        <is>
          <t>rnoa__20221231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dupont.rnoa.2022-12-31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Financials'!C37+'Condensed Financials'!B37)/2)=0,0,'Condensed Financials'!C28/(('Condensed Financials'!C37+'Condensed Financials'!B37)/2))</f>
        <v/>
      </c>
      <c r="J96" t="n">
        <v>0.5478744394618834</v>
      </c>
      <c r="K96" t="n">
        <v>0.01</v>
      </c>
      <c r="L96" t="inlineStr">
        <is>
          <t>nopat_fy__20221231,noa_agg__20221231,noa_agg__20211231</t>
        </is>
      </c>
      <c r="M96" t="inlineStr">
        <is>
          <t>RNOA = NOPAT / Average NOA.|Average NOA = (Beginning NOA + Ending NOA) / 2.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2022-12-31</t>
        </is>
      </c>
    </row>
    <row r="97">
      <c r="A97" t="inlineStr">
        <is>
          <t>rnoa__20231231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dupont.rnoa.2023-12-31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Financials'!D37+'Condensed Financials'!C37)/2)=0,0,'Condensed Financials'!D28/(('Condensed Financials'!D37+'Condensed Financials'!C37)/2))</f>
        <v/>
      </c>
      <c r="J97" t="n">
        <v>0.5566070576139243</v>
      </c>
      <c r="K97" t="n">
        <v>0.01</v>
      </c>
      <c r="L97" t="inlineStr">
        <is>
          <t>nopat_fy__20231231,noa_agg__20231231,noa_agg__20221231</t>
        </is>
      </c>
      <c r="M97" t="inlineStr">
        <is>
          <t>RNOA = NOPAT / Average NOA.|Average NOA = (Beginning NOA + Ending NOA) / 2.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2023-12-31</t>
        </is>
      </c>
    </row>
    <row r="98">
      <c r="A98" t="inlineStr">
        <is>
          <t>rnoa__20241231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dupont.rnoa.2024-12-31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Financials'!E37+'Condensed Financials'!D37)/2)=0,0,'Condensed Financials'!E28/(('Condensed Financials'!E37+'Condensed Financials'!D37)/2))</f>
        <v/>
      </c>
      <c r="J98" t="n">
        <v>0.5583642868380909</v>
      </c>
      <c r="K98" t="n">
        <v>0.01</v>
      </c>
      <c r="L98" t="inlineStr">
        <is>
          <t>nopat_fy__20241231,noa_agg__20241231,noa_agg__20231231</t>
        </is>
      </c>
      <c r="M98" t="inlineStr">
        <is>
          <t>RNOA = NOPAT / Average NOA.|Average NOA = (Beginning NOA + Ending NOA) / 2.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2024-12-31</t>
        </is>
      </c>
    </row>
    <row r="99">
      <c r="A99" t="inlineStr">
        <is>
          <t>rnoa__20251231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dupont.rnoa.2025-12-31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Financials'!F37+'Condensed Financials'!E37)/2)=0,0,'Condensed Financials'!F28/(('Condensed Financials'!F37+'Condensed Financials'!E37)/2))</f>
        <v/>
      </c>
      <c r="J99" t="n">
        <v>0.5545579776610646</v>
      </c>
      <c r="K99" t="n">
        <v>0.01</v>
      </c>
      <c r="L99" t="inlineStr">
        <is>
          <t>nopat_fy__20251231,noa_agg__20251231,noa_agg__20241231</t>
        </is>
      </c>
      <c r="M99" t="inlineStr">
        <is>
          <t>RNOA = NOPAT / Average NOA.|Average NOA = (Beginning NOA + Ending NOA) / 2.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2025-12-31</t>
        </is>
      </c>
    </row>
    <row r="100">
      <c r="A100" t="inlineStr">
        <is>
          <t>after_tax_cod__20221231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dupont.after_tax_cod.2022-12-31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Financials'!C40+'Condensed Financials'!B40)/2)=0,0,'Condensed Financials'!C27/(('Condensed Financials'!C40+'Condensed Financials'!B40)/2))</f>
        <v/>
      </c>
      <c r="J100" t="n">
        <v>0.3794285714285714</v>
      </c>
      <c r="K100" t="n">
        <v>0.01</v>
      </c>
      <c r="L100" t="inlineStr">
        <is>
          <t>net_interest_after_tax_fy__20221231,net_debt__20221231,net_debt__20211231</t>
        </is>
      </c>
      <c r="M100" t="inlineStr">
        <is>
          <t>After-tax CoD = Net Interest After Tax / Average Net Debt.|Do not apply the tax rate a second time.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2022-12-31</t>
        </is>
      </c>
    </row>
    <row r="101">
      <c r="A101" t="inlineStr">
        <is>
          <t>after_tax_cod__20231231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dupont.after_tax_cod.2023-12-31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Financials'!D40+'Condensed Financials'!C40)/2)=0,0,'Condensed Financials'!D27/(('Condensed Financials'!D40+'Condensed Financials'!C40)/2))</f>
        <v/>
      </c>
      <c r="J101" t="n">
        <v>-0.9407669616519174</v>
      </c>
      <c r="K101" t="n">
        <v>0.01</v>
      </c>
      <c r="L101" t="inlineStr">
        <is>
          <t>net_interest_after_tax_fy__20231231,net_debt__20231231,net_debt__20221231</t>
        </is>
      </c>
      <c r="M101" t="inlineStr">
        <is>
          <t>After-tax CoD = Net Interest After Tax / Average Net Debt.|Do not apply the tax rate a second time.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2023-12-31</t>
        </is>
      </c>
    </row>
    <row r="102">
      <c r="A102" t="inlineStr">
        <is>
          <t>after_tax_cod__20241231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dupont.after_tax_cod.2024-12-31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Financials'!E40+'Condensed Financials'!D40)/2)=0,0,'Condensed Financials'!E27/(('Condensed Financials'!E40+'Condensed Financials'!D40)/2))</f>
        <v/>
      </c>
      <c r="J102" t="n">
        <v>-0.2197239715931931</v>
      </c>
      <c r="K102" t="n">
        <v>0.01</v>
      </c>
      <c r="L102" t="inlineStr">
        <is>
          <t>net_interest_after_tax_fy__20241231,net_debt__20241231,net_debt__20231231</t>
        </is>
      </c>
      <c r="M102" t="inlineStr">
        <is>
          <t>After-tax CoD = Net Interest After Tax / Average Net Debt.|Do not apply the tax rate a second time.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2024-12-31</t>
        </is>
      </c>
    </row>
    <row r="103">
      <c r="A103" t="inlineStr">
        <is>
          <t>after_tax_cod__20251231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dupont.after_tax_cod.2025-12-31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Financials'!F40+'Condensed Financials'!E40)/2)=0,0,'Condensed Financials'!F27/(('Condensed Financials'!F40+'Condensed Financials'!E40)/2))</f>
        <v/>
      </c>
      <c r="J103" t="n">
        <v>-0.1282381508830379</v>
      </c>
      <c r="K103" t="n">
        <v>0.01</v>
      </c>
      <c r="L103" t="inlineStr">
        <is>
          <t>net_interest_after_tax_fy__20251231,net_debt__20251231,net_debt__20241231</t>
        </is>
      </c>
      <c r="M103" t="inlineStr">
        <is>
          <t>After-tax CoD = Net Interest After Tax / Average Net Debt.|Do not apply the tax rate a second time.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2025-12-31</t>
        </is>
      </c>
    </row>
    <row r="104">
      <c r="A104" t="inlineStr">
        <is>
          <t>spread__20221231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dupont.spread.2022-12-31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0.168445868033312</v>
      </c>
      <c r="K104" t="n">
        <v>0.01</v>
      </c>
      <c r="L104" t="inlineStr">
        <is>
          <t>rnoa__20221231,after_tax_cod__20221231</t>
        </is>
      </c>
      <c r="M104" t="inlineStr">
        <is>
          <t>After-tax CoD = Net Interest After Tax / Average Net Debt.|Spread = RNOA − After-tax CoD.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2022-12-31</t>
        </is>
      </c>
    </row>
    <row r="105">
      <c r="A105" t="inlineStr">
        <is>
          <t>spread__20231231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dupont.spread.2023-12-31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1.497374019265842</v>
      </c>
      <c r="K105" t="n">
        <v>0.01</v>
      </c>
      <c r="L105" t="inlineStr">
        <is>
          <t>rnoa__20231231,after_tax_cod__20231231</t>
        </is>
      </c>
      <c r="M105" t="inlineStr">
        <is>
          <t>After-tax CoD = Net Interest After Tax / Average Net Debt.|Spread = RNOA − After-tax CoD.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2023-12-31</t>
        </is>
      </c>
    </row>
    <row r="106">
      <c r="A106" t="inlineStr">
        <is>
          <t>spread__20241231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dupont.spread.2024-12-31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0.778088258431284</v>
      </c>
      <c r="K106" t="n">
        <v>0.01</v>
      </c>
      <c r="L106" t="inlineStr">
        <is>
          <t>rnoa__20241231,after_tax_cod__20241231</t>
        </is>
      </c>
      <c r="M106" t="inlineStr">
        <is>
          <t>After-tax CoD = Net Interest After Tax / Average Net Debt.|Spread = RNOA − After-tax CoD.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2024-12-31</t>
        </is>
      </c>
    </row>
    <row r="107">
      <c r="A107" t="inlineStr">
        <is>
          <t>spread__20251231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dupont.spread.2025-12-31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0.6827961285441025</v>
      </c>
      <c r="K107" t="n">
        <v>0.01</v>
      </c>
      <c r="L107" t="inlineStr">
        <is>
          <t>rnoa__20251231,after_tax_cod__20251231</t>
        </is>
      </c>
      <c r="M107" t="inlineStr">
        <is>
          <t>After-tax CoD = Net Interest After Tax / Average Net Debt.|Spread = RNOA − After-tax CoD.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2025-12-31</t>
        </is>
      </c>
    </row>
    <row r="108">
      <c r="A108" t="inlineStr">
        <is>
          <t>flev__20221231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dupont.flev.2022-12-31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Financials'!C41+'Condensed Financials'!B41)/2)=0,0,(('Condensed Financials'!C40+'Condensed Financials'!B40)/2)/(('Condensed Financials'!C41+'Condensed Financials'!B41)/2))</f>
        <v/>
      </c>
      <c r="J108" t="n">
        <v>0.03240740740740741</v>
      </c>
      <c r="K108" t="n">
        <v>0.01</v>
      </c>
      <c r="L108" t="inlineStr">
        <is>
          <t>net_debt__20221231,equity_reformulated_fy__20221231,net_debt__20211231,equity_reformulated_fy__20211231</t>
        </is>
      </c>
      <c r="M108" t="inlineStr">
        <is>
          <t>FLEV = Average Net Debt / Average Equity.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2022-12-31</t>
        </is>
      </c>
    </row>
    <row r="109">
      <c r="A109" t="inlineStr">
        <is>
          <t>flev__20231231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dupont.flev.2023-12-31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Financials'!D41+'Condensed Financials'!C41)/2)=0,0,(('Condensed Financials'!D40+'Condensed Financials'!C40)/2)/(('Condensed Financials'!D41+'Condensed Financials'!C41)/2))</f>
        <v/>
      </c>
      <c r="J109" t="n">
        <v>-0.01229508196721311</v>
      </c>
      <c r="K109" t="n">
        <v>0.01</v>
      </c>
      <c r="L109" t="inlineStr">
        <is>
          <t>net_debt__20231231,equity_reformulated_fy__20231231,net_debt__20221231,equity_reformulated_fy__20221231</t>
        </is>
      </c>
      <c r="M109" t="inlineStr">
        <is>
          <t>FLEV = Average Net Debt / Average Equity.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2023-12-31</t>
        </is>
      </c>
    </row>
    <row r="110">
      <c r="A110" t="inlineStr">
        <is>
          <t>flev__20241231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dupont.flev.2024-12-31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Financials'!E41+'Condensed Financials'!D41)/2)=0,0,(('Condensed Financials'!E40+'Condensed Financials'!D40)/2)/(('Condensed Financials'!E41+'Condensed Financials'!D41)/2))</f>
        <v/>
      </c>
      <c r="J110" t="n">
        <v>-0.04857142857142857</v>
      </c>
      <c r="K110" t="n">
        <v>0.01</v>
      </c>
      <c r="L110" t="inlineStr">
        <is>
          <t>net_debt__20241231,equity_reformulated_fy__20241231,net_debt__20231231,equity_reformulated_fy__20231231</t>
        </is>
      </c>
      <c r="M110" t="inlineStr">
        <is>
          <t>FLEV = Average Net Debt / Average Equity.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2024-12-31</t>
        </is>
      </c>
    </row>
    <row r="111">
      <c r="A111" t="inlineStr">
        <is>
          <t>flev__20251231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dupont.flev.2025-12-31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Financials'!F41+'Condensed Financials'!E41)/2)=0,0,(('Condensed Financials'!F40+'Condensed Financials'!E40)/2)/(('Condensed Financials'!F41+'Condensed Financials'!E41)/2))</f>
        <v/>
      </c>
      <c r="J111" t="n">
        <v>-0.07592592592592592</v>
      </c>
      <c r="K111" t="n">
        <v>0.01</v>
      </c>
      <c r="L111" t="inlineStr">
        <is>
          <t>net_debt__20251231,equity_reformulated_fy__20251231,net_debt__20241231,equity_reformulated_fy__20241231</t>
        </is>
      </c>
      <c r="M111" t="inlineStr">
        <is>
          <t>FLEV = Average Net Debt / Average Equity.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2025-12-31</t>
        </is>
      </c>
    </row>
    <row r="112">
      <c r="A112" t="inlineStr">
        <is>
          <t>roe_decomp__20221231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dupont.roe_decomposed.2022-12-31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0.5533333333333333</v>
      </c>
      <c r="K112" t="n">
        <v>0.01</v>
      </c>
      <c r="L112" t="inlineStr">
        <is>
          <t>rnoa__20221231,spread__20221231,flev__20221231</t>
        </is>
      </c>
      <c r="M112" t="inlineStr">
        <is>
          <t>Financial leverage (FLEV) = Average Net Debt / Average Equity.|ROE (decomposed) = RNOA + FLEV × (RNOA − After-tax CoD).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2022-12-31</t>
        </is>
      </c>
    </row>
    <row r="113">
      <c r="A113" t="inlineStr">
        <is>
          <t>roe_decomp__20231231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dupont.roe_decomposed.2023-12-31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0.5381967213114753</v>
      </c>
      <c r="K113" t="n">
        <v>0.01</v>
      </c>
      <c r="L113" t="inlineStr">
        <is>
          <t>rnoa__20231231,spread__20231231,flev__20231231</t>
        </is>
      </c>
      <c r="M113" t="inlineStr">
        <is>
          <t>Financial leverage (FLEV) = Average Net Debt / Average Equity.|ROE (decomposed) = RNOA + FLEV × (RNOA − After-tax CoD).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2023-12-31</t>
        </is>
      </c>
    </row>
    <row r="114">
      <c r="A114" t="inlineStr">
        <is>
          <t>roe_decomp__20241231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dupont.roe_decomposed.2024-12-31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0.5205714285714286</v>
      </c>
      <c r="K114" t="n">
        <v>0.01</v>
      </c>
      <c r="L114" t="inlineStr">
        <is>
          <t>rnoa__20241231,spread__20241231,flev__20241231</t>
        </is>
      </c>
      <c r="M114" t="inlineStr">
        <is>
          <t>Financial leverage (FLEV) = Average Net Debt / Average Equity.|ROE (decomposed) = RNOA + FLEV × (RNOA − After-tax CoD).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2024-12-31</t>
        </is>
      </c>
    </row>
    <row r="115">
      <c r="A115" t="inlineStr">
        <is>
          <t>roe_decomp__20251231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dupont.roe_decomposed.2025-12-31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0.5027160493827161</v>
      </c>
      <c r="K115" t="n">
        <v>0.01</v>
      </c>
      <c r="L115" t="inlineStr">
        <is>
          <t>rnoa__20251231,spread__20251231,flev__20251231</t>
        </is>
      </c>
      <c r="M115" t="inlineStr">
        <is>
          <t>Financial leverage (FLEV) = Average Net Debt / Average Equity.|ROE (decomposed) = RNOA + FLEV × (RNOA − After-tax CoD).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2025-12-31</t>
        </is>
      </c>
    </row>
    <row r="116">
      <c r="A116" t="inlineStr">
        <is>
          <t>actual_roe__20221231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dupont.actual_roe.2022-12-31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Financials'!C41+'Condensed Financials'!B41)/2)=0,0,'Condensed Financials'!C20/(('Condensed Financials'!C41+'Condensed Financials'!B41)/2))</f>
        <v/>
      </c>
      <c r="J116" t="n">
        <v>0.5533333333333333</v>
      </c>
      <c r="K116" t="n">
        <v>0.01</v>
      </c>
      <c r="L116" t="inlineStr">
        <is>
          <t>net_income_link__20221231,equity_reformulated_fy__20221231,equity_reformulated_fy__20211231</t>
        </is>
      </c>
      <c r="M116" t="inlineStr">
        <is>
          <t>Actual ROE = Net Income / Average Equity.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2022-12-31</t>
        </is>
      </c>
    </row>
    <row r="117">
      <c r="A117" t="inlineStr">
        <is>
          <t>actual_roe__20231231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dupont.actual_roe.2023-12-31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Financials'!D41+'Condensed Financials'!C41)/2)=0,0,'Condensed Financials'!D20/(('Condensed Financials'!D41+'Condensed Financials'!C41)/2))</f>
        <v/>
      </c>
      <c r="J117" t="n">
        <v>0.5381967213114754</v>
      </c>
      <c r="K117" t="n">
        <v>0.01</v>
      </c>
      <c r="L117" t="inlineStr">
        <is>
          <t>net_income_link__20231231,equity_reformulated_fy__20231231,equity_reformulated_fy__20221231</t>
        </is>
      </c>
      <c r="M117" t="inlineStr">
        <is>
          <t>Actual ROE = Net Income / Average Equity.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2023-12-31</t>
        </is>
      </c>
    </row>
    <row r="118">
      <c r="A118" t="inlineStr">
        <is>
          <t>actual_roe__20241231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dupont.actual_roe.2024-12-31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Financials'!E41+'Condensed Financials'!D41)/2)=0,0,'Condensed Financials'!E20/(('Condensed Financials'!E41+'Condensed Financials'!D41)/2))</f>
        <v/>
      </c>
      <c r="J118" t="n">
        <v>0.5205714285714286</v>
      </c>
      <c r="K118" t="n">
        <v>0.01</v>
      </c>
      <c r="L118" t="inlineStr">
        <is>
          <t>net_income_link__20241231,equity_reformulated_fy__20241231,equity_reformulated_fy__20231231</t>
        </is>
      </c>
      <c r="M118" t="inlineStr">
        <is>
          <t>Actual ROE = Net Income / Average Equity.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2024-12-31</t>
        </is>
      </c>
    </row>
    <row r="119">
      <c r="A119" t="inlineStr">
        <is>
          <t>actual_roe__20251231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dupont.actual_roe.2025-12-31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Financials'!F41+'Condensed Financials'!E41)/2)=0,0,'Condensed Financials'!F20/(('Condensed Financials'!F41+'Condensed Financials'!E41)/2))</f>
        <v/>
      </c>
      <c r="J119" t="n">
        <v>0.5027160493827161</v>
      </c>
      <c r="K119" t="n">
        <v>0.01</v>
      </c>
      <c r="L119" t="inlineStr">
        <is>
          <t>net_income_link__20251231,equity_reformulated_fy__20251231,equity_reformulated_fy__20241231</t>
        </is>
      </c>
      <c r="M119" t="inlineStr">
        <is>
          <t>Actual ROE = Net Income / Average Equity.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2025-12-31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Liability"],"case_id":"classification::concept=lease_liability|label=operating lease liabilities","line_identity":"concept=lease_liability|label=operating lease liabilities","order":1,"override_selector":"concept:lease_liability","reference_treatment":"Operating Long-Term Liability","worksheet_row":5}],"modeled_periods":["2021-12-31","2022-12-31","2023-12-31","2024-12-31","2025-12-31"],"schema_version":1,"source_payload":{"balance_sheet":[{"concept":"","label":"Cash and cash equivalents","values":{"2021-12-31":1200.0,"2022-12-31":1350.0,"2023-12-31":1500.0,"2024-12-31":1680.0,"2025-12-31":1850.0}},{"concept":"","label":"Trade receivables","values":{"2021-12-31":850.0,"2022-12-31":920.0,"2023-12-31":1010.0,"2024-12-31":1120.0,"2025-12-31":1250.0}},{"concept":"","label":"Inventories","values":{"2021-12-31":680.0,"2022-12-31":736.0,"2023-12-31":808.0,"2024-12-31":896.0,"2025-12-31":1000.0}},{"concept":"","label":"Property, plant and equipment","values":{"2021-12-31":3200.0,"2022-12-31":3400.0,"2023-12-31":3600.0,"2024-12-31":3800.0,"2025-12-31":4000.0}},{"concept":"","label":"Goodwill","values":{"2021-12-31":900.0,"2022-12-31":900.0,"2023-12-31":900.0,"2024-12-31":900.0,"2025-12-31":900.0}},{"concept":"","label":"Other non-current assets","values":{"2021-12-31":1670.0,"2022-12-31":1894.0,"2023-12-31":2282.0,"2024-12-31":2804.0,"2025-12-31":3500.0}},{"concept":"","label":"Total assets","values":{"2021-12-31":8500.0,"2022-12-31":9200.0,"2023-12-31":10100.0,"2024-12-31":11200.0,"2025-12-31":12500.0}},{"concept":"","label":"Trade payables","values":{"2021-12-31":595.0,"2022-12-31":644.0,"2023-12-31":707.0,"2024-12-31":784.0,"2025-12-31":875.0}},{"concept":"","label":"Bank borrowings","values":{"2021-12-31":1500.0,"2022-12-31":1400.0,"2023-12-31":1300.0,"2024-12-31":1200.0,"2025-12-31":1100.0}},{"concept":"lease_liability","label":"Operating lease liabilities","values":{"2021-12-31":300.0,"2022-12-31":320.0,"2023-12-31":340.0,"2024-12-31":360.0,"2025-12-31":380.0}},{"concept":"","label":"Other non-current liabilities","values":{"2021-12-31":1005.0,"2022-12-31":1136.0,"2023-12-31":1253.0,"2024-12-31":1356.0,"2025-12-31":1445.0}},{"concept":"","label":"Total liabilities","values":{"2021-12-31":3400.0,"2022-12-31":3500.0,"2023-12-31":3600.0,"2024-12-31":3700.0,"2025-12-31":3800.0}},{"concept":"","label":"Share capital and reserves","values":{"2021-12-31":5100.0,"2022-12-31":5700.0,"2023-12-31":6500.0,"2024-12-31":7500.0,"2025-12-31":8700.0}},{"concept":"","label":"Total equity","values":{"2021-12-31":5100.0,"2022-12-31":5700.0,"2023-12-31":6500.0,"2024-12-31":7500.0,"2025-12-31":8700.0}}],"cash_flow":[{"concept":"","label":"Profit for the year","values":{"2021-12-31":2760.0,"2022-12-31":2988.0,"2023-12-31":3283.0,"2024-12-31":3644.0,"2025-12-31":4072.0}},{"concept":"","label":"Depreciation and amortisation","values":{"2021-12-31":340.0,"2022-12-31":368.0,"2023-12-31":404.0,"2024-12-31":448.0,"2025-12-31":500.0}},{"concept":"","label":"Net cash from operating activities","values":{"2021-12-31":1450.0,"2022-12-31":1600.0,"2023-12-31":1750.0,"2024-12-31":1930.0,"2025-12-31":2070.0}},{"concept":"","label":"Net cash used in investing activities","values":{"2021-12-31":-800.0,"2022-12-31":-850.0,"2023-12-31":-900.0,"2024-12-31":-950.0,"2025-12-31":-1000.0}},{"concept":"","label":"Net cash from financing activities","values":{"2021-12-31":-500.0,"2022-12-31":-600.0,"2023-12-31":-700.0,"2024-12-31":-800.0,"2025-12-31":-900.0}},{"concept":"","label":"Net change in cash and cash equivalents","values":{"2021-12-31":150.0,"2022-12-31":150.0,"2023-12-31":150.0,"2024-12-31":180.0,"2025-12-31":170.0}}],"company_name":"Demo Holdings Limited","currency":"HKD","income_statement":[{"concept":"","label":"Revenue","values":{"2021-12-31":8500.0,"2022-12-31":9200.0,"2023-12-31":10100.0,"2024-12-31":11200.0,"2025-12-31":12500.0}},{"concept":"","label":"Cost of sales","values":{"2021-12-31":-3400.0,"2022-12-31":-3680.0,"2023-12-31":-4040.0,"2024-12-31":-4480.0,"2025-12-31":-5000.0}},{"concept":"","label":"Gross profit","values":{"2021-12-31":5100.0,"2022-12-31":5520.0,"2023-12-31":6060.0,"2024-12-31":6720.0,"2025-12-31":7500.0}},{"concept":"","label":"Administrative expenses","values":{"2021-12-31":-1700.0,"2022-12-31":-1840.0,"2023-12-31":-2020.0,"2024-12-31":-2240.0,"2025-12-31":-2500.0}},{"concept":"","label":"Operating profit","values":{"2021-12-31":3400.0,"2022-12-31":3680.0,"2023-12-31":4040.0,"2024-12-31":4480.0,"2025-12-31":5000.0}},{"concept":"","label":"Finance costs","values":{"2021-12-31":-120.0,"2022-12-31":-130.0,"2023-12-31":-140.0,"2024-12-31":-150.0,"2025-12-31":-160.0}},{"concept":"","label":"Finance income","values":{"2021-12-31":45.0,"2022-12-31":50.0,"2023-12-31":55.0,"2024-12-31":60.0,"2025-12-31":65.0}},{"concept":"","label":"Profit before tax","values":{"2021-12-31":3325.0,"2022-12-31":3600.0,"2023-12-31":3955.0,"2024-12-31":4390.0,"2025-12-31":4905.0}},{"concept":"","label":"Income tax expense","values":{"2021-12-31":-565.0,"2022-12-31":-612.0,"2023-12-31":-672.0,"2024-12-31":-746.0,"2025-12-31":-833.0}},{"concept":"","label":"Profit for the year","values":{"2021-12-31":2760.0,"2022-12-31":2988.0,"2023-12-31":3283.0,"2024-12-31":3644.0,"2025-12-31":4072.0}}],"jurisdiction":"HK","periods":[{"end_date":"2021-12-31","is_interim":false,"label":"FY2021"},{"end_date":"2022-12-31","is_interim":false,"label":"FY2022"},{"end_date":"2023-12-31","is_interim":false,"label":"FY2023"},{"end_date":"2024-12-31","is_interim":false,"label":"FY2024"},{"end_date":"2025-12-31","is_interim":false,"label":"FY2025"}],"stock_code":"1234.HK","ticker":"DEMO","units":"HKD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2026-09-12T11:18:32Z</dcterms:created>
  <dcterms:modified xmlns:dcterms="http://purl.org/dc/terms/" xmlns:xsi="http://www.w3.org/2001/XMLSchema-instance" xsi:type="dcterms:W3CDTF">2026-09-12T11:18:32Z</dcterms:modified>
</cp:coreProperties>
</file>