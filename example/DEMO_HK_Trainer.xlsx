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iner" sheetId="1" state="visible" r:id="rId1"/>
    <sheet xmlns:r="http://schemas.openxmlformats.org/officeDocument/2006/relationships" name="Income Statement" sheetId="2" state="visible" r:id="rId2"/>
    <sheet xmlns:r="http://schemas.openxmlformats.org/officeDocument/2006/relationships" name="Balance Sheet" sheetId="3" state="visible" r:id="rId3"/>
    <sheet xmlns:r="http://schemas.openxmlformats.org/officeDocument/2006/relationships" name="Cash Flow Statement" sheetId="4" state="visible" r:id="rId4"/>
    <sheet xmlns:r="http://schemas.openxmlformats.org/officeDocument/2006/relationships" name="Condensed Financials" sheetId="5" state="visible" r:id="rId5"/>
    <sheet xmlns:r="http://schemas.openxmlformats.org/officeDocument/2006/relationships" name="ALT DuPont" sheetId="6" state="visible" r:id="rId6"/>
    <sheet xmlns:r="http://schemas.openxmlformats.org/officeDocument/2006/relationships" name="Accounting Judgment" sheetId="7" state="visible" r:id="rId7"/>
    <sheet xmlns:r="http://schemas.openxmlformats.org/officeDocument/2006/relationships" name="Model_Bear" sheetId="8" state="hidden" r:id="rId8"/>
    <sheet xmlns:r="http://schemas.openxmlformats.org/officeDocument/2006/relationships" name="Model_Base" sheetId="9" state="hidden" r:id="rId9"/>
    <sheet xmlns:r="http://schemas.openxmlformats.org/officeDocument/2006/relationships" name="Model_Bull" sheetId="10" state="hidden" r:id="rId10"/>
    <sheet xmlns:r="http://schemas.openxmlformats.org/officeDocument/2006/relationships" name="Scenario_Summary" sheetId="11" state="hidden" r:id="rId11"/>
  </sheets>
  <definedNames/>
  <calcPr calcId="124519" fullCalcOnLoad="1"/>
</workbook>
</file>

<file path=xl/styles.xml><?xml version="1.0" encoding="utf-8"?>
<styleSheet xmlns="http://schemas.openxmlformats.org/spreadsheetml/2006/main">
  <numFmts count="3">
    <numFmt numFmtId="164" formatCode="mmm dd, yyyy"/>
    <numFmt numFmtId="165" formatCode="#,##0;(#,##0)"/>
    <numFmt numFmtId="166" formatCode="0.0%"/>
  </numFmts>
  <fonts count="6">
    <font>
      <name val="Calibri"/>
      <family val="2"/>
      <color theme="1"/>
      <sz val="11"/>
      <scheme val="minor"/>
    </font>
    <font>
      <b val="1"/>
    </font>
    <font/>
    <font>
      <name val="Aptos Narrow"/>
      <b val="1"/>
      <color rgb="00000000"/>
      <sz val="20"/>
    </font>
    <font>
      <name val="Aptos Narrow"/>
      <color rgb="00000000"/>
      <sz val="11"/>
    </font>
    <font>
      <name val="Aptos Narrow"/>
      <b val="1"/>
      <color rgb="00000000"/>
      <sz val="11"/>
    </font>
  </fonts>
  <fills count="5">
    <fill>
      <patternFill/>
    </fill>
    <fill>
      <patternFill patternType="gray125"/>
    </fill>
    <fill>
      <patternFill patternType="solid">
        <fgColor rgb="00D9EAD3"/>
      </patternFill>
    </fill>
    <fill>
      <patternFill patternType="solid">
        <fgColor rgb="00FFFF00"/>
      </patternFill>
    </fill>
    <fill>
      <patternFill patternType="solid">
        <fgColor rgb="00FFFFFF"/>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23">
    <xf numFmtId="0" fontId="0" fillId="0" borderId="0" pivotButton="0" quotePrefix="0" xfId="0"/>
    <xf numFmtId="0" fontId="1" fillId="0" borderId="0" pivotButton="0" quotePrefix="0" xfId="0"/>
    <xf numFmtId="164" fontId="1" fillId="0" borderId="0" pivotButton="0" quotePrefix="0" xfId="0"/>
    <xf numFmtId="165" fontId="0" fillId="0" borderId="0" pivotButton="0" quotePrefix="0" xfId="0"/>
    <xf numFmtId="0" fontId="2" fillId="0" borderId="0" pivotButton="0" quotePrefix="0" xfId="0"/>
    <xf numFmtId="166" fontId="0" fillId="0" borderId="0" pivotButton="0" quotePrefix="0" xfId="0"/>
    <xf numFmtId="165" fontId="0" fillId="2" borderId="0" pivotButton="0" quotePrefix="0" xfId="0"/>
    <xf numFmtId="0" fontId="0" fillId="3" borderId="0" pivotButton="0" quotePrefix="0" xfId="0"/>
    <xf numFmtId="0" fontId="3" fillId="0" borderId="0" pivotButton="0" quotePrefix="0" xfId="0"/>
    <xf numFmtId="0" fontId="4" fillId="0" borderId="0" pivotButton="0" quotePrefix="0" xfId="0"/>
    <xf numFmtId="0" fontId="5" fillId="0" borderId="1" pivotButton="0" quotePrefix="0" xfId="0"/>
    <xf numFmtId="0" fontId="3" fillId="0" borderId="1" pivotButton="0" quotePrefix="0" xfId="0"/>
    <xf numFmtId="0" fontId="4" fillId="0" borderId="1" pivotButton="0" quotePrefix="0" xfId="0"/>
    <xf numFmtId="164" fontId="5" fillId="0" borderId="1" pivotButton="0" quotePrefix="0" xfId="0"/>
    <xf numFmtId="165" fontId="4" fillId="0" borderId="0" pivotButton="0" quotePrefix="0" xfId="0"/>
    <xf numFmtId="165" fontId="4" fillId="0" borderId="1" pivotButton="0" quotePrefix="0" xfId="0"/>
    <xf numFmtId="0" fontId="4" fillId="3" borderId="0" pivotButton="0" quotePrefix="0" xfId="0"/>
    <xf numFmtId="0" fontId="4" fillId="3" borderId="1" pivotButton="0" quotePrefix="0" xfId="0"/>
    <xf numFmtId="166" fontId="4" fillId="3" borderId="1" pivotButton="0" quotePrefix="0" xfId="0"/>
    <xf numFmtId="165" fontId="4" fillId="3" borderId="1" pivotButton="0" quotePrefix="0" xfId="0"/>
    <xf numFmtId="0" fontId="5" fillId="0" borderId="0" pivotButton="0" quotePrefix="0" xfId="0"/>
    <xf numFmtId="165" fontId="4" fillId="3" borderId="0" pivotButton="0" quotePrefix="0" xfId="0"/>
    <xf numFmtId="166" fontId="4"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6" customWidth="1" min="1" max="1"/>
    <col width="36" customWidth="1" min="2" max="2"/>
    <col width="22" customWidth="1" min="3" max="3"/>
    <col width="22" customWidth="1" min="4" max="4"/>
    <col width="28" customWidth="1" min="5" max="5"/>
    <col width="28" customWidth="1" min="6" max="6"/>
  </cols>
  <sheetData>
    <row r="1">
      <c r="A1" s="8" t="inlineStr">
        <is>
          <t>BAV Excel Trainer</t>
        </is>
      </c>
    </row>
    <row r="2">
      <c r="A2" s="9" t="inlineStr">
        <is>
          <t>Complete each historical schedule left-to-right in dependency order. Each schedule is one modeling concept repeated across fiscal periods. Run Check to validate every yellow cell in the workbook. Open the matching Answer Key for the formula/input and Note hint.</t>
        </is>
      </c>
    </row>
    <row r="4">
      <c r="A4" s="10" t="inlineStr">
        <is>
          <t>Order</t>
        </is>
      </c>
      <c r="B4" s="10" t="inlineStr">
        <is>
          <t>Schedule</t>
        </is>
      </c>
      <c r="C4" s="10" t="inlineStr">
        <is>
          <t>Period scope</t>
        </is>
      </c>
      <c r="D4" s="10" t="inlineStr">
        <is>
          <t>Tab</t>
        </is>
      </c>
      <c r="E4" s="10" t="inlineStr">
        <is>
          <t>Practice cells</t>
        </is>
      </c>
      <c r="F4" s="10" t="inlineStr">
        <is>
          <t>Depends on</t>
        </is>
      </c>
    </row>
    <row r="5">
      <c r="A5" s="9" t="n">
        <v>1</v>
      </c>
      <c r="B5" s="9" t="inlineStr">
        <is>
          <t>Revenue historical source link</t>
        </is>
      </c>
      <c r="C5" s="9" t="inlineStr">
        <is>
          <t>2021–2025 (5 cells)</t>
        </is>
      </c>
      <c r="D5" s="9" t="inlineStr">
        <is>
          <t>Condensed Financials</t>
        </is>
      </c>
      <c r="E5" s="9" t="inlineStr">
        <is>
          <t>B19:F19</t>
        </is>
      </c>
      <c r="F5" s="9" t="inlineStr">
        <is>
          <t>—</t>
        </is>
      </c>
    </row>
    <row r="6">
      <c r="A6" s="9" t="n">
        <v>2</v>
      </c>
      <c r="B6" s="9" t="inlineStr">
        <is>
          <t>Net Income historical source link</t>
        </is>
      </c>
      <c r="C6" s="9" t="inlineStr">
        <is>
          <t>2021–2025 (5 cells)</t>
        </is>
      </c>
      <c r="D6" s="9" t="inlineStr">
        <is>
          <t>Condensed Financials</t>
        </is>
      </c>
      <c r="E6" s="9" t="inlineStr">
        <is>
          <t>B20:F20</t>
        </is>
      </c>
      <c r="F6" s="9" t="inlineStr">
        <is>
          <t>—</t>
        </is>
      </c>
    </row>
    <row r="7">
      <c r="A7" s="9" t="n">
        <v>3</v>
      </c>
      <c r="B7" s="9" t="inlineStr">
        <is>
          <t>Effective tax rate</t>
        </is>
      </c>
      <c r="C7" s="9" t="inlineStr">
        <is>
          <t>2021–2025 (5 cells)</t>
        </is>
      </c>
      <c r="D7" s="9" t="inlineStr">
        <is>
          <t>Condensed Financials</t>
        </is>
      </c>
      <c r="E7" s="9" t="inlineStr">
        <is>
          <t>B25:F25</t>
        </is>
      </c>
      <c r="F7" s="9" t="inlineStr">
        <is>
          <t>—</t>
        </is>
      </c>
    </row>
    <row r="8">
      <c r="A8" s="9" t="n">
        <v>4</v>
      </c>
      <c r="B8" s="9" t="inlineStr">
        <is>
          <t>Net interest</t>
        </is>
      </c>
      <c r="C8" s="9" t="inlineStr">
        <is>
          <t>2021–2025 (5 cells)</t>
        </is>
      </c>
      <c r="D8" s="9" t="inlineStr">
        <is>
          <t>Condensed Financials</t>
        </is>
      </c>
      <c r="E8" s="9" t="inlineStr">
        <is>
          <t>B26:F26</t>
        </is>
      </c>
      <c r="F8" s="9" t="inlineStr">
        <is>
          <t>—</t>
        </is>
      </c>
    </row>
    <row r="9">
      <c r="A9" s="9" t="n">
        <v>5</v>
      </c>
      <c r="B9" s="9" t="inlineStr">
        <is>
          <t>Net interest after tax</t>
        </is>
      </c>
      <c r="C9" s="9" t="inlineStr">
        <is>
          <t>2021–2025 (5 cells)</t>
        </is>
      </c>
      <c r="D9" s="9" t="inlineStr">
        <is>
          <t>Condensed Financials</t>
        </is>
      </c>
      <c r="E9" s="9" t="inlineStr">
        <is>
          <t>B27:F27</t>
        </is>
      </c>
      <c r="F9" s="9" t="inlineStr">
        <is>
          <t>effective_tax_rate_fy, net_interest_fy</t>
        </is>
      </c>
    </row>
    <row r="10">
      <c r="A10" s="9" t="n">
        <v>6</v>
      </c>
      <c r="B10" s="9" t="inlineStr">
        <is>
          <t>NOPAT</t>
        </is>
      </c>
      <c r="C10" s="9" t="inlineStr">
        <is>
          <t>2021–2025 (5 cells)</t>
        </is>
      </c>
      <c r="D10" s="9" t="inlineStr">
        <is>
          <t>Condensed Financials</t>
        </is>
      </c>
      <c r="E10" s="9" t="inlineStr">
        <is>
          <t>B28:F28</t>
        </is>
      </c>
      <c r="F10" s="9" t="inlineStr">
        <is>
          <t>net_income_link, net_interest_after_tax_fy</t>
        </is>
      </c>
    </row>
    <row r="11">
      <c r="A11" s="9" t="n">
        <v>7</v>
      </c>
      <c r="B11" s="9" t="inlineStr">
        <is>
          <t>Operating working capital assets</t>
        </is>
      </c>
      <c r="C11" s="9" t="inlineStr">
        <is>
          <t>2021–2025 (5 cells)</t>
        </is>
      </c>
      <c r="D11" s="9" t="inlineStr">
        <is>
          <t>Condensed Financials</t>
        </is>
      </c>
      <c r="E11" s="9" t="inlineStr">
        <is>
          <t>B31:F31</t>
        </is>
      </c>
      <c r="F11" s="9" t="inlineStr">
        <is>
          <t>—</t>
        </is>
      </c>
    </row>
    <row r="12">
      <c r="A12" s="9" t="n">
        <v>8</v>
      </c>
      <c r="B12" s="9" t="inlineStr">
        <is>
          <t>Operating working capital liabilities</t>
        </is>
      </c>
      <c r="C12" s="9" t="inlineStr">
        <is>
          <t>2021–2025 (5 cells)</t>
        </is>
      </c>
      <c r="D12" s="9" t="inlineStr">
        <is>
          <t>Condensed Financials</t>
        </is>
      </c>
      <c r="E12" s="9" t="inlineStr">
        <is>
          <t>B32:F32</t>
        </is>
      </c>
      <c r="F12" s="9" t="inlineStr">
        <is>
          <t>—</t>
        </is>
      </c>
    </row>
    <row r="13">
      <c r="A13" s="9" t="n">
        <v>9</v>
      </c>
      <c r="B13" s="9" t="inlineStr">
        <is>
          <t>Net Operating Working Capital (NOWC)</t>
        </is>
      </c>
      <c r="C13" s="9" t="inlineStr">
        <is>
          <t>2021–2025 (5 cells)</t>
        </is>
      </c>
      <c r="D13" s="9" t="inlineStr">
        <is>
          <t>Condensed Financials</t>
        </is>
      </c>
      <c r="E13" s="9" t="inlineStr">
        <is>
          <t>B33:F33</t>
        </is>
      </c>
      <c r="F13" s="9" t="inlineStr">
        <is>
          <t>owca_agg, owcl_agg</t>
        </is>
      </c>
    </row>
    <row r="14">
      <c r="A14" s="9" t="n">
        <v>10</v>
      </c>
      <c r="B14" s="9" t="inlineStr">
        <is>
          <t>Operating long-term assets</t>
        </is>
      </c>
      <c r="C14" s="9" t="inlineStr">
        <is>
          <t>2021–2025 (5 cells)</t>
        </is>
      </c>
      <c r="D14" s="9" t="inlineStr">
        <is>
          <t>Condensed Financials</t>
        </is>
      </c>
      <c r="E14" s="9" t="inlineStr">
        <is>
          <t>B34:F34</t>
        </is>
      </c>
      <c r="F14" s="9" t="inlineStr">
        <is>
          <t>—</t>
        </is>
      </c>
    </row>
    <row r="15">
      <c r="A15" s="9" t="n">
        <v>11</v>
      </c>
      <c r="B15" s="9" t="inlineStr">
        <is>
          <t>Operating long-term liabilities</t>
        </is>
      </c>
      <c r="C15" s="9" t="inlineStr">
        <is>
          <t>2021–2025 (5 cells)</t>
        </is>
      </c>
      <c r="D15" s="9" t="inlineStr">
        <is>
          <t>Condensed Financials</t>
        </is>
      </c>
      <c r="E15" s="9" t="inlineStr">
        <is>
          <t>B35:F35</t>
        </is>
      </c>
      <c r="F15" s="9" t="inlineStr">
        <is>
          <t>—</t>
        </is>
      </c>
    </row>
    <row r="16">
      <c r="A16" s="9" t="n">
        <v>12</v>
      </c>
      <c r="B16" s="9" t="inlineStr">
        <is>
          <t>Net operating long-term assets (NOLA)</t>
        </is>
      </c>
      <c r="C16" s="9" t="inlineStr">
        <is>
          <t>2021–2025 (5 cells)</t>
        </is>
      </c>
      <c r="D16" s="9" t="inlineStr">
        <is>
          <t>Condensed Financials</t>
        </is>
      </c>
      <c r="E16" s="9" t="inlineStr">
        <is>
          <t>B36:F36</t>
        </is>
      </c>
      <c r="F16" s="9" t="inlineStr">
        <is>
          <t>olta_agg, oltl_agg</t>
        </is>
      </c>
    </row>
    <row r="17">
      <c r="A17" s="9" t="n">
        <v>13</v>
      </c>
      <c r="B17" s="9" t="inlineStr">
        <is>
          <t>Net Operating Assets (NOA)</t>
        </is>
      </c>
      <c r="C17" s="9" t="inlineStr">
        <is>
          <t>2021–2025 (5 cells)</t>
        </is>
      </c>
      <c r="D17" s="9" t="inlineStr">
        <is>
          <t>Condensed Financials</t>
        </is>
      </c>
      <c r="E17" s="9" t="inlineStr">
        <is>
          <t>B37:F37</t>
        </is>
      </c>
      <c r="F17" s="9" t="inlineStr">
        <is>
          <t>nowc_agg, nola_agg</t>
        </is>
      </c>
    </row>
    <row r="18">
      <c r="A18" s="9" t="n">
        <v>14</v>
      </c>
      <c r="B18" s="9" t="inlineStr">
        <is>
          <t>Financial assets</t>
        </is>
      </c>
      <c r="C18" s="9" t="inlineStr">
        <is>
          <t>2021–2025 (5 cells)</t>
        </is>
      </c>
      <c r="D18" s="9" t="inlineStr">
        <is>
          <t>Condensed Financials</t>
        </is>
      </c>
      <c r="E18" s="9" t="inlineStr">
        <is>
          <t>B38:F38</t>
        </is>
      </c>
      <c r="F18" s="9" t="inlineStr">
        <is>
          <t>—</t>
        </is>
      </c>
    </row>
    <row r="19">
      <c r="A19" s="9" t="n">
        <v>15</v>
      </c>
      <c r="B19" s="9" t="inlineStr">
        <is>
          <t>Financial liabilities</t>
        </is>
      </c>
      <c r="C19" s="9" t="inlineStr">
        <is>
          <t>2021–2025 (5 cells)</t>
        </is>
      </c>
      <c r="D19" s="9" t="inlineStr">
        <is>
          <t>Condensed Financials</t>
        </is>
      </c>
      <c r="E19" s="9" t="inlineStr">
        <is>
          <t>B39:F39</t>
        </is>
      </c>
      <c r="F19" s="9" t="inlineStr">
        <is>
          <t>—</t>
        </is>
      </c>
    </row>
    <row r="20">
      <c r="A20" s="9" t="n">
        <v>16</v>
      </c>
      <c r="B20" s="9" t="inlineStr">
        <is>
          <t>Net Debt</t>
        </is>
      </c>
      <c r="C20" s="9" t="inlineStr">
        <is>
          <t>2021–2025 (5 cells)</t>
        </is>
      </c>
      <c r="D20" s="9" t="inlineStr">
        <is>
          <t>Condensed Financials</t>
        </is>
      </c>
      <c r="E20" s="9" t="inlineStr">
        <is>
          <t>B40:F40</t>
        </is>
      </c>
      <c r="F20" s="9" t="inlineStr">
        <is>
          <t>financial_assets_agg, financial_liabilities_agg</t>
        </is>
      </c>
    </row>
    <row r="21">
      <c r="A21" s="9" t="n">
        <v>17</v>
      </c>
      <c r="B21" s="9" t="inlineStr">
        <is>
          <t>Reformulated equity</t>
        </is>
      </c>
      <c r="C21" s="9" t="inlineStr">
        <is>
          <t>2021–2025 (5 cells)</t>
        </is>
      </c>
      <c r="D21" s="9" t="inlineStr">
        <is>
          <t>Condensed Financials</t>
        </is>
      </c>
      <c r="E21" s="9" t="inlineStr">
        <is>
          <t>B41:F41</t>
        </is>
      </c>
      <c r="F21" s="9" t="inlineStr">
        <is>
          <t>noa_agg, net_debt</t>
        </is>
      </c>
    </row>
    <row r="22">
      <c r="A22" s="9" t="n">
        <v>18</v>
      </c>
      <c r="B22" s="9" t="inlineStr">
        <is>
          <t>Sales Growth</t>
        </is>
      </c>
      <c r="C22" s="9" t="inlineStr">
        <is>
          <t>2022–2025 (4 cells)</t>
        </is>
      </c>
      <c r="D22" s="9" t="inlineStr">
        <is>
          <t>ALT DuPont</t>
        </is>
      </c>
      <c r="E22" s="9" t="inlineStr">
        <is>
          <t>C5:F5</t>
        </is>
      </c>
      <c r="F22" s="9" t="inlineStr">
        <is>
          <t>revenue_link</t>
        </is>
      </c>
    </row>
    <row r="23">
      <c r="A23" s="9" t="n">
        <v>19</v>
      </c>
      <c r="B23" s="9" t="inlineStr">
        <is>
          <t>NOPAT Margin</t>
        </is>
      </c>
      <c r="C23" s="9" t="inlineStr">
        <is>
          <t>2021–2025 (5 cells)</t>
        </is>
      </c>
      <c r="D23" s="9" t="inlineStr">
        <is>
          <t>ALT DuPont</t>
        </is>
      </c>
      <c r="E23" s="9" t="inlineStr">
        <is>
          <t>B6:F6</t>
        </is>
      </c>
      <c r="F23" s="9" t="inlineStr">
        <is>
          <t>nopat_fy, revenue_link</t>
        </is>
      </c>
    </row>
    <row r="24">
      <c r="A24" s="9" t="n">
        <v>20</v>
      </c>
      <c r="B24" s="9" t="inlineStr">
        <is>
          <t>Return on Net Operating Assets (RNOA)</t>
        </is>
      </c>
      <c r="C24" s="9" t="inlineStr">
        <is>
          <t>2022–2025 (4 cells)</t>
        </is>
      </c>
      <c r="D24" s="9" t="inlineStr">
        <is>
          <t>ALT DuPont</t>
        </is>
      </c>
      <c r="E24" s="9" t="inlineStr">
        <is>
          <t>C7:F7</t>
        </is>
      </c>
      <c r="F24" s="9" t="inlineStr">
        <is>
          <t>nopat_fy, noa_agg</t>
        </is>
      </c>
    </row>
    <row r="25">
      <c r="A25" s="9" t="n">
        <v>21</v>
      </c>
      <c r="B25" s="9" t="inlineStr">
        <is>
          <t>After-tax cost of debt</t>
        </is>
      </c>
      <c r="C25" s="9" t="inlineStr">
        <is>
          <t>2022–2025 (4 cells)</t>
        </is>
      </c>
      <c r="D25" s="9" t="inlineStr">
        <is>
          <t>ALT DuPont</t>
        </is>
      </c>
      <c r="E25" s="9" t="inlineStr">
        <is>
          <t>C8:F8</t>
        </is>
      </c>
      <c r="F25" s="9" t="inlineStr">
        <is>
          <t>net_interest_after_tax_fy, net_debt</t>
        </is>
      </c>
    </row>
    <row r="26">
      <c r="A26" s="9" t="n">
        <v>22</v>
      </c>
      <c r="B26" s="9" t="inlineStr">
        <is>
          <t>Operating Spread (RNOA − After-tax CoD)</t>
        </is>
      </c>
      <c r="C26" s="9" t="inlineStr">
        <is>
          <t>2022–2025 (4 cells)</t>
        </is>
      </c>
      <c r="D26" s="9" t="inlineStr">
        <is>
          <t>ALT DuPont</t>
        </is>
      </c>
      <c r="E26" s="9" t="inlineStr">
        <is>
          <t>C9:F9</t>
        </is>
      </c>
      <c r="F26" s="9" t="inlineStr">
        <is>
          <t>rnoa, after_tax_cod</t>
        </is>
      </c>
    </row>
    <row r="27">
      <c r="A27" s="9" t="n">
        <v>23</v>
      </c>
      <c r="B27" s="9" t="inlineStr">
        <is>
          <t>Financial leverage (FLEV)</t>
        </is>
      </c>
      <c r="C27" s="9" t="inlineStr">
        <is>
          <t>2022–2025 (4 cells)</t>
        </is>
      </c>
      <c r="D27" s="9" t="inlineStr">
        <is>
          <t>ALT DuPont</t>
        </is>
      </c>
      <c r="E27" s="9" t="inlineStr">
        <is>
          <t>C10:F10</t>
        </is>
      </c>
      <c r="F27" s="9" t="inlineStr">
        <is>
          <t>net_debt, equity_reformulated_fy</t>
        </is>
      </c>
    </row>
    <row r="28">
      <c r="A28" s="9" t="n">
        <v>24</v>
      </c>
      <c r="B28" s="9" t="inlineStr">
        <is>
          <t>ROE decomposition</t>
        </is>
      </c>
      <c r="C28" s="9" t="inlineStr">
        <is>
          <t>2022–2025 (4 cells)</t>
        </is>
      </c>
      <c r="D28" s="9" t="inlineStr">
        <is>
          <t>ALT DuPont</t>
        </is>
      </c>
      <c r="E28" s="9" t="inlineStr">
        <is>
          <t>C11:F11</t>
        </is>
      </c>
      <c r="F28" s="9" t="inlineStr">
        <is>
          <t>rnoa, spread, flev</t>
        </is>
      </c>
    </row>
    <row r="29">
      <c r="A29" s="9" t="n">
        <v>25</v>
      </c>
      <c r="B29" s="9" t="inlineStr">
        <is>
          <t>Actual ROE</t>
        </is>
      </c>
      <c r="C29" s="9" t="inlineStr">
        <is>
          <t>2022–2025 (4 cells)</t>
        </is>
      </c>
      <c r="D29" s="9" t="inlineStr">
        <is>
          <t>ALT DuPont</t>
        </is>
      </c>
      <c r="E29" s="9" t="inlineStr">
        <is>
          <t>C12:F12</t>
        </is>
      </c>
      <c r="F29" s="9" t="inlineStr">
        <is>
          <t>net_income_link, equity_reformulated_fy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s>
  <sheetData>
    <row r="1">
      <c r="A1" s="11" t="inlineStr">
        <is>
          <t>Company: Demo Holdings Limited (DEMO)</t>
        </is>
      </c>
    </row>
    <row r="2">
      <c r="A2" s="12" t="inlineStr">
        <is>
          <t>Statement: Income Statement</t>
        </is>
      </c>
    </row>
    <row r="3">
      <c r="A3" s="12" t="inlineStr">
        <is>
          <t>Units: HKD in Millions</t>
        </is>
      </c>
    </row>
    <row r="4">
      <c r="A4" s="12" t="inlineStr">
        <is>
          <t>Source: manual ingestion (HK)</t>
        </is>
      </c>
    </row>
    <row r="6">
      <c r="A6" s="10" t="inlineStr">
        <is>
          <t>Line Item</t>
        </is>
      </c>
      <c r="B6" s="13" t="n">
        <v>44561</v>
      </c>
      <c r="C6" s="13" t="n">
        <v>44926</v>
      </c>
      <c r="D6" s="13" t="n">
        <v>45291</v>
      </c>
      <c r="E6" s="13" t="n">
        <v>45657</v>
      </c>
      <c r="F6" s="13" t="n">
        <v>46022</v>
      </c>
    </row>
    <row r="7">
      <c r="A7" s="9" t="inlineStr">
        <is>
          <t>Revenue</t>
        </is>
      </c>
      <c r="B7" s="14" t="n">
        <v>8500</v>
      </c>
      <c r="C7" s="14" t="n">
        <v>9200</v>
      </c>
      <c r="D7" s="14" t="n">
        <v>10100</v>
      </c>
      <c r="E7" s="14" t="n">
        <v>11200</v>
      </c>
      <c r="F7" s="14" t="n">
        <v>12500</v>
      </c>
    </row>
    <row r="8">
      <c r="A8" s="12" t="inlineStr">
        <is>
          <t>Cost of sales</t>
        </is>
      </c>
      <c r="B8" s="15" t="n">
        <v>-3400</v>
      </c>
      <c r="C8" s="15" t="n">
        <v>-3680</v>
      </c>
      <c r="D8" s="15" t="n">
        <v>-4040</v>
      </c>
      <c r="E8" s="15" t="n">
        <v>-4480</v>
      </c>
      <c r="F8" s="15" t="n">
        <v>-5000</v>
      </c>
    </row>
    <row r="9">
      <c r="A9" s="12" t="inlineStr">
        <is>
          <t>Gross profit</t>
        </is>
      </c>
      <c r="B9" s="15" t="n">
        <v>5100</v>
      </c>
      <c r="C9" s="15" t="n">
        <v>5520</v>
      </c>
      <c r="D9" s="15" t="n">
        <v>6060</v>
      </c>
      <c r="E9" s="15" t="n">
        <v>6720</v>
      </c>
      <c r="F9" s="15" t="n">
        <v>7500</v>
      </c>
    </row>
    <row r="10">
      <c r="A10" s="12" t="inlineStr">
        <is>
          <t>Administrative expenses</t>
        </is>
      </c>
      <c r="B10" s="15" t="n">
        <v>-1700</v>
      </c>
      <c r="C10" s="15" t="n">
        <v>-1840</v>
      </c>
      <c r="D10" s="15" t="n">
        <v>-2020</v>
      </c>
      <c r="E10" s="15" t="n">
        <v>-2240</v>
      </c>
      <c r="F10" s="15" t="n">
        <v>-2500</v>
      </c>
    </row>
    <row r="11">
      <c r="A11" s="12" t="inlineStr">
        <is>
          <t>Operating profit</t>
        </is>
      </c>
      <c r="B11" s="15" t="n">
        <v>3400</v>
      </c>
      <c r="C11" s="15" t="n">
        <v>3680</v>
      </c>
      <c r="D11" s="15" t="n">
        <v>4040</v>
      </c>
      <c r="E11" s="15" t="n">
        <v>4480</v>
      </c>
      <c r="F11" s="15" t="n">
        <v>5000</v>
      </c>
    </row>
    <row r="12">
      <c r="A12" s="12" t="inlineStr">
        <is>
          <t>Finance costs</t>
        </is>
      </c>
      <c r="B12" s="15" t="n">
        <v>-120</v>
      </c>
      <c r="C12" s="15" t="n">
        <v>-130</v>
      </c>
      <c r="D12" s="15" t="n">
        <v>-140</v>
      </c>
      <c r="E12" s="15" t="n">
        <v>-150</v>
      </c>
      <c r="F12" s="15" t="n">
        <v>-160</v>
      </c>
    </row>
    <row r="13">
      <c r="A13" s="12" t="inlineStr">
        <is>
          <t>Finance income</t>
        </is>
      </c>
      <c r="B13" s="15" t="n">
        <v>45</v>
      </c>
      <c r="C13" s="15" t="n">
        <v>50</v>
      </c>
      <c r="D13" s="15" t="n">
        <v>55</v>
      </c>
      <c r="E13" s="15" t="n">
        <v>60</v>
      </c>
      <c r="F13" s="15" t="n">
        <v>65</v>
      </c>
    </row>
    <row r="14">
      <c r="A14" s="12" t="inlineStr">
        <is>
          <t>Profit before tax</t>
        </is>
      </c>
      <c r="B14" s="15" t="n">
        <v>3325</v>
      </c>
      <c r="C14" s="15" t="n">
        <v>3600</v>
      </c>
      <c r="D14" s="15" t="n">
        <v>3955</v>
      </c>
      <c r="E14" s="15" t="n">
        <v>4390</v>
      </c>
      <c r="F14" s="15" t="n">
        <v>4905</v>
      </c>
    </row>
    <row r="15">
      <c r="A15" s="12" t="inlineStr">
        <is>
          <t>Income tax expense</t>
        </is>
      </c>
      <c r="B15" s="15" t="n">
        <v>-565</v>
      </c>
      <c r="C15" s="15" t="n">
        <v>-612</v>
      </c>
      <c r="D15" s="15" t="n">
        <v>-672</v>
      </c>
      <c r="E15" s="15" t="n">
        <v>-746</v>
      </c>
      <c r="F15" s="15" t="n">
        <v>-833</v>
      </c>
    </row>
    <row r="16">
      <c r="A16" s="12" t="inlineStr">
        <is>
          <t>Profit for the year</t>
        </is>
      </c>
      <c r="B16" s="15" t="n">
        <v>2760</v>
      </c>
      <c r="C16" s="15" t="n">
        <v>2988</v>
      </c>
      <c r="D16" s="15" t="n">
        <v>3283</v>
      </c>
      <c r="E16" s="15" t="n">
        <v>3644</v>
      </c>
      <c r="F16" s="15" t="n">
        <v>4072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s>
  <sheetData>
    <row r="1">
      <c r="A1" s="11" t="inlineStr">
        <is>
          <t>Company: Demo Holdings Limited (DEMO)</t>
        </is>
      </c>
    </row>
    <row r="2">
      <c r="A2" s="12" t="inlineStr">
        <is>
          <t>Statement: Balance Sheet</t>
        </is>
      </c>
    </row>
    <row r="3">
      <c r="A3" s="12" t="inlineStr">
        <is>
          <t>Units: HKD in Millions</t>
        </is>
      </c>
    </row>
    <row r="4">
      <c r="A4" s="12" t="inlineStr">
        <is>
          <t>Source: manual ingestion (HK)</t>
        </is>
      </c>
    </row>
    <row r="6">
      <c r="A6" s="10" t="inlineStr">
        <is>
          <t>Line Item</t>
        </is>
      </c>
      <c r="B6" s="13" t="n">
        <v>44561</v>
      </c>
      <c r="C6" s="13" t="n">
        <v>44926</v>
      </c>
      <c r="D6" s="13" t="n">
        <v>45291</v>
      </c>
      <c r="E6" s="13" t="n">
        <v>45657</v>
      </c>
      <c r="F6" s="13" t="n">
        <v>46022</v>
      </c>
    </row>
    <row r="7">
      <c r="A7" s="12" t="inlineStr">
        <is>
          <t>Cash and cash equivalents</t>
        </is>
      </c>
      <c r="B7" s="15" t="n">
        <v>1200</v>
      </c>
      <c r="C7" s="15" t="n">
        <v>1350</v>
      </c>
      <c r="D7" s="15" t="n">
        <v>1500</v>
      </c>
      <c r="E7" s="15" t="n">
        <v>1680</v>
      </c>
      <c r="F7" s="15" t="n">
        <v>1850</v>
      </c>
    </row>
    <row r="8">
      <c r="A8" s="12" t="inlineStr">
        <is>
          <t>Trade receivables</t>
        </is>
      </c>
      <c r="B8" s="15" t="n">
        <v>850</v>
      </c>
      <c r="C8" s="15" t="n">
        <v>920</v>
      </c>
      <c r="D8" s="15" t="n">
        <v>1010</v>
      </c>
      <c r="E8" s="15" t="n">
        <v>1120</v>
      </c>
      <c r="F8" s="15" t="n">
        <v>1250</v>
      </c>
    </row>
    <row r="9">
      <c r="A9" s="9" t="inlineStr">
        <is>
          <t>Inventories</t>
        </is>
      </c>
      <c r="B9" s="14" t="n">
        <v>680</v>
      </c>
      <c r="C9" s="14" t="n">
        <v>736</v>
      </c>
      <c r="D9" s="14" t="n">
        <v>808</v>
      </c>
      <c r="E9" s="14" t="n">
        <v>896</v>
      </c>
      <c r="F9" s="14" t="n">
        <v>1000</v>
      </c>
    </row>
    <row r="10">
      <c r="A10" s="12" t="inlineStr">
        <is>
          <t>Property, plant and equipment</t>
        </is>
      </c>
      <c r="B10" s="15" t="n">
        <v>3200</v>
      </c>
      <c r="C10" s="15" t="n">
        <v>3400</v>
      </c>
      <c r="D10" s="15" t="n">
        <v>3600</v>
      </c>
      <c r="E10" s="15" t="n">
        <v>3800</v>
      </c>
      <c r="F10" s="15" t="n">
        <v>4000</v>
      </c>
    </row>
    <row r="11">
      <c r="A11" s="9" t="inlineStr">
        <is>
          <t>Goodwill</t>
        </is>
      </c>
      <c r="B11" s="14" t="n">
        <v>900</v>
      </c>
      <c r="C11" s="14" t="n">
        <v>900</v>
      </c>
      <c r="D11" s="14" t="n">
        <v>900</v>
      </c>
      <c r="E11" s="14" t="n">
        <v>900</v>
      </c>
      <c r="F11" s="14" t="n">
        <v>900</v>
      </c>
    </row>
    <row r="12">
      <c r="A12" s="12" t="inlineStr">
        <is>
          <t>Other non-current assets</t>
        </is>
      </c>
      <c r="B12" s="15" t="n">
        <v>1670</v>
      </c>
      <c r="C12" s="15" t="n">
        <v>1894</v>
      </c>
      <c r="D12" s="15" t="n">
        <v>2282</v>
      </c>
      <c r="E12" s="15" t="n">
        <v>2804</v>
      </c>
      <c r="F12" s="15" t="n">
        <v>3500</v>
      </c>
    </row>
    <row r="13">
      <c r="A13" s="12" t="inlineStr">
        <is>
          <t>Total assets</t>
        </is>
      </c>
      <c r="B13" s="15" t="n">
        <v>8500</v>
      </c>
      <c r="C13" s="15" t="n">
        <v>9200</v>
      </c>
      <c r="D13" s="15" t="n">
        <v>10100</v>
      </c>
      <c r="E13" s="15" t="n">
        <v>11200</v>
      </c>
      <c r="F13" s="15" t="n">
        <v>12500</v>
      </c>
    </row>
    <row r="14">
      <c r="A14" s="12" t="inlineStr">
        <is>
          <t>Trade payables</t>
        </is>
      </c>
      <c r="B14" s="15" t="n">
        <v>595</v>
      </c>
      <c r="C14" s="15" t="n">
        <v>644</v>
      </c>
      <c r="D14" s="15" t="n">
        <v>707</v>
      </c>
      <c r="E14" s="15" t="n">
        <v>784</v>
      </c>
      <c r="F14" s="15" t="n">
        <v>875</v>
      </c>
    </row>
    <row r="15">
      <c r="A15" s="12" t="inlineStr">
        <is>
          <t>Bank borrowings</t>
        </is>
      </c>
      <c r="B15" s="15" t="n">
        <v>1500</v>
      </c>
      <c r="C15" s="15" t="n">
        <v>1400</v>
      </c>
      <c r="D15" s="15" t="n">
        <v>1300</v>
      </c>
      <c r="E15" s="15" t="n">
        <v>1200</v>
      </c>
      <c r="F15" s="15" t="n">
        <v>1100</v>
      </c>
    </row>
    <row r="16">
      <c r="A16" s="12" t="inlineStr">
        <is>
          <t>Operating lease liabilities</t>
        </is>
      </c>
      <c r="B16" s="15" t="n">
        <v>300</v>
      </c>
      <c r="C16" s="15" t="n">
        <v>320</v>
      </c>
      <c r="D16" s="15" t="n">
        <v>340</v>
      </c>
      <c r="E16" s="15" t="n">
        <v>360</v>
      </c>
      <c r="F16" s="15" t="n">
        <v>380</v>
      </c>
    </row>
    <row r="17">
      <c r="A17" s="12" t="inlineStr">
        <is>
          <t>Other non-current liabilities</t>
        </is>
      </c>
      <c r="B17" s="15" t="n">
        <v>1005</v>
      </c>
      <c r="C17" s="15" t="n">
        <v>1136</v>
      </c>
      <c r="D17" s="15" t="n">
        <v>1253</v>
      </c>
      <c r="E17" s="15" t="n">
        <v>1356</v>
      </c>
      <c r="F17" s="15" t="n">
        <v>1445</v>
      </c>
    </row>
    <row r="18">
      <c r="A18" s="12" t="inlineStr">
        <is>
          <t>Total liabilities</t>
        </is>
      </c>
      <c r="B18" s="15" t="n">
        <v>3400</v>
      </c>
      <c r="C18" s="15" t="n">
        <v>3500</v>
      </c>
      <c r="D18" s="15" t="n">
        <v>3600</v>
      </c>
      <c r="E18" s="15" t="n">
        <v>3700</v>
      </c>
      <c r="F18" s="15" t="n">
        <v>3800</v>
      </c>
    </row>
    <row r="19">
      <c r="A19" s="12" t="inlineStr">
        <is>
          <t>Share capital and reserves</t>
        </is>
      </c>
      <c r="B19" s="15" t="n">
        <v>5100</v>
      </c>
      <c r="C19" s="15" t="n">
        <v>5700</v>
      </c>
      <c r="D19" s="15" t="n">
        <v>6500</v>
      </c>
      <c r="E19" s="15" t="n">
        <v>7500</v>
      </c>
      <c r="F19" s="15" t="n">
        <v>8700</v>
      </c>
    </row>
    <row r="20">
      <c r="A20" s="12" t="inlineStr">
        <is>
          <t>Total equity</t>
        </is>
      </c>
      <c r="B20" s="15" t="n">
        <v>5100</v>
      </c>
      <c r="C20" s="15" t="n">
        <v>5700</v>
      </c>
      <c r="D20" s="15" t="n">
        <v>6500</v>
      </c>
      <c r="E20" s="15" t="n">
        <v>7500</v>
      </c>
      <c r="F20" s="15" t="n">
        <v>8700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s>
  <sheetData>
    <row r="1">
      <c r="A1" s="11" t="inlineStr">
        <is>
          <t>Company: Demo Holdings Limited (DEMO)</t>
        </is>
      </c>
    </row>
    <row r="2">
      <c r="A2" s="12" t="inlineStr">
        <is>
          <t>Statement: Cash Flow Statement</t>
        </is>
      </c>
    </row>
    <row r="3">
      <c r="A3" s="12" t="inlineStr">
        <is>
          <t>Units: HKD in Millions</t>
        </is>
      </c>
    </row>
    <row r="4">
      <c r="A4" s="12" t="inlineStr">
        <is>
          <t>Source: manual ingestion (HK)</t>
        </is>
      </c>
    </row>
    <row r="6">
      <c r="A6" s="10" t="inlineStr">
        <is>
          <t>Line Item</t>
        </is>
      </c>
      <c r="B6" s="13" t="n">
        <v>44561</v>
      </c>
      <c r="C6" s="13" t="n">
        <v>44926</v>
      </c>
      <c r="D6" s="13" t="n">
        <v>45291</v>
      </c>
      <c r="E6" s="13" t="n">
        <v>45657</v>
      </c>
      <c r="F6" s="13" t="n">
        <v>46022</v>
      </c>
    </row>
    <row r="7">
      <c r="A7" s="12" t="inlineStr">
        <is>
          <t>Profit for the year</t>
        </is>
      </c>
      <c r="B7" s="15" t="n">
        <v>2760</v>
      </c>
      <c r="C7" s="15" t="n">
        <v>2988</v>
      </c>
      <c r="D7" s="15" t="n">
        <v>3283</v>
      </c>
      <c r="E7" s="15" t="n">
        <v>3644</v>
      </c>
      <c r="F7" s="15" t="n">
        <v>4072</v>
      </c>
    </row>
    <row r="8">
      <c r="A8" s="12" t="inlineStr">
        <is>
          <t>Depreciation and amortisation</t>
        </is>
      </c>
      <c r="B8" s="15" t="n">
        <v>340</v>
      </c>
      <c r="C8" s="15" t="n">
        <v>368</v>
      </c>
      <c r="D8" s="15" t="n">
        <v>404</v>
      </c>
      <c r="E8" s="15" t="n">
        <v>448</v>
      </c>
      <c r="F8" s="15" t="n">
        <v>500</v>
      </c>
    </row>
    <row r="9">
      <c r="A9" s="12" t="inlineStr">
        <is>
          <t>Net cash from operating activities</t>
        </is>
      </c>
      <c r="B9" s="15" t="n">
        <v>1450</v>
      </c>
      <c r="C9" s="15" t="n">
        <v>1600</v>
      </c>
      <c r="D9" s="15" t="n">
        <v>1750</v>
      </c>
      <c r="E9" s="15" t="n">
        <v>1930</v>
      </c>
      <c r="F9" s="15" t="n">
        <v>2070</v>
      </c>
    </row>
    <row r="10">
      <c r="A10" s="12" t="inlineStr">
        <is>
          <t>Net cash used in investing activities</t>
        </is>
      </c>
      <c r="B10" s="15" t="n">
        <v>-800</v>
      </c>
      <c r="C10" s="15" t="n">
        <v>-850</v>
      </c>
      <c r="D10" s="15" t="n">
        <v>-900</v>
      </c>
      <c r="E10" s="15" t="n">
        <v>-950</v>
      </c>
      <c r="F10" s="15" t="n">
        <v>-1000</v>
      </c>
    </row>
    <row r="11">
      <c r="A11" s="12" t="inlineStr">
        <is>
          <t>Net cash from financing activities</t>
        </is>
      </c>
      <c r="B11" s="15" t="n">
        <v>-500</v>
      </c>
      <c r="C11" s="15" t="n">
        <v>-600</v>
      </c>
      <c r="D11" s="15" t="n">
        <v>-700</v>
      </c>
      <c r="E11" s="15" t="n">
        <v>-800</v>
      </c>
      <c r="F11" s="15" t="n">
        <v>-900</v>
      </c>
    </row>
    <row r="12">
      <c r="A12" s="12" t="inlineStr">
        <is>
          <t>Net change in cash and cash equivalents</t>
        </is>
      </c>
      <c r="B12" s="15" t="n">
        <v>150</v>
      </c>
      <c r="C12" s="15" t="n">
        <v>150</v>
      </c>
      <c r="D12" s="15" t="n">
        <v>150</v>
      </c>
      <c r="E12" s="15" t="n">
        <v>180</v>
      </c>
      <c r="F12" s="15" t="n">
        <v>170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4"/>
  <sheetViews>
    <sheetView showGridLines="0" workbookViewId="0">
      <selection activeCell="A1" sqref="A1"/>
    </sheetView>
  </sheetViews>
  <sheetFormatPr baseColWidth="8" defaultRowHeight="15"/>
  <cols>
    <col width="42" customWidth="1" min="1" max="1"/>
    <col width="32" customWidth="1" min="2" max="2"/>
    <col width="14" customWidth="1" min="3" max="3"/>
    <col width="14" customWidth="1" min="4" max="4"/>
    <col width="14" customWidth="1" min="5" max="5"/>
    <col width="14" customWidth="1" min="6" max="6"/>
    <col width="14" customWidth="1" min="7" max="7"/>
    <col width="42" customWidth="1" min="8" max="8"/>
  </cols>
  <sheetData>
    <row r="1">
      <c r="A1" s="11" t="inlineStr">
        <is>
          <t>Demo Holdings Limited (DEMO) — Condensed Financials</t>
        </is>
      </c>
    </row>
    <row r="4">
      <c r="A4" s="10" t="inlineStr">
        <is>
          <t>BALANCE SHEET CLASSIFICATION</t>
        </is>
      </c>
    </row>
    <row r="5">
      <c r="A5" s="10" t="inlineStr">
        <is>
          <t>Line Item</t>
        </is>
      </c>
      <c r="B5" s="10" t="inlineStr">
        <is>
          <t>Classification</t>
        </is>
      </c>
      <c r="C5" s="13" t="n">
        <v>44561</v>
      </c>
      <c r="D5" s="13" t="n">
        <v>44926</v>
      </c>
      <c r="E5" s="13" t="n">
        <v>45291</v>
      </c>
      <c r="F5" s="13" t="n">
        <v>45657</v>
      </c>
      <c r="G5" s="13" t="n">
        <v>46022</v>
      </c>
      <c r="H5" s="10" t="inlineStr">
        <is>
          <t>Notes</t>
        </is>
      </c>
    </row>
    <row r="6">
      <c r="A6" s="12" t="inlineStr">
        <is>
          <t>Cash and cash equivalents</t>
        </is>
      </c>
      <c r="B6" s="12" t="inlineStr">
        <is>
          <t>Financial Asset</t>
        </is>
      </c>
      <c r="C6" s="15" t="n">
        <v>1200</v>
      </c>
      <c r="D6" s="15" t="n">
        <v>1350</v>
      </c>
      <c r="E6" s="15" t="n">
        <v>1500</v>
      </c>
      <c r="F6" s="15" t="n">
        <v>1680</v>
      </c>
      <c r="G6" s="15" t="n">
        <v>1850</v>
      </c>
    </row>
    <row r="7">
      <c r="A7" s="12" t="inlineStr">
        <is>
          <t>Trade receivables</t>
        </is>
      </c>
      <c r="B7" s="12" t="inlineStr">
        <is>
          <t>Operating Working Capital Asset</t>
        </is>
      </c>
      <c r="C7" s="15" t="n">
        <v>850</v>
      </c>
      <c r="D7" s="15" t="n">
        <v>920</v>
      </c>
      <c r="E7" s="15" t="n">
        <v>1010</v>
      </c>
      <c r="F7" s="15" t="n">
        <v>1120</v>
      </c>
      <c r="G7" s="15" t="n">
        <v>1250</v>
      </c>
    </row>
    <row r="8">
      <c r="A8" s="9" t="inlineStr">
        <is>
          <t>Inventories</t>
        </is>
      </c>
      <c r="B8" s="9" t="inlineStr">
        <is>
          <t>Operating Working Capital Asset</t>
        </is>
      </c>
      <c r="C8" s="14" t="n">
        <v>680</v>
      </c>
      <c r="D8" s="14" t="n">
        <v>736</v>
      </c>
      <c r="E8" s="14" t="n">
        <v>808</v>
      </c>
      <c r="F8" s="14" t="n">
        <v>896</v>
      </c>
      <c r="G8" s="14" t="n">
        <v>1000</v>
      </c>
    </row>
    <row r="9">
      <c r="A9" s="12" t="inlineStr">
        <is>
          <t>Property, plant and equipment</t>
        </is>
      </c>
      <c r="B9" s="12" t="inlineStr">
        <is>
          <t>Operating Long-Term Asset</t>
        </is>
      </c>
      <c r="C9" s="15" t="n">
        <v>3200</v>
      </c>
      <c r="D9" s="15" t="n">
        <v>3400</v>
      </c>
      <c r="E9" s="15" t="n">
        <v>3600</v>
      </c>
      <c r="F9" s="15" t="n">
        <v>3800</v>
      </c>
      <c r="G9" s="15" t="n">
        <v>4000</v>
      </c>
    </row>
    <row r="10">
      <c r="A10" s="9" t="inlineStr">
        <is>
          <t>Goodwill</t>
        </is>
      </c>
      <c r="B10" s="9" t="inlineStr">
        <is>
          <t>Operating Long-Term Asset</t>
        </is>
      </c>
      <c r="C10" s="14" t="n">
        <v>900</v>
      </c>
      <c r="D10" s="14" t="n">
        <v>900</v>
      </c>
      <c r="E10" s="14" t="n">
        <v>900</v>
      </c>
      <c r="F10" s="14" t="n">
        <v>900</v>
      </c>
      <c r="G10" s="14" t="n">
        <v>900</v>
      </c>
    </row>
    <row r="11">
      <c r="A11" s="12" t="inlineStr">
        <is>
          <t>Other non-current assets</t>
        </is>
      </c>
      <c r="B11" s="12" t="inlineStr">
        <is>
          <t>Operating Long-Term Asset</t>
        </is>
      </c>
      <c r="C11" s="15" t="n">
        <v>1670</v>
      </c>
      <c r="D11" s="15" t="n">
        <v>1894</v>
      </c>
      <c r="E11" s="15" t="n">
        <v>2282</v>
      </c>
      <c r="F11" s="15" t="n">
        <v>2804</v>
      </c>
      <c r="G11" s="15" t="n">
        <v>3500</v>
      </c>
    </row>
    <row r="12">
      <c r="A12" s="12" t="inlineStr">
        <is>
          <t>Trade payables</t>
        </is>
      </c>
      <c r="B12" s="12" t="inlineStr">
        <is>
          <t>Operating Working Capital Liability</t>
        </is>
      </c>
      <c r="C12" s="15" t="n">
        <v>595</v>
      </c>
      <c r="D12" s="15" t="n">
        <v>644</v>
      </c>
      <c r="E12" s="15" t="n">
        <v>707</v>
      </c>
      <c r="F12" s="15" t="n">
        <v>784</v>
      </c>
      <c r="G12" s="15" t="n">
        <v>875</v>
      </c>
    </row>
    <row r="13">
      <c r="A13" s="12" t="inlineStr">
        <is>
          <t>Bank borrowings</t>
        </is>
      </c>
      <c r="B13" s="12" t="inlineStr">
        <is>
          <t>Financial Liability</t>
        </is>
      </c>
      <c r="C13" s="15" t="n">
        <v>1500</v>
      </c>
      <c r="D13" s="15" t="n">
        <v>1400</v>
      </c>
      <c r="E13" s="15" t="n">
        <v>1300</v>
      </c>
      <c r="F13" s="15" t="n">
        <v>1200</v>
      </c>
      <c r="G13" s="15" t="n">
        <v>1100</v>
      </c>
    </row>
    <row r="14">
      <c r="A14" s="12" t="inlineStr">
        <is>
          <t>Operating lease liabilities</t>
        </is>
      </c>
      <c r="B14" s="12" t="inlineStr">
        <is>
          <t>Operating Long-Term Liability</t>
        </is>
      </c>
      <c r="C14" s="15" t="n">
        <v>300</v>
      </c>
      <c r="D14" s="15" t="n">
        <v>320</v>
      </c>
      <c r="E14" s="15" t="n">
        <v>340</v>
      </c>
      <c r="F14" s="15" t="n">
        <v>360</v>
      </c>
      <c r="G14" s="15" t="n">
        <v>380</v>
      </c>
      <c r="H14" s="12" t="inlineStr">
        <is>
          <t>⚠ Review: Lease liability concept — operating vs financial judgment</t>
        </is>
      </c>
    </row>
    <row r="15">
      <c r="A15" s="12" t="inlineStr">
        <is>
          <t>Other non-current liabilities</t>
        </is>
      </c>
      <c r="B15" s="12" t="inlineStr">
        <is>
          <t>Operating Long-Term Liability</t>
        </is>
      </c>
      <c r="C15" s="15" t="n">
        <v>1005</v>
      </c>
      <c r="D15" s="15" t="n">
        <v>1136</v>
      </c>
      <c r="E15" s="15" t="n">
        <v>1253</v>
      </c>
      <c r="F15" s="15" t="n">
        <v>1356</v>
      </c>
      <c r="G15" s="15" t="n">
        <v>1445</v>
      </c>
    </row>
    <row r="16">
      <c r="A16" s="12" t="inlineStr">
        <is>
          <t>Share capital and reserves</t>
        </is>
      </c>
      <c r="B16" s="12" t="inlineStr">
        <is>
          <t>Equity</t>
        </is>
      </c>
      <c r="C16" s="15" t="n">
        <v>5100</v>
      </c>
      <c r="D16" s="15" t="n">
        <v>5700</v>
      </c>
      <c r="E16" s="15" t="n">
        <v>6500</v>
      </c>
      <c r="F16" s="15" t="n">
        <v>7500</v>
      </c>
      <c r="G16" s="15" t="n">
        <v>8700</v>
      </c>
    </row>
    <row r="18">
      <c r="A18" s="10" t="inlineStr">
        <is>
          <t>CONDENSED INCOME STATEMENT</t>
        </is>
      </c>
      <c r="B18" s="13" t="n">
        <v>44561</v>
      </c>
      <c r="C18" s="13" t="n">
        <v>44926</v>
      </c>
      <c r="D18" s="13" t="n">
        <v>45291</v>
      </c>
      <c r="E18" s="13" t="n">
        <v>45657</v>
      </c>
      <c r="F18" s="13" t="n">
        <v>46022</v>
      </c>
    </row>
    <row r="19">
      <c r="A19" s="9" t="inlineStr">
        <is>
          <t>Revenue</t>
        </is>
      </c>
      <c r="B19" s="16" t="n"/>
      <c r="C19" s="16" t="n"/>
      <c r="D19" s="16" t="n"/>
      <c r="E19" s="16" t="n"/>
      <c r="F19" s="16" t="n"/>
    </row>
    <row r="20">
      <c r="A20" s="12" t="inlineStr">
        <is>
          <t>Net Income</t>
        </is>
      </c>
      <c r="B20" s="17" t="n"/>
      <c r="C20" s="17" t="n"/>
      <c r="D20" s="17" t="n"/>
      <c r="E20" s="17" t="n"/>
      <c r="F20" s="17" t="n"/>
    </row>
    <row r="21">
      <c r="A21" s="12" t="inlineStr">
        <is>
          <t>Pretax Income</t>
        </is>
      </c>
      <c r="B21" s="12">
        <f>'Income Statement'!B14</f>
        <v/>
      </c>
      <c r="C21" s="12">
        <f>'Income Statement'!C14</f>
        <v/>
      </c>
      <c r="D21" s="12">
        <f>'Income Statement'!D14</f>
        <v/>
      </c>
      <c r="E21" s="12">
        <f>'Income Statement'!E14</f>
        <v/>
      </c>
      <c r="F21" s="12">
        <f>'Income Statement'!F14</f>
        <v/>
      </c>
    </row>
    <row r="22">
      <c r="A22" s="12" t="inlineStr">
        <is>
          <t>Tax Expense</t>
        </is>
      </c>
      <c r="B22" s="12">
        <f>'Income Statement'!B15</f>
        <v/>
      </c>
      <c r="C22" s="12">
        <f>'Income Statement'!C15</f>
        <v/>
      </c>
      <c r="D22" s="12">
        <f>'Income Statement'!D15</f>
        <v/>
      </c>
      <c r="E22" s="12">
        <f>'Income Statement'!E15</f>
        <v/>
      </c>
      <c r="F22" s="12">
        <f>'Income Statement'!F15</f>
        <v/>
      </c>
    </row>
    <row r="23">
      <c r="A23" s="12" t="inlineStr">
        <is>
          <t>Interest Expense</t>
        </is>
      </c>
      <c r="B23" s="12">
        <f>'Income Statement'!B12</f>
        <v/>
      </c>
      <c r="C23" s="12">
        <f>'Income Statement'!C12</f>
        <v/>
      </c>
      <c r="D23" s="12">
        <f>'Income Statement'!D12</f>
        <v/>
      </c>
      <c r="E23" s="12">
        <f>'Income Statement'!E12</f>
        <v/>
      </c>
      <c r="F23" s="12">
        <f>'Income Statement'!F12</f>
        <v/>
      </c>
    </row>
    <row r="24">
      <c r="A24" s="12" t="inlineStr">
        <is>
          <t>Interest Income</t>
        </is>
      </c>
      <c r="B24" s="12">
        <f>'Income Statement'!B13</f>
        <v/>
      </c>
      <c r="C24" s="12">
        <f>'Income Statement'!C13</f>
        <v/>
      </c>
      <c r="D24" s="12">
        <f>'Income Statement'!D13</f>
        <v/>
      </c>
      <c r="E24" s="12">
        <f>'Income Statement'!E13</f>
        <v/>
      </c>
      <c r="F24" s="12">
        <f>'Income Statement'!F13</f>
        <v/>
      </c>
    </row>
    <row r="25">
      <c r="A25" s="12" t="inlineStr">
        <is>
          <t>Effective Tax Rate</t>
        </is>
      </c>
      <c r="B25" s="18" t="n"/>
      <c r="C25" s="18" t="n"/>
      <c r="D25" s="18" t="n"/>
      <c r="E25" s="18" t="n"/>
      <c r="F25" s="18" t="n"/>
    </row>
    <row r="26">
      <c r="A26" s="12" t="inlineStr">
        <is>
          <t>Net Interest</t>
        </is>
      </c>
      <c r="B26" s="19" t="n"/>
      <c r="C26" s="19" t="n"/>
      <c r="D26" s="19" t="n"/>
      <c r="E26" s="19" t="n"/>
      <c r="F26" s="19" t="n"/>
    </row>
    <row r="27">
      <c r="A27" s="12" t="inlineStr">
        <is>
          <t>Net Interest After Tax</t>
        </is>
      </c>
      <c r="B27" s="19" t="n"/>
      <c r="C27" s="19" t="n"/>
      <c r="D27" s="19" t="n"/>
      <c r="E27" s="19" t="n"/>
      <c r="F27" s="19" t="n"/>
    </row>
    <row r="28">
      <c r="A28" s="20" t="inlineStr">
        <is>
          <t>NOPAT</t>
        </is>
      </c>
      <c r="B28" s="21" t="n"/>
      <c r="C28" s="21" t="n"/>
      <c r="D28" s="21" t="n"/>
      <c r="E28" s="21" t="n"/>
      <c r="F28" s="21" t="n"/>
    </row>
    <row r="30">
      <c r="A30" s="10" t="inlineStr">
        <is>
          <t>CONDENSED BALANCE SHEET</t>
        </is>
      </c>
    </row>
    <row r="31">
      <c r="A31" s="12" t="inlineStr">
        <is>
          <t>Operating Working Capital Assets</t>
        </is>
      </c>
      <c r="B31" s="19" t="n"/>
      <c r="C31" s="19" t="n"/>
      <c r="D31" s="19" t="n"/>
      <c r="E31" s="19" t="n"/>
      <c r="F31" s="19" t="n"/>
    </row>
    <row r="32">
      <c r="A32" s="12" t="inlineStr">
        <is>
          <t>Operating Working Capital Liabilities</t>
        </is>
      </c>
      <c r="B32" s="19" t="n"/>
      <c r="C32" s="19" t="n"/>
      <c r="D32" s="19" t="n"/>
      <c r="E32" s="19" t="n"/>
      <c r="F32" s="19" t="n"/>
    </row>
    <row r="33">
      <c r="A33" s="20" t="inlineStr">
        <is>
          <t>NOWC</t>
        </is>
      </c>
      <c r="B33" s="21" t="n"/>
      <c r="C33" s="21" t="n"/>
      <c r="D33" s="21" t="n"/>
      <c r="E33" s="21" t="n"/>
      <c r="F33" s="21" t="n"/>
    </row>
    <row r="34">
      <c r="A34" s="12" t="inlineStr">
        <is>
          <t>Operating Long-Term Assets</t>
        </is>
      </c>
      <c r="B34" s="19" t="n"/>
      <c r="C34" s="19" t="n"/>
      <c r="D34" s="19" t="n"/>
      <c r="E34" s="19" t="n"/>
      <c r="F34" s="19" t="n"/>
    </row>
    <row r="35">
      <c r="A35" s="12" t="inlineStr">
        <is>
          <t>Operating Long-Term Liabilities</t>
        </is>
      </c>
      <c r="B35" s="19" t="n"/>
      <c r="C35" s="19" t="n"/>
      <c r="D35" s="19" t="n"/>
      <c r="E35" s="19" t="n"/>
      <c r="F35" s="19" t="n"/>
    </row>
    <row r="36">
      <c r="A36" s="20" t="inlineStr">
        <is>
          <t>NOLA</t>
        </is>
      </c>
      <c r="B36" s="21" t="n"/>
      <c r="C36" s="21" t="n"/>
      <c r="D36" s="21" t="n"/>
      <c r="E36" s="21" t="n"/>
      <c r="F36" s="21" t="n"/>
    </row>
    <row r="37">
      <c r="A37" s="20" t="inlineStr">
        <is>
          <t>NOA</t>
        </is>
      </c>
      <c r="B37" s="21" t="n"/>
      <c r="C37" s="21" t="n"/>
      <c r="D37" s="21" t="n"/>
      <c r="E37" s="21" t="n"/>
      <c r="F37" s="21" t="n"/>
    </row>
    <row r="38">
      <c r="A38" s="12" t="inlineStr">
        <is>
          <t>Financial Assets</t>
        </is>
      </c>
      <c r="B38" s="19" t="n"/>
      <c r="C38" s="19" t="n"/>
      <c r="D38" s="19" t="n"/>
      <c r="E38" s="19" t="n"/>
      <c r="F38" s="19" t="n"/>
    </row>
    <row r="39">
      <c r="A39" s="12" t="inlineStr">
        <is>
          <t>Financial Liabilities</t>
        </is>
      </c>
      <c r="B39" s="19" t="n"/>
      <c r="C39" s="19" t="n"/>
      <c r="D39" s="19" t="n"/>
      <c r="E39" s="19" t="n"/>
      <c r="F39" s="19" t="n"/>
    </row>
    <row r="40">
      <c r="A40" s="10" t="inlineStr">
        <is>
          <t>Net Debt</t>
        </is>
      </c>
      <c r="B40" s="19" t="n"/>
      <c r="C40" s="19" t="n"/>
      <c r="D40" s="19" t="n"/>
      <c r="E40" s="19" t="n"/>
      <c r="F40" s="19" t="n"/>
    </row>
    <row r="41">
      <c r="A41" s="10" t="inlineStr">
        <is>
          <t>Equity (NOA - Net Debt)</t>
        </is>
      </c>
      <c r="B41" s="19" t="n"/>
      <c r="C41" s="19" t="n"/>
      <c r="D41" s="19" t="n"/>
      <c r="E41" s="19" t="n"/>
      <c r="F41" s="19" t="n"/>
    </row>
    <row r="42">
      <c r="A42" s="10" t="inlineStr">
        <is>
          <t>Reported Equity</t>
        </is>
      </c>
      <c r="B42" s="15">
        <f>'Balance Sheet'!B20</f>
        <v/>
      </c>
      <c r="C42" s="15">
        <f>'Balance Sheet'!C20</f>
        <v/>
      </c>
      <c r="D42" s="15">
        <f>'Balance Sheet'!D20</f>
        <v/>
      </c>
      <c r="E42" s="15">
        <f>'Balance Sheet'!E20</f>
        <v/>
      </c>
      <c r="F42" s="15">
        <f>'Balance Sheet'!F20</f>
        <v/>
      </c>
    </row>
    <row r="43">
      <c r="A43" s="10" t="inlineStr">
        <is>
          <t>Total Capital</t>
        </is>
      </c>
      <c r="B43" s="15">
        <f>B40+B41</f>
        <v/>
      </c>
      <c r="C43" s="15">
        <f>C40+C41</f>
        <v/>
      </c>
      <c r="D43" s="15">
        <f>D40+D41</f>
        <v/>
      </c>
      <c r="E43" s="15">
        <f>E40+E41</f>
        <v/>
      </c>
      <c r="F43" s="15">
        <f>F40+F41</f>
        <v/>
      </c>
    </row>
    <row r="44">
      <c r="A44" s="20" t="inlineStr">
        <is>
          <t>CHECK</t>
        </is>
      </c>
      <c r="B44" s="9">
        <f>IF(ABS(B41-B42)&lt;1,"OK","CHECK")</f>
        <v/>
      </c>
      <c r="C44" s="9">
        <f>IF(ABS(C41-C42)&lt;1,"OK","CHECK")</f>
        <v/>
      </c>
      <c r="D44" s="9">
        <f>IF(ABS(D41-D42)&lt;1,"OK","CHECK")</f>
        <v/>
      </c>
      <c r="E44" s="9">
        <f>IF(ABS(E41-E42)&lt;1,"OK","CHECK")</f>
        <v/>
      </c>
      <c r="F44" s="9">
        <f>IF(ABS(F41-F42)&lt;1,"OK","CHECK")</f>
        <v/>
      </c>
    </row>
  </sheetData>
  <dataValidations count="1">
    <dataValidation sqref="B6 B7 B8 B9 B10 B11 B12 B13 B14 B15 B16" showDropDown="0" showInputMessage="0" showErrorMessage="0" allowBlank="0" type="list">
      <formula1>"Operating Working Capital Asset,Operating Working Capital Liability,Operating Long-Term Asset,Operating Long-Term Liability,Financial Asset,Financial Liability,Equity,Exclude"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s>
  <sheetData>
    <row r="1">
      <c r="A1" s="11" t="inlineStr">
        <is>
          <t>Demo Holdings Limited — DuPont Decomposition</t>
        </is>
      </c>
    </row>
    <row r="2">
      <c r="A2" s="12" t="inlineStr">
        <is>
          <t>ROE = RNOA + FLEV × Spread</t>
        </is>
      </c>
    </row>
    <row r="4">
      <c r="A4" s="10" t="inlineStr">
        <is>
          <t>Metric</t>
        </is>
      </c>
      <c r="B4" s="13" t="n">
        <v>44561</v>
      </c>
      <c r="C4" s="13" t="n">
        <v>44926</v>
      </c>
      <c r="D4" s="13" t="n">
        <v>45291</v>
      </c>
      <c r="E4" s="13" t="n">
        <v>45657</v>
      </c>
      <c r="F4" s="13" t="n">
        <v>46022</v>
      </c>
    </row>
    <row r="5">
      <c r="A5" s="12" t="inlineStr">
        <is>
          <t>Sales Growth</t>
        </is>
      </c>
      <c r="B5" s="12" t="inlineStr">
        <is>
          <t>N/A</t>
        </is>
      </c>
      <c r="C5" s="18" t="n"/>
      <c r="D5" s="18" t="n"/>
      <c r="E5" s="18" t="n"/>
      <c r="F5" s="18" t="n"/>
    </row>
    <row r="6">
      <c r="A6" s="12" t="inlineStr">
        <is>
          <t>NOPAT Margin</t>
        </is>
      </c>
      <c r="B6" s="18" t="n"/>
      <c r="C6" s="18" t="n"/>
      <c r="D6" s="18" t="n"/>
      <c r="E6" s="18" t="n"/>
      <c r="F6" s="18" t="n"/>
    </row>
    <row r="7">
      <c r="A7" s="9" t="inlineStr">
        <is>
          <t>RNOA</t>
        </is>
      </c>
      <c r="B7" s="9" t="inlineStr">
        <is>
          <t>N/A</t>
        </is>
      </c>
      <c r="C7" s="22" t="n"/>
      <c r="D7" s="22" t="n"/>
      <c r="E7" s="22" t="n"/>
      <c r="F7" s="22" t="n"/>
    </row>
    <row r="8">
      <c r="A8" s="12" t="inlineStr">
        <is>
          <t>After-tax CoD</t>
        </is>
      </c>
      <c r="B8" s="12" t="inlineStr">
        <is>
          <t>N/A</t>
        </is>
      </c>
      <c r="C8" s="18" t="n"/>
      <c r="D8" s="18" t="n"/>
      <c r="E8" s="18" t="n"/>
      <c r="F8" s="18" t="n"/>
    </row>
    <row r="9">
      <c r="A9" s="9" t="inlineStr">
        <is>
          <t>Spread</t>
        </is>
      </c>
      <c r="B9" s="9" t="inlineStr">
        <is>
          <t>N/A</t>
        </is>
      </c>
      <c r="C9" s="22" t="n"/>
      <c r="D9" s="22" t="n"/>
      <c r="E9" s="22" t="n"/>
      <c r="F9" s="22" t="n"/>
    </row>
    <row r="10">
      <c r="A10" s="9" t="inlineStr">
        <is>
          <t>FLEV</t>
        </is>
      </c>
      <c r="B10" s="9" t="inlineStr">
        <is>
          <t>N/A</t>
        </is>
      </c>
      <c r="C10" s="16" t="n"/>
      <c r="D10" s="16" t="n"/>
      <c r="E10" s="16" t="n"/>
      <c r="F10" s="16" t="n"/>
    </row>
    <row r="11">
      <c r="A11" s="12" t="inlineStr">
        <is>
          <t>ROE (decomposed)</t>
        </is>
      </c>
      <c r="B11" s="12" t="inlineStr">
        <is>
          <t>N/A</t>
        </is>
      </c>
      <c r="C11" s="18" t="n"/>
      <c r="D11" s="18" t="n"/>
      <c r="E11" s="18" t="n"/>
      <c r="F11" s="18" t="n"/>
    </row>
    <row r="12">
      <c r="A12" s="12" t="inlineStr">
        <is>
          <t>Actual ROE</t>
        </is>
      </c>
      <c r="B12" s="12" t="inlineStr">
        <is>
          <t>N/A</t>
        </is>
      </c>
      <c r="C12" s="18" t="n"/>
      <c r="D12" s="18" t="n"/>
      <c r="E12" s="18" t="n"/>
      <c r="F12" s="18"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8" customWidth="1" min="1" max="1"/>
    <col width="32" customWidth="1" min="2" max="2"/>
    <col width="36" customWidth="1" min="3" max="3"/>
    <col width="28" customWidth="1" min="4" max="4"/>
    <col width="32" customWidth="1" min="5" max="5"/>
    <col width="28" customWidth="1" min="6" max="6"/>
    <col width="40" customWidth="1" min="7" max="7"/>
    <col width="44" customWidth="1" min="8" max="8"/>
  </cols>
  <sheetData>
    <row r="1">
      <c r="A1" s="11" t="inlineStr">
        <is>
          <t>Accounting Judgment</t>
        </is>
      </c>
    </row>
    <row r="2">
      <c r="A2" s="12" t="inlineStr">
        <is>
          <t>The supplied treatment is the model's reference treatment, not a universal accounting truth. Compare it with the listed alternative(s), choose the treatment you would defend, and explain the economic consequence.</t>
        </is>
      </c>
    </row>
    <row r="4">
      <c r="A4" s="10" t="inlineStr">
        <is>
          <t>Order</t>
        </is>
      </c>
      <c r="B4" s="10" t="inlineStr">
        <is>
          <t>Line item</t>
        </is>
      </c>
      <c r="C4" s="10" t="inlineStr">
        <is>
          <t>Topic</t>
        </is>
      </c>
      <c r="D4" s="10" t="inlineStr">
        <is>
          <t>Supplied model treatment</t>
        </is>
      </c>
      <c r="E4" s="10" t="inlineStr">
        <is>
          <t>Alternative(s) to evaluate</t>
        </is>
      </c>
      <c r="F4" s="10" t="inlineStr">
        <is>
          <t>Your treatment</t>
        </is>
      </c>
      <c r="G4" s="10" t="inlineStr">
        <is>
          <t>Your rationale</t>
        </is>
      </c>
      <c r="H4" s="10" t="inlineStr">
        <is>
          <t>Your consequence explanation</t>
        </is>
      </c>
    </row>
    <row r="5">
      <c r="A5" s="9" t="n">
        <v>1</v>
      </c>
      <c r="B5" s="9" t="inlineStr">
        <is>
          <t>Operating lease liabilities</t>
        </is>
      </c>
      <c r="C5" s="9" t="inlineStr">
        <is>
          <t>Lease liability operating vs financing</t>
        </is>
      </c>
      <c r="D5" s="9" t="inlineStr">
        <is>
          <t>Operating Long-Term Liability</t>
        </is>
      </c>
      <c r="E5" s="9" t="inlineStr">
        <is>
          <t>Financial Liability</t>
        </is>
      </c>
      <c r="F5" s="16" t="n"/>
      <c r="G5" s="16" t="n"/>
      <c r="H5" s="16" t="n"/>
    </row>
  </sheetData>
  <dataValidations count="1">
    <dataValidation sqref="F5" showDropDown="0" showInputMessage="0" showErrorMessage="0" allowBlank="1" type="list">
      <formula1>"Operating Long-Term Liability,Financial Liability"</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row r="1">
      <c r="A1" s="11" t="inlineStr">
        <is>
          <t>Deferred from historical-only v1</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row r="1">
      <c r="A1" s="11" t="inlineStr">
        <is>
          <t>Deferred from historical-only v1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row r="1">
      <c r="A1" s="11" t="inlineStr">
        <is>
          <t>Deferred from historical-only v1</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row r="1">
      <c r="A1" s="11" t="inlineStr">
        <is>
          <t>Deferred from historical-only v1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2026-09-04T16:35:59Z</dcterms:created>
  <dcterms:modified xmlns:dcterms="http://purl.org/dc/terms/" xmlns:xsi="http://www.w3.org/2001/XMLSchema-instance" xsi:type="dcterms:W3CDTF">2026-09-04T16:36:00Z</dcterms:modified>
</cp:coreProperties>
</file>