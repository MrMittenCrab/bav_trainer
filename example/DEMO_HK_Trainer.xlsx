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 Statement" sheetId="4" state="visible" r:id="rId4"/>
    <sheet xmlns:r="http://schemas.openxmlformats.org/officeDocument/2006/relationships" name="Condensed Financials" sheetId="5" state="visible" r:id="rId5"/>
    <sheet xmlns:r="http://schemas.openxmlformats.org/officeDocument/2006/relationships" name="ALT DuPont" sheetId="6" state="visible" r:id="rId6"/>
    <sheet xmlns:r="http://schemas.openxmlformats.org/officeDocument/2006/relationships" name="Accounting Judgment" sheetId="7" state="visible" r:id="rId7"/>
    <sheet xmlns:r="http://schemas.openxmlformats.org/officeDocument/2006/relationships" name="Normalization Judgment" sheetId="8" state="visible" r:id="rId8"/>
    <sheet xmlns:r="http://schemas.openxmlformats.org/officeDocument/2006/relationships" name="Earnings Normalization" sheetId="9" state="visible" r:id="rId9"/>
    <sheet xmlns:r="http://schemas.openxmlformats.org/officeDocument/2006/relationships" name="Earnings Quality" sheetId="10" state="visible" r:id="rId10"/>
    <sheet xmlns:r="http://schemas.openxmlformats.org/officeDocument/2006/relationships" name="Working Capital Analysis" sheetId="11" state="visible" r:id="rId11"/>
    <sheet xmlns:r="http://schemas.openxmlformats.org/officeDocument/2006/relationships" name="Model_Bear" sheetId="12" state="hidden" r:id="rId12"/>
    <sheet xmlns:r="http://schemas.openxmlformats.org/officeDocument/2006/relationships" name="Model_Base" sheetId="13" state="hidden" r:id="rId13"/>
    <sheet xmlns:r="http://schemas.openxmlformats.org/officeDocument/2006/relationships" name="Model_Bull" sheetId="14" state="hidden" r:id="rId14"/>
    <sheet xmlns:r="http://schemas.openxmlformats.org/officeDocument/2006/relationships" name="Scenario_Summary" sheetId="15" state="hidden" r:id="rId1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mm dd, yyyy"/>
    <numFmt numFmtId="165" formatCode="#,##0;(#,##0)"/>
    <numFmt numFmtId="166" formatCode="0.0%"/>
    <numFmt numFmtId="167" formatCode="0.00x"/>
  </numFmts>
  <fonts count="4">
    <font>
      <name val="Calibri"/>
      <family val="2"/>
      <color theme="1"/>
      <sz val="11"/>
      <scheme val="minor"/>
    </font>
    <font>
      <b val="1"/>
    </font>
    <font/>
    <font>
      <name val="Aptos Narrow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F00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6" fontId="0" fillId="0" borderId="0" pivotButton="0" quotePrefix="0" xfId="0"/>
    <xf numFmtId="165" fontId="0" fillId="2" borderId="0" pivotButton="0" quotePrefix="0" xfId="0"/>
    <xf numFmtId="167" fontId="0" fillId="0" borderId="0" pivotButton="0" quotePrefix="0" xfId="0"/>
    <xf numFmtId="0" fontId="0" fillId="3" borderId="0" applyAlignment="1" pivotButton="0" quotePrefix="0" xfId="0">
      <alignment vertical="top" wrapText="1"/>
    </xf>
    <xf numFmtId="0" fontId="3" fillId="4" borderId="1" pivotButton="0" quotePrefix="0" xfId="0"/>
    <xf numFmtId="164" fontId="3" fillId="4" borderId="1" pivotButton="0" quotePrefix="0" xfId="0"/>
    <xf numFmtId="165" fontId="3" fillId="4" borderId="1" pivotButton="0" quotePrefix="0" xfId="0"/>
    <xf numFmtId="0" fontId="3" fillId="3" borderId="1" pivotButton="0" quotePrefix="0" xfId="0"/>
    <xf numFmtId="166" fontId="3" fillId="3" borderId="1" pivotButton="0" quotePrefix="0" xfId="0"/>
    <xf numFmtId="165" fontId="3" fillId="3" borderId="1" pivotButton="0" quotePrefix="0" xfId="0"/>
    <xf numFmtId="167" fontId="3" fillId="3" borderId="1" pivotButton="0" quotePrefix="0" xfId="0"/>
    <xf numFmtId="0" fontId="3" fillId="3" borderId="1" applyAlignment="1" pivotButton="0" quotePrefix="0" xfId="0">
      <alignment vertical="top" wrapText="1"/>
    </xf>
    <xf numFmtId="166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22" customWidth="1" min="3" max="3"/>
    <col width="22" customWidth="1" min="4" max="4"/>
    <col width="28" customWidth="1" min="5" max="5"/>
    <col width="28" customWidth="1" min="6" max="6"/>
  </cols>
  <sheetData>
    <row r="1">
      <c r="A1" s="9" t="inlineStr">
        <is>
          <t>BAV Excel Trainer</t>
        </is>
      </c>
    </row>
    <row r="2">
      <c r="A2" s="9" t="inlineStr">
        <is>
          <t>Complete each historical model-construction and earnings-quality diagnostic formula schedule left-to-right in dependency order. Run Check to validate the yellow formula cells against the treatment currently selected in Accounting Judgment column F (blank F uses the supplied reference treatment). Generated Condensed Financials classification links are system-controlled and validated by Check—do not edit them or columns D:E. When Normalization Judgment is present, choose Recurring vs Non-recurring in column F (blank uses the supplied reference); Earnings Normalization formulas are checked against that choice. Also complete Accounting Judgment and Normalization Judgment rationale/consequence when cases are present; those responses are not graded by Check. Compare them with the matching Answer Key.</t>
        </is>
      </c>
    </row>
    <row r="4">
      <c r="A4" s="9" t="inlineStr">
        <is>
          <t>Order</t>
        </is>
      </c>
      <c r="B4" s="9" t="inlineStr">
        <is>
          <t>Schedule</t>
        </is>
      </c>
      <c r="C4" s="9" t="inlineStr">
        <is>
          <t>Period scope</t>
        </is>
      </c>
      <c r="D4" s="9" t="inlineStr">
        <is>
          <t>Tab</t>
        </is>
      </c>
      <c r="E4" s="9" t="inlineStr">
        <is>
          <t>Practice cells</t>
        </is>
      </c>
      <c r="F4" s="9" t="inlineStr">
        <is>
          <t>Depends on</t>
        </is>
      </c>
    </row>
    <row r="5">
      <c r="A5" s="9" t="n">
        <v>1</v>
      </c>
      <c r="B5" s="9" t="inlineStr">
        <is>
          <t>Revenue historical source link</t>
        </is>
      </c>
      <c r="C5" s="9" t="inlineStr">
        <is>
          <t>2021–2025 (5 cells)</t>
        </is>
      </c>
      <c r="D5" s="9" t="inlineStr">
        <is>
          <t>Condensed Financials</t>
        </is>
      </c>
      <c r="E5" s="9" t="inlineStr">
        <is>
          <t>B19:F19</t>
        </is>
      </c>
      <c r="F5" s="9" t="inlineStr">
        <is>
          <t>—</t>
        </is>
      </c>
    </row>
    <row r="6">
      <c r="A6" s="9" t="n">
        <v>2</v>
      </c>
      <c r="B6" s="9" t="inlineStr">
        <is>
          <t>Net Income historical source link</t>
        </is>
      </c>
      <c r="C6" s="9" t="inlineStr">
        <is>
          <t>2021–2025 (5 cells)</t>
        </is>
      </c>
      <c r="D6" s="9" t="inlineStr">
        <is>
          <t>Condensed Financials</t>
        </is>
      </c>
      <c r="E6" s="9" t="inlineStr">
        <is>
          <t>B20:F20</t>
        </is>
      </c>
      <c r="F6" s="9" t="inlineStr">
        <is>
          <t>—</t>
        </is>
      </c>
    </row>
    <row r="7">
      <c r="A7" s="9" t="n">
        <v>3</v>
      </c>
      <c r="B7" s="9" t="inlineStr">
        <is>
          <t>Effective tax rate</t>
        </is>
      </c>
      <c r="C7" s="9" t="inlineStr">
        <is>
          <t>2021–2025 (5 cells)</t>
        </is>
      </c>
      <c r="D7" s="9" t="inlineStr">
        <is>
          <t>Condensed Financials</t>
        </is>
      </c>
      <c r="E7" s="9" t="inlineStr">
        <is>
          <t>B25:F25</t>
        </is>
      </c>
      <c r="F7" s="9" t="inlineStr">
        <is>
          <t>—</t>
        </is>
      </c>
    </row>
    <row r="8">
      <c r="A8" s="9" t="n">
        <v>4</v>
      </c>
      <c r="B8" s="9" t="inlineStr">
        <is>
          <t>Net interest</t>
        </is>
      </c>
      <c r="C8" s="9" t="inlineStr">
        <is>
          <t>2021–2025 (5 cells)</t>
        </is>
      </c>
      <c r="D8" s="9" t="inlineStr">
        <is>
          <t>Condensed Financials</t>
        </is>
      </c>
      <c r="E8" s="9" t="inlineStr">
        <is>
          <t>B26:F26</t>
        </is>
      </c>
      <c r="F8" s="9" t="inlineStr">
        <is>
          <t>—</t>
        </is>
      </c>
    </row>
    <row r="9">
      <c r="A9" s="9" t="n">
        <v>5</v>
      </c>
      <c r="B9" s="9" t="inlineStr">
        <is>
          <t>Net interest after tax</t>
        </is>
      </c>
      <c r="C9" s="9" t="inlineStr">
        <is>
          <t>2021–2025 (5 cells)</t>
        </is>
      </c>
      <c r="D9" s="9" t="inlineStr">
        <is>
          <t>Condensed Financials</t>
        </is>
      </c>
      <c r="E9" s="9" t="inlineStr">
        <is>
          <t>B27:F27</t>
        </is>
      </c>
      <c r="F9" s="9" t="inlineStr">
        <is>
          <t>effective_tax_rate_fy, net_interest_fy</t>
        </is>
      </c>
    </row>
    <row r="10">
      <c r="A10" s="9" t="n">
        <v>6</v>
      </c>
      <c r="B10" s="9" t="inlineStr">
        <is>
          <t>NOPAT</t>
        </is>
      </c>
      <c r="C10" s="9" t="inlineStr">
        <is>
          <t>2021–2025 (5 cells)</t>
        </is>
      </c>
      <c r="D10" s="9" t="inlineStr">
        <is>
          <t>Condensed Financials</t>
        </is>
      </c>
      <c r="E10" s="9" t="inlineStr">
        <is>
          <t>B28:F28</t>
        </is>
      </c>
      <c r="F10" s="9" t="inlineStr">
        <is>
          <t>net_income_link, net_interest_after_tax_fy</t>
        </is>
      </c>
    </row>
    <row r="11">
      <c r="A11" s="9" t="n">
        <v>7</v>
      </c>
      <c r="B11" s="9" t="inlineStr">
        <is>
          <t>Operating working capital assets</t>
        </is>
      </c>
      <c r="C11" s="9" t="inlineStr">
        <is>
          <t>2021–2025 (5 cells)</t>
        </is>
      </c>
      <c r="D11" s="9" t="inlineStr">
        <is>
          <t>Condensed Financials</t>
        </is>
      </c>
      <c r="E11" s="9" t="inlineStr">
        <is>
          <t>B31:F31</t>
        </is>
      </c>
      <c r="F11" s="9" t="inlineStr">
        <is>
          <t>—</t>
        </is>
      </c>
    </row>
    <row r="12">
      <c r="A12" s="9" t="n">
        <v>8</v>
      </c>
      <c r="B12" s="9" t="inlineStr">
        <is>
          <t>Operating working capital liabilities</t>
        </is>
      </c>
      <c r="C12" s="9" t="inlineStr">
        <is>
          <t>2021–2025 (5 cells)</t>
        </is>
      </c>
      <c r="D12" s="9" t="inlineStr">
        <is>
          <t>Condensed Financials</t>
        </is>
      </c>
      <c r="E12" s="9" t="inlineStr">
        <is>
          <t>B32:F32</t>
        </is>
      </c>
      <c r="F12" s="9" t="inlineStr">
        <is>
          <t>—</t>
        </is>
      </c>
    </row>
    <row r="13">
      <c r="A13" s="9" t="n">
        <v>9</v>
      </c>
      <c r="B13" s="9" t="inlineStr">
        <is>
          <t>Net Operating Working Capital (NOWC)</t>
        </is>
      </c>
      <c r="C13" s="9" t="inlineStr">
        <is>
          <t>2021–2025 (5 cells)</t>
        </is>
      </c>
      <c r="D13" s="9" t="inlineStr">
        <is>
          <t>Condensed Financials</t>
        </is>
      </c>
      <c r="E13" s="9" t="inlineStr">
        <is>
          <t>B33:F33</t>
        </is>
      </c>
      <c r="F13" s="9" t="inlineStr">
        <is>
          <t>owca_agg, owcl_agg</t>
        </is>
      </c>
    </row>
    <row r="14">
      <c r="A14" s="9" t="n">
        <v>10</v>
      </c>
      <c r="B14" s="9" t="inlineStr">
        <is>
          <t>Operating long-term assets</t>
        </is>
      </c>
      <c r="C14" s="9" t="inlineStr">
        <is>
          <t>2021–2025 (5 cells)</t>
        </is>
      </c>
      <c r="D14" s="9" t="inlineStr">
        <is>
          <t>Condensed Financials</t>
        </is>
      </c>
      <c r="E14" s="9" t="inlineStr">
        <is>
          <t>B34:F34</t>
        </is>
      </c>
      <c r="F14" s="9" t="inlineStr">
        <is>
          <t>—</t>
        </is>
      </c>
    </row>
    <row r="15">
      <c r="A15" s="9" t="n">
        <v>11</v>
      </c>
      <c r="B15" s="9" t="inlineStr">
        <is>
          <t>Operating long-term liabilities</t>
        </is>
      </c>
      <c r="C15" s="9" t="inlineStr">
        <is>
          <t>2021–2025 (5 cells)</t>
        </is>
      </c>
      <c r="D15" s="9" t="inlineStr">
        <is>
          <t>Condensed Financials</t>
        </is>
      </c>
      <c r="E15" s="9" t="inlineStr">
        <is>
          <t>B35:F35</t>
        </is>
      </c>
      <c r="F15" s="9" t="inlineStr">
        <is>
          <t>—</t>
        </is>
      </c>
    </row>
    <row r="16">
      <c r="A16" s="9" t="n">
        <v>12</v>
      </c>
      <c r="B16" s="9" t="inlineStr">
        <is>
          <t>Net operating long-term assets (NOLA)</t>
        </is>
      </c>
      <c r="C16" s="9" t="inlineStr">
        <is>
          <t>2021–2025 (5 cells)</t>
        </is>
      </c>
      <c r="D16" s="9" t="inlineStr">
        <is>
          <t>Condensed Financials</t>
        </is>
      </c>
      <c r="E16" s="9" t="inlineStr">
        <is>
          <t>B36:F36</t>
        </is>
      </c>
      <c r="F16" s="9" t="inlineStr">
        <is>
          <t>olta_agg, oltl_agg</t>
        </is>
      </c>
    </row>
    <row r="17">
      <c r="A17" s="9" t="n">
        <v>13</v>
      </c>
      <c r="B17" s="9" t="inlineStr">
        <is>
          <t>Net Operating Assets (NOA)</t>
        </is>
      </c>
      <c r="C17" s="9" t="inlineStr">
        <is>
          <t>2021–2025 (5 cells)</t>
        </is>
      </c>
      <c r="D17" s="9" t="inlineStr">
        <is>
          <t>Condensed Financials</t>
        </is>
      </c>
      <c r="E17" s="9" t="inlineStr">
        <is>
          <t>B37:F37</t>
        </is>
      </c>
      <c r="F17" s="9" t="inlineStr">
        <is>
          <t>nowc_agg, nola_agg</t>
        </is>
      </c>
    </row>
    <row r="18">
      <c r="A18" s="9" t="n">
        <v>14</v>
      </c>
      <c r="B18" s="9" t="inlineStr">
        <is>
          <t>Financial assets</t>
        </is>
      </c>
      <c r="C18" s="9" t="inlineStr">
        <is>
          <t>2021–2025 (5 cells)</t>
        </is>
      </c>
      <c r="D18" s="9" t="inlineStr">
        <is>
          <t>Condensed Financials</t>
        </is>
      </c>
      <c r="E18" s="9" t="inlineStr">
        <is>
          <t>B38:F38</t>
        </is>
      </c>
      <c r="F18" s="9" t="inlineStr">
        <is>
          <t>—</t>
        </is>
      </c>
    </row>
    <row r="19">
      <c r="A19" s="9" t="n">
        <v>15</v>
      </c>
      <c r="B19" s="9" t="inlineStr">
        <is>
          <t>Financial liabilities</t>
        </is>
      </c>
      <c r="C19" s="9" t="inlineStr">
        <is>
          <t>2021–2025 (5 cells)</t>
        </is>
      </c>
      <c r="D19" s="9" t="inlineStr">
        <is>
          <t>Condensed Financials</t>
        </is>
      </c>
      <c r="E19" s="9" t="inlineStr">
        <is>
          <t>B39:F39</t>
        </is>
      </c>
      <c r="F19" s="9" t="inlineStr">
        <is>
          <t>—</t>
        </is>
      </c>
    </row>
    <row r="20">
      <c r="A20" s="9" t="n">
        <v>16</v>
      </c>
      <c r="B20" s="9" t="inlineStr">
        <is>
          <t>Net Debt</t>
        </is>
      </c>
      <c r="C20" s="9" t="inlineStr">
        <is>
          <t>2021–2025 (5 cells)</t>
        </is>
      </c>
      <c r="D20" s="9" t="inlineStr">
        <is>
          <t>Condensed Financials</t>
        </is>
      </c>
      <c r="E20" s="9" t="inlineStr">
        <is>
          <t>B40:F40</t>
        </is>
      </c>
      <c r="F20" s="9" t="inlineStr">
        <is>
          <t>financial_assets_agg, financial_liabilities_agg</t>
        </is>
      </c>
    </row>
    <row r="21">
      <c r="A21" s="9" t="n">
        <v>17</v>
      </c>
      <c r="B21" s="9" t="inlineStr">
        <is>
          <t>Reformulated equity</t>
        </is>
      </c>
      <c r="C21" s="9" t="inlineStr">
        <is>
          <t>2021–2025 (5 cells)</t>
        </is>
      </c>
      <c r="D21" s="9" t="inlineStr">
        <is>
          <t>Condensed Financials</t>
        </is>
      </c>
      <c r="E21" s="9" t="inlineStr">
        <is>
          <t>B41:F41</t>
        </is>
      </c>
      <c r="F21" s="9" t="inlineStr">
        <is>
          <t>noa_agg, net_debt</t>
        </is>
      </c>
    </row>
    <row r="22">
      <c r="A22" s="9" t="n">
        <v>18</v>
      </c>
      <c r="B22" s="9" t="inlineStr">
        <is>
          <t>Sales Growth</t>
        </is>
      </c>
      <c r="C22" s="9" t="inlineStr">
        <is>
          <t>2022–2025 (4 cells)</t>
        </is>
      </c>
      <c r="D22" s="9" t="inlineStr">
        <is>
          <t>ALT DuPont</t>
        </is>
      </c>
      <c r="E22" s="9" t="inlineStr">
        <is>
          <t>C5:F5</t>
        </is>
      </c>
      <c r="F22" s="9" t="inlineStr">
        <is>
          <t>revenue_link</t>
        </is>
      </c>
    </row>
    <row r="23">
      <c r="A23" s="9" t="n">
        <v>19</v>
      </c>
      <c r="B23" s="9" t="inlineStr">
        <is>
          <t>NOPAT Margin</t>
        </is>
      </c>
      <c r="C23" s="9" t="inlineStr">
        <is>
          <t>2021–2025 (5 cells)</t>
        </is>
      </c>
      <c r="D23" s="9" t="inlineStr">
        <is>
          <t>ALT DuPont</t>
        </is>
      </c>
      <c r="E23" s="9" t="inlineStr">
        <is>
          <t>B6:F6</t>
        </is>
      </c>
      <c r="F23" s="9" t="inlineStr">
        <is>
          <t>nopat_fy, revenue_link</t>
        </is>
      </c>
    </row>
    <row r="24">
      <c r="A24" s="9" t="n">
        <v>20</v>
      </c>
      <c r="B24" s="9" t="inlineStr">
        <is>
          <t>Return on Net Operating Assets (RNOA)</t>
        </is>
      </c>
      <c r="C24" s="9" t="inlineStr">
        <is>
          <t>2022–2025 (4 cells)</t>
        </is>
      </c>
      <c r="D24" s="9" t="inlineStr">
        <is>
          <t>ALT DuPont</t>
        </is>
      </c>
      <c r="E24" s="9" t="inlineStr">
        <is>
          <t>C7:F7</t>
        </is>
      </c>
      <c r="F24" s="9" t="inlineStr">
        <is>
          <t>nopat_fy, noa_agg</t>
        </is>
      </c>
    </row>
    <row r="25">
      <c r="A25" s="9" t="n">
        <v>21</v>
      </c>
      <c r="B25" s="9" t="inlineStr">
        <is>
          <t>After-tax cost of debt</t>
        </is>
      </c>
      <c r="C25" s="9" t="inlineStr">
        <is>
          <t>2022–2025 (4 cells)</t>
        </is>
      </c>
      <c r="D25" s="9" t="inlineStr">
        <is>
          <t>ALT DuPont</t>
        </is>
      </c>
      <c r="E25" s="9" t="inlineStr">
        <is>
          <t>C8:F8</t>
        </is>
      </c>
      <c r="F25" s="9" t="inlineStr">
        <is>
          <t>net_interest_after_tax_fy, net_debt</t>
        </is>
      </c>
    </row>
    <row r="26">
      <c r="A26" s="9" t="n">
        <v>22</v>
      </c>
      <c r="B26" s="9" t="inlineStr">
        <is>
          <t>Operating Spread (RNOA − After-tax CoD)</t>
        </is>
      </c>
      <c r="C26" s="9" t="inlineStr">
        <is>
          <t>2022–2025 (4 cells)</t>
        </is>
      </c>
      <c r="D26" s="9" t="inlineStr">
        <is>
          <t>ALT DuPont</t>
        </is>
      </c>
      <c r="E26" s="9" t="inlineStr">
        <is>
          <t>C9:F9</t>
        </is>
      </c>
      <c r="F26" s="9" t="inlineStr">
        <is>
          <t>rnoa, after_tax_cod</t>
        </is>
      </c>
    </row>
    <row r="27">
      <c r="A27" s="9" t="n">
        <v>23</v>
      </c>
      <c r="B27" s="9" t="inlineStr">
        <is>
          <t>Financial leverage (FLEV)</t>
        </is>
      </c>
      <c r="C27" s="9" t="inlineStr">
        <is>
          <t>2022–2025 (4 cells)</t>
        </is>
      </c>
      <c r="D27" s="9" t="inlineStr">
        <is>
          <t>ALT DuPont</t>
        </is>
      </c>
      <c r="E27" s="9" t="inlineStr">
        <is>
          <t>C10:F10</t>
        </is>
      </c>
      <c r="F27" s="9" t="inlineStr">
        <is>
          <t>net_debt, equity_reformulated_fy</t>
        </is>
      </c>
    </row>
    <row r="28">
      <c r="A28" s="9" t="n">
        <v>24</v>
      </c>
      <c r="B28" s="9" t="inlineStr">
        <is>
          <t>ROE decomposition</t>
        </is>
      </c>
      <c r="C28" s="9" t="inlineStr">
        <is>
          <t>2022–2025 (4 cells)</t>
        </is>
      </c>
      <c r="D28" s="9" t="inlineStr">
        <is>
          <t>ALT DuPont</t>
        </is>
      </c>
      <c r="E28" s="9" t="inlineStr">
        <is>
          <t>C11:F11</t>
        </is>
      </c>
      <c r="F28" s="9" t="inlineStr">
        <is>
          <t>rnoa, spread, flev</t>
        </is>
      </c>
    </row>
    <row r="29">
      <c r="A29" s="9" t="n">
        <v>25</v>
      </c>
      <c r="B29" s="9" t="inlineStr">
        <is>
          <t>Actual ROE</t>
        </is>
      </c>
      <c r="C29" s="9" t="inlineStr">
        <is>
          <t>2022–2025 (4 cells)</t>
        </is>
      </c>
      <c r="D29" s="9" t="inlineStr">
        <is>
          <t>ALT DuPont</t>
        </is>
      </c>
      <c r="E29" s="9" t="inlineStr">
        <is>
          <t>C12:F12</t>
        </is>
      </c>
      <c r="F29" s="9" t="inlineStr">
        <is>
          <t>net_income_link, equity_reformulated_fy</t>
        </is>
      </c>
    </row>
    <row r="30">
      <c r="A30" s="9" t="n">
        <v>26</v>
      </c>
      <c r="B30" s="9" t="inlineStr">
        <is>
          <t>Pretax normalization adjustment</t>
        </is>
      </c>
      <c r="C30" s="9" t="inlineStr">
        <is>
          <t>2021–2025 (5 cells)</t>
        </is>
      </c>
      <c r="D30" s="9" t="inlineStr">
        <is>
          <t>Earnings Normalization</t>
        </is>
      </c>
      <c r="E30" s="9" t="inlineStr">
        <is>
          <t>C9:G9</t>
        </is>
      </c>
      <c r="F30" s="9" t="inlineStr">
        <is>
          <t>—</t>
        </is>
      </c>
    </row>
    <row r="31">
      <c r="A31" s="9" t="n">
        <v>27</v>
      </c>
      <c r="B31" s="9" t="inlineStr">
        <is>
          <t>After-tax normalization adjustment</t>
        </is>
      </c>
      <c r="C31" s="9" t="inlineStr">
        <is>
          <t>2021–2025 (5 cells)</t>
        </is>
      </c>
      <c r="D31" s="9" t="inlineStr">
        <is>
          <t>Earnings Normalization</t>
        </is>
      </c>
      <c r="E31" s="9" t="inlineStr">
        <is>
          <t>C11:G11</t>
        </is>
      </c>
      <c r="F31" s="9" t="inlineStr">
        <is>
          <t>pretax_normalization_adjustment</t>
        </is>
      </c>
    </row>
    <row r="32">
      <c r="A32" s="9" t="n">
        <v>28</v>
      </c>
      <c r="B32" s="9" t="inlineStr">
        <is>
          <t>Normalized NOPAT</t>
        </is>
      </c>
      <c r="C32" s="9" t="inlineStr">
        <is>
          <t>2021–2025 (5 cells)</t>
        </is>
      </c>
      <c r="D32" s="9" t="inlineStr">
        <is>
          <t>Earnings Normalization</t>
        </is>
      </c>
      <c r="E32" s="9" t="inlineStr">
        <is>
          <t>C12:G12</t>
        </is>
      </c>
      <c r="F32" s="9" t="inlineStr">
        <is>
          <t>after_tax_normalization_adjustment</t>
        </is>
      </c>
    </row>
    <row r="33">
      <c r="A33" s="9" t="n">
        <v>29</v>
      </c>
      <c r="B33" s="9" t="inlineStr">
        <is>
          <t>Normalized Net Income</t>
        </is>
      </c>
      <c r="C33" s="9" t="inlineStr">
        <is>
          <t>2021–2025 (5 cells)</t>
        </is>
      </c>
      <c r="D33" s="9" t="inlineStr">
        <is>
          <t>Earnings Normalization</t>
        </is>
      </c>
      <c r="E33" s="9" t="inlineStr">
        <is>
          <t>C13:G13</t>
        </is>
      </c>
      <c r="F33" s="9" t="inlineStr">
        <is>
          <t>after_tax_normalization_adjustment</t>
        </is>
      </c>
    </row>
    <row r="34">
      <c r="A34" s="9" t="n">
        <v>30</v>
      </c>
      <c r="B34" s="9" t="inlineStr">
        <is>
          <t>Operating cash flow historical source link</t>
        </is>
      </c>
      <c r="C34" s="9" t="inlineStr">
        <is>
          <t>2021–2025 (5 cells)</t>
        </is>
      </c>
      <c r="D34" s="9" t="inlineStr">
        <is>
          <t>Earnings Quality</t>
        </is>
      </c>
      <c r="E34" s="9" t="inlineStr">
        <is>
          <t>B5:F5</t>
        </is>
      </c>
      <c r="F34" s="9" t="inlineStr">
        <is>
          <t>—</t>
        </is>
      </c>
    </row>
    <row r="35">
      <c r="A35" s="9" t="n">
        <v>31</v>
      </c>
      <c r="B35" s="9" t="inlineStr">
        <is>
          <t>Cash conversion ratio</t>
        </is>
      </c>
      <c r="C35" s="9" t="inlineStr">
        <is>
          <t>2021–2025 (5 cells)</t>
        </is>
      </c>
      <c r="D35" s="9" t="inlineStr">
        <is>
          <t>Earnings Quality</t>
        </is>
      </c>
      <c r="E35" s="9" t="inlineStr">
        <is>
          <t>B7:F7</t>
        </is>
      </c>
      <c r="F35" s="9" t="inlineStr">
        <is>
          <t>operating_cash_flow_link, net_income_link</t>
        </is>
      </c>
    </row>
    <row r="36">
      <c r="A36" s="9" t="n">
        <v>32</v>
      </c>
      <c r="B36" s="9" t="inlineStr">
        <is>
          <t>Total accruals</t>
        </is>
      </c>
      <c r="C36" s="9" t="inlineStr">
        <is>
          <t>2021–2025 (5 cells)</t>
        </is>
      </c>
      <c r="D36" s="9" t="inlineStr">
        <is>
          <t>Earnings Quality</t>
        </is>
      </c>
      <c r="E36" s="9" t="inlineStr">
        <is>
          <t>B8:F8</t>
        </is>
      </c>
      <c r="F36" s="9" t="inlineStr">
        <is>
          <t>operating_cash_flow_link, net_income_link</t>
        </is>
      </c>
    </row>
    <row r="37">
      <c r="A37" s="9" t="n">
        <v>33</v>
      </c>
      <c r="B37" s="9" t="inlineStr">
        <is>
          <t>Average total assets</t>
        </is>
      </c>
      <c r="C37" s="9" t="inlineStr">
        <is>
          <t>2022–2025 (4 cells)</t>
        </is>
      </c>
      <c r="D37" s="9" t="inlineStr">
        <is>
          <t>Earnings Quality</t>
        </is>
      </c>
      <c r="E37" s="9" t="inlineStr">
        <is>
          <t>C11:F11</t>
        </is>
      </c>
      <c r="F37" s="9" t="inlineStr">
        <is>
          <t>—</t>
        </is>
      </c>
    </row>
    <row r="38">
      <c r="A38" s="9" t="n">
        <v>34</v>
      </c>
      <c r="B38" s="9" t="inlineStr">
        <is>
          <t>Accrual ratio</t>
        </is>
      </c>
      <c r="C38" s="9" t="inlineStr">
        <is>
          <t>2022–2025 (4 cells)</t>
        </is>
      </c>
      <c r="D38" s="9" t="inlineStr">
        <is>
          <t>Earnings Quality</t>
        </is>
      </c>
      <c r="E38" s="9" t="inlineStr">
        <is>
          <t>C12:F12</t>
        </is>
      </c>
      <c r="F38" s="9" t="inlineStr">
        <is>
          <t>total_accruals, average_total_assets</t>
        </is>
      </c>
    </row>
    <row r="39">
      <c r="A39" s="9" t="n">
        <v>35</v>
      </c>
      <c r="B39" s="9" t="inlineStr">
        <is>
          <t>Operating working capital assets / Revenue</t>
        </is>
      </c>
      <c r="C39" s="9" t="inlineStr">
        <is>
          <t>2021–2025 (5 cells)</t>
        </is>
      </c>
      <c r="D39" s="9" t="inlineStr">
        <is>
          <t>Working Capital Analysis</t>
        </is>
      </c>
      <c r="E39" s="9" t="inlineStr">
        <is>
          <t>B11:F11</t>
        </is>
      </c>
      <c r="F39" s="9" t="inlineStr">
        <is>
          <t>—</t>
        </is>
      </c>
    </row>
    <row r="40">
      <c r="A40" s="9" t="n">
        <v>36</v>
      </c>
      <c r="B40" s="9" t="inlineStr">
        <is>
          <t>Operating working capital liabilities / Revenue</t>
        </is>
      </c>
      <c r="C40" s="9" t="inlineStr">
        <is>
          <t>2021–2025 (5 cells)</t>
        </is>
      </c>
      <c r="D40" s="9" t="inlineStr">
        <is>
          <t>Working Capital Analysis</t>
        </is>
      </c>
      <c r="E40" s="9" t="inlineStr">
        <is>
          <t>B12:F12</t>
        </is>
      </c>
      <c r="F40" s="9" t="inlineStr">
        <is>
          <t>—</t>
        </is>
      </c>
    </row>
    <row r="41">
      <c r="A41" s="9" t="n">
        <v>37</v>
      </c>
      <c r="B41" s="9" t="inlineStr">
        <is>
          <t>NOWC / Revenue</t>
        </is>
      </c>
      <c r="C41" s="9" t="inlineStr">
        <is>
          <t>2021–2025 (5 cells)</t>
        </is>
      </c>
      <c r="D41" s="9" t="inlineStr">
        <is>
          <t>Working Capital Analysis</t>
        </is>
      </c>
      <c r="E41" s="9" t="inlineStr">
        <is>
          <t>B13:F13</t>
        </is>
      </c>
      <c r="F41" s="9" t="inlineStr">
        <is>
          <t>—</t>
        </is>
      </c>
    </row>
    <row r="42">
      <c r="A42" s="9" t="n">
        <v>38</v>
      </c>
      <c r="B42" s="9" t="inlineStr">
        <is>
          <t>Change in Revenue</t>
        </is>
      </c>
      <c r="C42" s="9" t="inlineStr">
        <is>
          <t>2022–2025 (4 cells)</t>
        </is>
      </c>
      <c r="D42" s="9" t="inlineStr">
        <is>
          <t>Working Capital Analysis</t>
        </is>
      </c>
      <c r="E42" s="9" t="inlineStr">
        <is>
          <t>C14:F14</t>
        </is>
      </c>
      <c r="F42" s="9" t="inlineStr">
        <is>
          <t>—</t>
        </is>
      </c>
    </row>
    <row r="43">
      <c r="A43" s="9" t="n">
        <v>39</v>
      </c>
      <c r="B43" s="9" t="inlineStr">
        <is>
          <t>Change in NOWC</t>
        </is>
      </c>
      <c r="C43" s="9" t="inlineStr">
        <is>
          <t>2022–2025 (4 cells)</t>
        </is>
      </c>
      <c r="D43" s="9" t="inlineStr">
        <is>
          <t>Working Capital Analysis</t>
        </is>
      </c>
      <c r="E43" s="9" t="inlineStr">
        <is>
          <t>C15:F15</t>
        </is>
      </c>
      <c r="F43" s="9" t="inlineStr">
        <is>
          <t>—</t>
        </is>
      </c>
    </row>
    <row r="44">
      <c r="A44" s="9" t="n">
        <v>40</v>
      </c>
      <c r="B44" s="9" t="inlineStr">
        <is>
          <t>Incremental NOWC / Change in Revenue</t>
        </is>
      </c>
      <c r="C44" s="9" t="inlineStr">
        <is>
          <t>2022–2025 (4 cells)</t>
        </is>
      </c>
      <c r="D44" s="9" t="inlineStr">
        <is>
          <t>Working Capital Analysis</t>
        </is>
      </c>
      <c r="E44" s="9" t="inlineStr">
        <is>
          <t>C16:F16</t>
        </is>
      </c>
      <c r="F44" s="9" t="inlineStr">
        <is>
          <t>nowc_change, revenue_change</t>
        </is>
      </c>
    </row>
    <row r="45">
      <c r="A45" s="9" t="n">
        <v>41</v>
      </c>
      <c r="B45" s="9" t="inlineStr">
        <is>
          <t>Change in Operating Working Capital Assets</t>
        </is>
      </c>
      <c r="C45" s="9" t="inlineStr">
        <is>
          <t>2022–2025 (4 cells)</t>
        </is>
      </c>
      <c r="D45" s="9" t="inlineStr">
        <is>
          <t>Working Capital Analysis</t>
        </is>
      </c>
      <c r="E45" s="9" t="inlineStr">
        <is>
          <t>C19:F19</t>
        </is>
      </c>
      <c r="F45" s="9" t="inlineStr">
        <is>
          <t>owca_agg</t>
        </is>
      </c>
    </row>
    <row r="46">
      <c r="A46" s="9" t="n">
        <v>42</v>
      </c>
      <c r="B46" s="9" t="inlineStr">
        <is>
          <t>Change in Operating Working Capital Liabilities</t>
        </is>
      </c>
      <c r="C46" s="9" t="inlineStr">
        <is>
          <t>2022–2025 (4 cells)</t>
        </is>
      </c>
      <c r="D46" s="9" t="inlineStr">
        <is>
          <t>Working Capital Analysis</t>
        </is>
      </c>
      <c r="E46" s="9" t="inlineStr">
        <is>
          <t>C20:F20</t>
        </is>
      </c>
      <c r="F46" s="9" t="inlineStr">
        <is>
          <t>owcl_agg</t>
        </is>
      </c>
    </row>
    <row r="47">
      <c r="A47" s="9" t="n">
        <v>43</v>
      </c>
      <c r="B47" s="9" t="inlineStr">
        <is>
          <t>Change in NOWC from OWCA / OWCL bridge</t>
        </is>
      </c>
      <c r="C47" s="9" t="inlineStr">
        <is>
          <t>2022–2025 (4 cells)</t>
        </is>
      </c>
      <c r="D47" s="9" t="inlineStr">
        <is>
          <t>Working Capital Analysis</t>
        </is>
      </c>
      <c r="E47" s="9" t="inlineStr">
        <is>
          <t>C21:F21</t>
        </is>
      </c>
      <c r="F47" s="9" t="inlineStr">
        <is>
          <t>owca_change, owcl_change</t>
        </is>
      </c>
    </row>
    <row r="48">
      <c r="A48" s="9" t="n">
        <v>44</v>
      </c>
      <c r="B48" s="9" t="inlineStr">
        <is>
          <t>Incremental OWCA / Change in Revenue</t>
        </is>
      </c>
      <c r="C48" s="9" t="inlineStr">
        <is>
          <t>2022–2025 (4 cells)</t>
        </is>
      </c>
      <c r="D48" s="9" t="inlineStr">
        <is>
          <t>Working Capital Analysis</t>
        </is>
      </c>
      <c r="E48" s="9" t="inlineStr">
        <is>
          <t>C22:F22</t>
        </is>
      </c>
      <c r="F48" s="9" t="inlineStr">
        <is>
          <t>owca_change, revenue_change</t>
        </is>
      </c>
    </row>
    <row r="49">
      <c r="A49" s="9" t="n">
        <v>45</v>
      </c>
      <c r="B49" s="9" t="inlineStr">
        <is>
          <t>Incremental OWCL / Change in Revenue</t>
        </is>
      </c>
      <c r="C49" s="9" t="inlineStr">
        <is>
          <t>2022–2025 (4 cells)</t>
        </is>
      </c>
      <c r="D49" s="9" t="inlineStr">
        <is>
          <t>Working Capital Analysis</t>
        </is>
      </c>
      <c r="E49" s="9" t="inlineStr">
        <is>
          <t>C23:F23</t>
        </is>
      </c>
      <c r="F49" s="9" t="inlineStr">
        <is>
          <t>owcl_change, revenue_change</t>
        </is>
      </c>
    </row>
    <row r="50">
      <c r="A50" s="9" t="n">
        <v>46</v>
      </c>
      <c r="B50" s="9" t="inlineStr">
        <is>
          <t>Average Net Operating Assets</t>
        </is>
      </c>
      <c r="C50" s="9" t="inlineStr">
        <is>
          <t>2022–2025 (4 cells)</t>
        </is>
      </c>
      <c r="D50" s="9" t="inlineStr">
        <is>
          <t>ALT DuPont</t>
        </is>
      </c>
      <c r="E50" s="9" t="inlineStr">
        <is>
          <t>C15:F15</t>
        </is>
      </c>
      <c r="F50" s="9" t="inlineStr">
        <is>
          <t>noa_agg</t>
        </is>
      </c>
    </row>
    <row r="51">
      <c r="A51" s="9" t="n">
        <v>47</v>
      </c>
      <c r="B51" s="9" t="inlineStr">
        <is>
          <t>Net Operating Asset Turnover</t>
        </is>
      </c>
      <c r="C51" s="9" t="inlineStr">
        <is>
          <t>2022–2025 (4 cells)</t>
        </is>
      </c>
      <c r="D51" s="9" t="inlineStr">
        <is>
          <t>ALT DuPont</t>
        </is>
      </c>
      <c r="E51" s="9" t="inlineStr">
        <is>
          <t>C16:F16</t>
        </is>
      </c>
      <c r="F51" s="9" t="inlineStr">
        <is>
          <t>revenue_link, average_noa</t>
        </is>
      </c>
    </row>
    <row r="52">
      <c r="A52" s="9" t="n">
        <v>48</v>
      </c>
      <c r="B52" s="9" t="inlineStr">
        <is>
          <t>Net Operating Asset Intensity</t>
        </is>
      </c>
      <c r="C52" s="9" t="inlineStr">
        <is>
          <t>2022–2025 (4 cells)</t>
        </is>
      </c>
      <c r="D52" s="9" t="inlineStr">
        <is>
          <t>ALT DuPont</t>
        </is>
      </c>
      <c r="E52" s="9" t="inlineStr">
        <is>
          <t>C17:F17</t>
        </is>
      </c>
      <c r="F52" s="9" t="inlineStr">
        <is>
          <t>average_noa, revenue_link</t>
        </is>
      </c>
    </row>
    <row r="53">
      <c r="A53" s="9" t="n">
        <v>49</v>
      </c>
      <c r="B53" s="9" t="inlineStr">
        <is>
          <t>RNOA from Margin × Turnover</t>
        </is>
      </c>
      <c r="C53" s="9" t="inlineStr">
        <is>
          <t>2022–2025 (4 cells)</t>
        </is>
      </c>
      <c r="D53" s="9" t="inlineStr">
        <is>
          <t>ALT DuPont</t>
        </is>
      </c>
      <c r="E53" s="9" t="inlineStr">
        <is>
          <t>C18:F18</t>
        </is>
      </c>
      <c r="F53" s="9" t="inlineStr">
        <is>
          <t>nopat_margin, noa_turnover</t>
        </is>
      </c>
    </row>
    <row r="54">
      <c r="A54" s="9" t="n">
        <v>50</v>
      </c>
      <c r="B54" s="9" t="inlineStr">
        <is>
          <t>Change in NOPAT Margin</t>
        </is>
      </c>
      <c r="C54" s="9" t="inlineStr">
        <is>
          <t>2023–2025 (3 cells)</t>
        </is>
      </c>
      <c r="D54" s="9" t="inlineStr">
        <is>
          <t>ALT DuPont</t>
        </is>
      </c>
      <c r="E54" s="9" t="inlineStr">
        <is>
          <t>D22:F22</t>
        </is>
      </c>
      <c r="F54" s="9" t="inlineStr">
        <is>
          <t>nopat_margin</t>
        </is>
      </c>
    </row>
    <row r="55">
      <c r="A55" s="9" t="n">
        <v>51</v>
      </c>
      <c r="B55" s="9" t="inlineStr">
        <is>
          <t>Change in NOA Turnover</t>
        </is>
      </c>
      <c r="C55" s="9" t="inlineStr">
        <is>
          <t>2023–2025 (3 cells)</t>
        </is>
      </c>
      <c r="D55" s="9" t="inlineStr">
        <is>
          <t>ALT DuPont</t>
        </is>
      </c>
      <c r="E55" s="9" t="inlineStr">
        <is>
          <t>D23:F23</t>
        </is>
      </c>
      <c r="F55" s="9" t="inlineStr">
        <is>
          <t>noa_turnover</t>
        </is>
      </c>
    </row>
    <row r="56">
      <c r="A56" s="9" t="n">
        <v>52</v>
      </c>
      <c r="B56" s="9" t="inlineStr">
        <is>
          <t>Direct Change in RNOA</t>
        </is>
      </c>
      <c r="C56" s="9" t="inlineStr">
        <is>
          <t>2023–2025 (3 cells)</t>
        </is>
      </c>
      <c r="D56" s="9" t="inlineStr">
        <is>
          <t>ALT DuPont</t>
        </is>
      </c>
      <c r="E56" s="9" t="inlineStr">
        <is>
          <t>D24:F24</t>
        </is>
      </c>
      <c r="F56" s="9" t="inlineStr">
        <is>
          <t>rnoa</t>
        </is>
      </c>
    </row>
    <row r="57">
      <c r="A57" s="9" t="n">
        <v>53</v>
      </c>
      <c r="B57" s="9" t="inlineStr">
        <is>
          <t>Margin Effect on Change in RNOA</t>
        </is>
      </c>
      <c r="C57" s="9" t="inlineStr">
        <is>
          <t>2023–2025 (3 cells)</t>
        </is>
      </c>
      <c r="D57" s="9" t="inlineStr">
        <is>
          <t>ALT DuPont</t>
        </is>
      </c>
      <c r="E57" s="9" t="inlineStr">
        <is>
          <t>D25:F25</t>
        </is>
      </c>
      <c r="F57" s="9" t="inlineStr">
        <is>
          <t>nopat_margin_change, noa_turnover</t>
        </is>
      </c>
    </row>
    <row r="58">
      <c r="A58" s="9" t="n">
        <v>54</v>
      </c>
      <c r="B58" s="9" t="inlineStr">
        <is>
          <t>Turnover Effect on Change in RNOA</t>
        </is>
      </c>
      <c r="C58" s="9" t="inlineStr">
        <is>
          <t>2023–2025 (3 cells)</t>
        </is>
      </c>
      <c r="D58" s="9" t="inlineStr">
        <is>
          <t>ALT DuPont</t>
        </is>
      </c>
      <c r="E58" s="9" t="inlineStr">
        <is>
          <t>D26:F26</t>
        </is>
      </c>
      <c r="F58" s="9" t="inlineStr">
        <is>
          <t>noa_turnover_change, nopat_margin</t>
        </is>
      </c>
    </row>
    <row r="59">
      <c r="A59" s="9" t="n">
        <v>55</v>
      </c>
      <c r="B59" s="9" t="inlineStr">
        <is>
          <t>Change in RNOA from Margin + Turnover Effects</t>
        </is>
      </c>
      <c r="C59" s="9" t="inlineStr">
        <is>
          <t>2023–2025 (3 cells)</t>
        </is>
      </c>
      <c r="D59" s="9" t="inlineStr">
        <is>
          <t>ALT DuPont</t>
        </is>
      </c>
      <c r="E59" s="9" t="inlineStr">
        <is>
          <t>D27:F27</t>
        </is>
      </c>
      <c r="F59" s="9" t="inlineStr">
        <is>
          <t>rnoa_margin_effect, rnoa_turnover_effect</t>
        </is>
      </c>
    </row>
    <row r="60">
      <c r="A60" s="9" t="n">
        <v>56</v>
      </c>
      <c r="B60" s="9" t="inlineStr">
        <is>
          <t>Financing Contribution to ROE</t>
        </is>
      </c>
      <c r="C60" s="9" t="inlineStr">
        <is>
          <t>2022–2025 (4 cells)</t>
        </is>
      </c>
      <c r="D60" s="9" t="inlineStr">
        <is>
          <t>ALT DuPont</t>
        </is>
      </c>
      <c r="E60" s="9" t="inlineStr">
        <is>
          <t>C31:F31</t>
        </is>
      </c>
      <c r="F60" s="9" t="inlineStr">
        <is>
          <t>flev, spread</t>
        </is>
      </c>
    </row>
    <row r="61">
      <c r="A61" s="9" t="n">
        <v>57</v>
      </c>
      <c r="B61" s="9" t="inlineStr">
        <is>
          <t>Direct Change in Decomposed ROE</t>
        </is>
      </c>
      <c r="C61" s="9" t="inlineStr">
        <is>
          <t>2023–2025 (3 cells)</t>
        </is>
      </c>
      <c r="D61" s="9" t="inlineStr">
        <is>
          <t>ALT DuPont</t>
        </is>
      </c>
      <c r="E61" s="9" t="inlineStr">
        <is>
          <t>D35:F35</t>
        </is>
      </c>
      <c r="F61" s="9" t="inlineStr">
        <is>
          <t>roe_decomp</t>
        </is>
      </c>
    </row>
    <row r="62">
      <c r="A62" s="9" t="n">
        <v>58</v>
      </c>
      <c r="B62" s="9" t="inlineStr">
        <is>
          <t>Operating Effect on Change in ROE</t>
        </is>
      </c>
      <c r="C62" s="9" t="inlineStr">
        <is>
          <t>2023–2025 (3 cells)</t>
        </is>
      </c>
      <c r="D62" s="9" t="inlineStr">
        <is>
          <t>ALT DuPont</t>
        </is>
      </c>
      <c r="E62" s="9" t="inlineStr">
        <is>
          <t>D36:F36</t>
        </is>
      </c>
      <c r="F62" s="9" t="inlineStr">
        <is>
          <t>rnoa_change</t>
        </is>
      </c>
    </row>
    <row r="63">
      <c r="A63" s="9" t="n">
        <v>59</v>
      </c>
      <c r="B63" s="9" t="inlineStr">
        <is>
          <t>Leverage Effect on Change in ROE</t>
        </is>
      </c>
      <c r="C63" s="9" t="inlineStr">
        <is>
          <t>2023–2025 (3 cells)</t>
        </is>
      </c>
      <c r="D63" s="9" t="inlineStr">
        <is>
          <t>ALT DuPont</t>
        </is>
      </c>
      <c r="E63" s="9" t="inlineStr">
        <is>
          <t>D37:F37</t>
        </is>
      </c>
      <c r="F63" s="9" t="inlineStr">
        <is>
          <t>flev, spread</t>
        </is>
      </c>
    </row>
    <row r="64">
      <c r="A64" s="9" t="n">
        <v>60</v>
      </c>
      <c r="B64" s="9" t="inlineStr">
        <is>
          <t>Spread Effect on Change in ROE</t>
        </is>
      </c>
      <c r="C64" s="9" t="inlineStr">
        <is>
          <t>2023–2025 (3 cells)</t>
        </is>
      </c>
      <c r="D64" s="9" t="inlineStr">
        <is>
          <t>ALT DuPont</t>
        </is>
      </c>
      <c r="E64" s="9" t="inlineStr">
        <is>
          <t>D38:F38</t>
        </is>
      </c>
      <c r="F64" s="9" t="inlineStr">
        <is>
          <t>spread, flev</t>
        </is>
      </c>
    </row>
    <row r="65">
      <c r="A65" s="9" t="n">
        <v>61</v>
      </c>
      <c r="B65" s="9" t="inlineStr">
        <is>
          <t>Financing Effect on Change in ROE</t>
        </is>
      </c>
      <c r="C65" s="9" t="inlineStr">
        <is>
          <t>2023–2025 (3 cells)</t>
        </is>
      </c>
      <c r="D65" s="9" t="inlineStr">
        <is>
          <t>ALT DuPont</t>
        </is>
      </c>
      <c r="E65" s="9" t="inlineStr">
        <is>
          <t>D39:F39</t>
        </is>
      </c>
      <c r="F65" s="9" t="inlineStr">
        <is>
          <t>leverage_effect_on_roe_change, spread_effect_on_roe_change</t>
        </is>
      </c>
    </row>
    <row r="66">
      <c r="A66" s="9" t="n">
        <v>62</v>
      </c>
      <c r="B66" s="9" t="inlineStr">
        <is>
          <t>Change in ROE from Operating + Financing Drivers</t>
        </is>
      </c>
      <c r="C66" s="9" t="inlineStr">
        <is>
          <t>2023–2025 (3 cells)</t>
        </is>
      </c>
      <c r="D66" s="9" t="inlineStr">
        <is>
          <t>ALT DuPont</t>
        </is>
      </c>
      <c r="E66" s="9" t="inlineStr">
        <is>
          <t>D40:F40</t>
        </is>
      </c>
      <c r="F66" s="9" t="inlineStr">
        <is>
          <t>operating_effect_on_roe_change, financing_effect_on_roe_change</t>
        </is>
      </c>
    </row>
    <row r="67">
      <c r="A67" s="9" t="n">
        <v>63</v>
      </c>
      <c r="B67" s="9" t="inlineStr">
        <is>
          <t>Change in Operating Cash Flow</t>
        </is>
      </c>
      <c r="C67" s="9" t="inlineStr">
        <is>
          <t>2022–2025 (4 cells)</t>
        </is>
      </c>
      <c r="D67" s="9" t="inlineStr">
        <is>
          <t>Earnings Quality</t>
        </is>
      </c>
      <c r="E67" s="9" t="inlineStr">
        <is>
          <t>C15:F15</t>
        </is>
      </c>
      <c r="F67" s="9" t="inlineStr">
        <is>
          <t>operating_cash_flow_link</t>
        </is>
      </c>
    </row>
    <row r="68">
      <c r="A68" s="9" t="n">
        <v>64</v>
      </c>
      <c r="B68" s="9" t="inlineStr">
        <is>
          <t>Change in Cash Conversion Ratio</t>
        </is>
      </c>
      <c r="C68" s="9" t="inlineStr">
        <is>
          <t>2022–2025 (4 cells)</t>
        </is>
      </c>
      <c r="D68" s="9" t="inlineStr">
        <is>
          <t>Earnings Quality</t>
        </is>
      </c>
      <c r="E68" s="9" t="inlineStr">
        <is>
          <t>C16:F16</t>
        </is>
      </c>
      <c r="F68" s="9" t="inlineStr">
        <is>
          <t>cash_conversion_ratio</t>
        </is>
      </c>
    </row>
    <row r="69">
      <c r="A69" s="9" t="n">
        <v>65</v>
      </c>
      <c r="B69" s="9" t="inlineStr">
        <is>
          <t>Change in Total Accruals</t>
        </is>
      </c>
      <c r="C69" s="9" t="inlineStr">
        <is>
          <t>2022–2025 (4 cells)</t>
        </is>
      </c>
      <c r="D69" s="9" t="inlineStr">
        <is>
          <t>Earnings Quality</t>
        </is>
      </c>
      <c r="E69" s="9" t="inlineStr">
        <is>
          <t>C17:F17</t>
        </is>
      </c>
      <c r="F69" s="9" t="inlineStr">
        <is>
          <t>total_accruals</t>
        </is>
      </c>
    </row>
    <row r="70">
      <c r="A70" s="9" t="n">
        <v>66</v>
      </c>
      <c r="B70" s="9" t="inlineStr">
        <is>
          <t>Change in Accrual Ratio</t>
        </is>
      </c>
      <c r="C70" s="9" t="inlineStr">
        <is>
          <t>2023–2025 (3 cells)</t>
        </is>
      </c>
      <c r="D70" s="9" t="inlineStr">
        <is>
          <t>Earnings Quality</t>
        </is>
      </c>
      <c r="E70" s="9" t="inlineStr">
        <is>
          <t>D18:F18</t>
        </is>
      </c>
      <c r="F70" s="9" t="inlineStr">
        <is>
          <t>accrual_ratio</t>
        </is>
      </c>
    </row>
    <row r="71">
      <c r="A71" s="9" t="n">
        <v>79</v>
      </c>
      <c r="B71" s="9" t="inlineStr">
        <is>
          <t>Property, Plant &amp; Equipment</t>
        </is>
      </c>
      <c r="C71" s="9" t="inlineStr">
        <is>
          <t>2021–2025 (5 cells)</t>
        </is>
      </c>
      <c r="D71" s="9" t="inlineStr">
        <is>
          <t>ALT DuPont</t>
        </is>
      </c>
      <c r="E71" s="9" t="inlineStr">
        <is>
          <t>B44:F44</t>
        </is>
      </c>
      <c r="F71" s="9" t="inlineStr">
        <is>
          <t>—</t>
        </is>
      </c>
    </row>
    <row r="72">
      <c r="A72" s="9" t="n">
        <v>80</v>
      </c>
      <c r="B72" s="9" t="inlineStr">
        <is>
          <t>Depreciation &amp; Amortisation</t>
        </is>
      </c>
      <c r="C72" s="9" t="inlineStr">
        <is>
          <t>2021–2025 (5 cells)</t>
        </is>
      </c>
      <c r="D72" s="9" t="inlineStr">
        <is>
          <t>ALT DuPont</t>
        </is>
      </c>
      <c r="E72" s="9" t="inlineStr">
        <is>
          <t>B45:F45</t>
        </is>
      </c>
      <c r="F72" s="9" t="inlineStr">
        <is>
          <t>—</t>
        </is>
      </c>
    </row>
    <row r="73">
      <c r="A73" s="9" t="n">
        <v>81</v>
      </c>
      <c r="B73" s="9" t="inlineStr">
        <is>
          <t>Average PP&amp;E</t>
        </is>
      </c>
      <c r="C73" s="9" t="inlineStr">
        <is>
          <t>2022–2025 (4 cells)</t>
        </is>
      </c>
      <c r="D73" s="9" t="inlineStr">
        <is>
          <t>ALT DuPont</t>
        </is>
      </c>
      <c r="E73" s="9" t="inlineStr">
        <is>
          <t>C46:F46</t>
        </is>
      </c>
      <c r="F73" s="9" t="inlineStr">
        <is>
          <t>ppe_source_link</t>
        </is>
      </c>
    </row>
    <row r="74">
      <c r="A74" s="9" t="n">
        <v>82</v>
      </c>
      <c r="B74" s="9" t="inlineStr">
        <is>
          <t>PP&amp;E Turnover</t>
        </is>
      </c>
      <c r="C74" s="9" t="inlineStr">
        <is>
          <t>2022–2025 (4 cells)</t>
        </is>
      </c>
      <c r="D74" s="9" t="inlineStr">
        <is>
          <t>ALT DuPont</t>
        </is>
      </c>
      <c r="E74" s="9" t="inlineStr">
        <is>
          <t>C47:F47</t>
        </is>
      </c>
      <c r="F74" s="9" t="inlineStr">
        <is>
          <t>revenue_link, average_ppe</t>
        </is>
      </c>
    </row>
    <row r="75">
      <c r="A75" s="9" t="n">
        <v>83</v>
      </c>
      <c r="B75" s="9" t="inlineStr">
        <is>
          <t>PP&amp;E Intensity</t>
        </is>
      </c>
      <c r="C75" s="9" t="inlineStr">
        <is>
          <t>2022–2025 (4 cells)</t>
        </is>
      </c>
      <c r="D75" s="9" t="inlineStr">
        <is>
          <t>ALT DuPont</t>
        </is>
      </c>
      <c r="E75" s="9" t="inlineStr">
        <is>
          <t>C48:F48</t>
        </is>
      </c>
      <c r="F75" s="9" t="inlineStr">
        <is>
          <t>revenue_link, average_ppe</t>
        </is>
      </c>
    </row>
    <row r="76">
      <c r="A76" s="9" t="n">
        <v>84</v>
      </c>
      <c r="B76" s="9" t="inlineStr">
        <is>
          <t>Change in PP&amp;E</t>
        </is>
      </c>
      <c r="C76" s="9" t="inlineStr">
        <is>
          <t>2022–2025 (4 cells)</t>
        </is>
      </c>
      <c r="D76" s="9" t="inlineStr">
        <is>
          <t>ALT DuPont</t>
        </is>
      </c>
      <c r="E76" s="9" t="inlineStr">
        <is>
          <t>C49:F49</t>
        </is>
      </c>
      <c r="F76" s="9" t="inlineStr">
        <is>
          <t>ppe_source_link</t>
        </is>
      </c>
    </row>
    <row r="77">
      <c r="A77" s="9" t="n">
        <v>85</v>
      </c>
      <c r="B77" s="9" t="inlineStr">
        <is>
          <t>D&amp;A / Revenue</t>
        </is>
      </c>
      <c r="C77" s="9" t="inlineStr">
        <is>
          <t>2021–2025 (5 cells)</t>
        </is>
      </c>
      <c r="D77" s="9" t="inlineStr">
        <is>
          <t>ALT DuPont</t>
        </is>
      </c>
      <c r="E77" s="9" t="inlineStr">
        <is>
          <t>B50:F50</t>
        </is>
      </c>
      <c r="F77" s="9" t="inlineStr">
        <is>
          <t>da_source_link, revenue_link</t>
        </is>
      </c>
    </row>
    <row r="78">
      <c r="A78" s="9" t="n">
        <v>86</v>
      </c>
      <c r="B78" s="9" t="inlineStr">
        <is>
          <t>D&amp;A / Average PP&amp;E</t>
        </is>
      </c>
      <c r="C78" s="9" t="inlineStr">
        <is>
          <t>2022–2025 (4 cells)</t>
        </is>
      </c>
      <c r="D78" s="9" t="inlineStr">
        <is>
          <t>ALT DuPont</t>
        </is>
      </c>
      <c r="E78" s="9" t="inlineStr">
        <is>
          <t>C51:F51</t>
        </is>
      </c>
      <c r="F78" s="9" t="inlineStr">
        <is>
          <t>da_source_link, average_ppe</t>
        </is>
      </c>
    </row>
    <row r="79">
      <c r="A79" s="9" t="n">
        <v>87</v>
      </c>
      <c r="B79" s="9" t="inlineStr">
        <is>
          <t>Lease Liability</t>
        </is>
      </c>
      <c r="C79" s="9" t="inlineStr">
        <is>
          <t>2021–2025 (5 cells)</t>
        </is>
      </c>
      <c r="D79" s="9" t="inlineStr">
        <is>
          <t>ALT DuPont</t>
        </is>
      </c>
      <c r="E79" s="9" t="inlineStr">
        <is>
          <t>B55:F55</t>
        </is>
      </c>
      <c r="F79" s="9" t="inlineStr">
        <is>
          <t>—</t>
        </is>
      </c>
    </row>
    <row r="80">
      <c r="A80" s="9" t="n">
        <v>88</v>
      </c>
      <c r="B80" s="9" t="inlineStr">
        <is>
          <t>Lease Liability / Revenue</t>
        </is>
      </c>
      <c r="C80" s="9" t="inlineStr">
        <is>
          <t>2021–2025 (5 cells)</t>
        </is>
      </c>
      <c r="D80" s="9" t="inlineStr">
        <is>
          <t>ALT DuPont</t>
        </is>
      </c>
      <c r="E80" s="9" t="inlineStr">
        <is>
          <t>B56:F56</t>
        </is>
      </c>
      <c r="F80" s="9" t="inlineStr">
        <is>
          <t>lease_liability_source_link, revenue_link</t>
        </is>
      </c>
    </row>
    <row r="81">
      <c r="A81" s="9" t="n">
        <v>89</v>
      </c>
      <c r="B81" s="9" t="inlineStr">
        <is>
          <t>Change in Lease Liability</t>
        </is>
      </c>
      <c r="C81" s="9" t="inlineStr">
        <is>
          <t>2022–2025 (4 cells)</t>
        </is>
      </c>
      <c r="D81" s="9" t="inlineStr">
        <is>
          <t>ALT DuPont</t>
        </is>
      </c>
      <c r="E81" s="9" t="inlineStr">
        <is>
          <t>C57:F57</t>
        </is>
      </c>
      <c r="F81" s="9" t="inlineStr">
        <is>
          <t>lease_liability_source_link</t>
        </is>
      </c>
    </row>
    <row r="82">
      <c r="A82" s="9" t="n">
        <v>90</v>
      </c>
      <c r="B82" s="9" t="inlineStr">
        <is>
          <t>Lease Liability Growth</t>
        </is>
      </c>
      <c r="C82" s="9" t="inlineStr">
        <is>
          <t>2022–2025 (4 cells)</t>
        </is>
      </c>
      <c r="D82" s="9" t="inlineStr">
        <is>
          <t>ALT DuPont</t>
        </is>
      </c>
      <c r="E82" s="9" t="inlineStr">
        <is>
          <t>C58:F58</t>
        </is>
      </c>
      <c r="F82" s="9" t="inlineStr">
        <is>
          <t>lease_liability_source_link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Company: Demo Holdings Limited (DEMO)</t>
        </is>
      </c>
    </row>
    <row r="2">
      <c r="A2" s="9" t="inlineStr">
        <is>
          <t>Statement: Income Statement</t>
        </is>
      </c>
    </row>
    <row r="3">
      <c r="A3" s="9" t="inlineStr">
        <is>
          <t>Units: HKD in Millions</t>
        </is>
      </c>
    </row>
    <row r="4">
      <c r="A4" s="9" t="inlineStr">
        <is>
          <t>Source: manual ingestion (HK)</t>
        </is>
      </c>
    </row>
    <row r="6">
      <c r="A6" s="9" t="inlineStr">
        <is>
          <t>Line Item</t>
        </is>
      </c>
      <c r="B6" s="10" t="n">
        <v>44561</v>
      </c>
      <c r="C6" s="10" t="n">
        <v>44926</v>
      </c>
      <c r="D6" s="10" t="n">
        <v>45291</v>
      </c>
      <c r="E6" s="10" t="n">
        <v>45657</v>
      </c>
      <c r="F6" s="10" t="n">
        <v>46022</v>
      </c>
    </row>
    <row r="7">
      <c r="A7" s="9" t="inlineStr">
        <is>
          <t>Revenue</t>
        </is>
      </c>
      <c r="B7" s="11" t="n">
        <v>8500</v>
      </c>
      <c r="C7" s="11" t="n">
        <v>9200</v>
      </c>
      <c r="D7" s="11" t="n">
        <v>10100</v>
      </c>
      <c r="E7" s="11" t="n">
        <v>11200</v>
      </c>
      <c r="F7" s="11" t="n">
        <v>12500</v>
      </c>
    </row>
    <row r="8">
      <c r="A8" s="9" t="inlineStr">
        <is>
          <t>Cost of sales</t>
        </is>
      </c>
      <c r="B8" s="11" t="n">
        <v>-3400</v>
      </c>
      <c r="C8" s="11" t="n">
        <v>-3680</v>
      </c>
      <c r="D8" s="11" t="n">
        <v>-4040</v>
      </c>
      <c r="E8" s="11" t="n">
        <v>-4480</v>
      </c>
      <c r="F8" s="11" t="n">
        <v>-5000</v>
      </c>
    </row>
    <row r="9">
      <c r="A9" s="9" t="inlineStr">
        <is>
          <t>Gross profit</t>
        </is>
      </c>
      <c r="B9" s="11" t="n">
        <v>5100</v>
      </c>
      <c r="C9" s="11" t="n">
        <v>5520</v>
      </c>
      <c r="D9" s="11" t="n">
        <v>6060</v>
      </c>
      <c r="E9" s="11" t="n">
        <v>6720</v>
      </c>
      <c r="F9" s="11" t="n">
        <v>7500</v>
      </c>
    </row>
    <row r="10">
      <c r="A10" s="9" t="inlineStr">
        <is>
          <t>Administrative expenses</t>
        </is>
      </c>
      <c r="B10" s="11" t="n">
        <v>-1700</v>
      </c>
      <c r="C10" s="11" t="n">
        <v>-1840</v>
      </c>
      <c r="D10" s="11" t="n">
        <v>-1820</v>
      </c>
      <c r="E10" s="11" t="n">
        <v>-2240</v>
      </c>
      <c r="F10" s="11" t="n">
        <v>-2500</v>
      </c>
    </row>
    <row r="11">
      <c r="A11" s="9" t="inlineStr">
        <is>
          <t>Restructuring expense</t>
        </is>
      </c>
      <c r="B11" s="11" t="n">
        <v>0</v>
      </c>
      <c r="C11" s="11" t="n">
        <v>0</v>
      </c>
      <c r="D11" s="11" t="n">
        <v>-200</v>
      </c>
      <c r="E11" s="11" t="n">
        <v>0</v>
      </c>
      <c r="F11" s="11" t="n">
        <v>0</v>
      </c>
    </row>
    <row r="12">
      <c r="A12" s="9" t="inlineStr">
        <is>
          <t>Operating profit</t>
        </is>
      </c>
      <c r="B12" s="11" t="n">
        <v>3400</v>
      </c>
      <c r="C12" s="11" t="n">
        <v>3680</v>
      </c>
      <c r="D12" s="11" t="n">
        <v>4040</v>
      </c>
      <c r="E12" s="11" t="n">
        <v>4480</v>
      </c>
      <c r="F12" s="11" t="n">
        <v>5000</v>
      </c>
    </row>
    <row r="13">
      <c r="A13" s="9" t="inlineStr">
        <is>
          <t>Finance costs</t>
        </is>
      </c>
      <c r="B13" s="11" t="n">
        <v>-120</v>
      </c>
      <c r="C13" s="11" t="n">
        <v>-130</v>
      </c>
      <c r="D13" s="11" t="n">
        <v>-140</v>
      </c>
      <c r="E13" s="11" t="n">
        <v>-150</v>
      </c>
      <c r="F13" s="11" t="n">
        <v>-160</v>
      </c>
    </row>
    <row r="14">
      <c r="A14" s="9" t="inlineStr">
        <is>
          <t>Finance income</t>
        </is>
      </c>
      <c r="B14" s="11" t="n">
        <v>45</v>
      </c>
      <c r="C14" s="11" t="n">
        <v>50</v>
      </c>
      <c r="D14" s="11" t="n">
        <v>55</v>
      </c>
      <c r="E14" s="11" t="n">
        <v>60</v>
      </c>
      <c r="F14" s="11" t="n">
        <v>65</v>
      </c>
    </row>
    <row r="15">
      <c r="A15" s="9" t="inlineStr">
        <is>
          <t>Profit before tax</t>
        </is>
      </c>
      <c r="B15" s="11" t="n">
        <v>3325</v>
      </c>
      <c r="C15" s="11" t="n">
        <v>3600</v>
      </c>
      <c r="D15" s="11" t="n">
        <v>3955</v>
      </c>
      <c r="E15" s="11" t="n">
        <v>4390</v>
      </c>
      <c r="F15" s="11" t="n">
        <v>4905</v>
      </c>
    </row>
    <row r="16">
      <c r="A16" s="9" t="inlineStr">
        <is>
          <t>Income tax expense</t>
        </is>
      </c>
      <c r="B16" s="11" t="n">
        <v>-565</v>
      </c>
      <c r="C16" s="11" t="n">
        <v>-612</v>
      </c>
      <c r="D16" s="11" t="n">
        <v>-672</v>
      </c>
      <c r="E16" s="11" t="n">
        <v>-746</v>
      </c>
      <c r="F16" s="11" t="n">
        <v>-833</v>
      </c>
    </row>
    <row r="17">
      <c r="A17" s="9" t="inlineStr">
        <is>
          <t>Profit for the year</t>
        </is>
      </c>
      <c r="B17" s="11" t="n">
        <v>2760</v>
      </c>
      <c r="C17" s="11" t="n">
        <v>2988</v>
      </c>
      <c r="D17" s="11" t="n">
        <v>3283</v>
      </c>
      <c r="E17" s="11" t="n">
        <v>3644</v>
      </c>
      <c r="F17" s="11" t="n">
        <v>4072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Company: Demo Holdings Limited (DEMO)</t>
        </is>
      </c>
    </row>
    <row r="2">
      <c r="A2" s="9" t="inlineStr">
        <is>
          <t>Statement: Balance Sheet</t>
        </is>
      </c>
    </row>
    <row r="3">
      <c r="A3" s="9" t="inlineStr">
        <is>
          <t>Units: HKD in Millions</t>
        </is>
      </c>
    </row>
    <row r="4">
      <c r="A4" s="9" t="inlineStr">
        <is>
          <t>Source: manual ingestion (HK)</t>
        </is>
      </c>
    </row>
    <row r="6">
      <c r="A6" s="9" t="inlineStr">
        <is>
          <t>Line Item</t>
        </is>
      </c>
      <c r="B6" s="10" t="n">
        <v>44561</v>
      </c>
      <c r="C6" s="10" t="n">
        <v>44926</v>
      </c>
      <c r="D6" s="10" t="n">
        <v>45291</v>
      </c>
      <c r="E6" s="10" t="n">
        <v>45657</v>
      </c>
      <c r="F6" s="10" t="n">
        <v>46022</v>
      </c>
    </row>
    <row r="7">
      <c r="A7" s="9" t="inlineStr">
        <is>
          <t>Cash and cash equivalents</t>
        </is>
      </c>
      <c r="B7" s="11" t="n">
        <v>1200</v>
      </c>
      <c r="C7" s="11" t="n">
        <v>1350</v>
      </c>
      <c r="D7" s="11" t="n">
        <v>1500</v>
      </c>
      <c r="E7" s="11" t="n">
        <v>1680</v>
      </c>
      <c r="F7" s="11" t="n">
        <v>1850</v>
      </c>
    </row>
    <row r="8">
      <c r="A8" s="9" t="inlineStr">
        <is>
          <t>Trade receivables</t>
        </is>
      </c>
      <c r="B8" s="11" t="n">
        <v>850</v>
      </c>
      <c r="C8" s="11" t="n">
        <v>920</v>
      </c>
      <c r="D8" s="11" t="n">
        <v>1010</v>
      </c>
      <c r="E8" s="11" t="n">
        <v>1120</v>
      </c>
      <c r="F8" s="11" t="n">
        <v>1250</v>
      </c>
    </row>
    <row r="9">
      <c r="A9" s="9" t="inlineStr">
        <is>
          <t>Inventories</t>
        </is>
      </c>
      <c r="B9" s="11" t="n">
        <v>680</v>
      </c>
      <c r="C9" s="11" t="n">
        <v>736</v>
      </c>
      <c r="D9" s="11" t="n">
        <v>808</v>
      </c>
      <c r="E9" s="11" t="n">
        <v>896</v>
      </c>
      <c r="F9" s="11" t="n">
        <v>1000</v>
      </c>
    </row>
    <row r="10">
      <c r="A10" s="9" t="inlineStr">
        <is>
          <t>Property, plant and equipment</t>
        </is>
      </c>
      <c r="B10" s="11" t="n">
        <v>3200</v>
      </c>
      <c r="C10" s="11" t="n">
        <v>3400</v>
      </c>
      <c r="D10" s="11" t="n">
        <v>3600</v>
      </c>
      <c r="E10" s="11" t="n">
        <v>3800</v>
      </c>
      <c r="F10" s="11" t="n">
        <v>4000</v>
      </c>
    </row>
    <row r="11">
      <c r="A11" s="9" t="inlineStr">
        <is>
          <t>Goodwill</t>
        </is>
      </c>
      <c r="B11" s="11" t="n">
        <v>900</v>
      </c>
      <c r="C11" s="11" t="n">
        <v>900</v>
      </c>
      <c r="D11" s="11" t="n">
        <v>900</v>
      </c>
      <c r="E11" s="11" t="n">
        <v>900</v>
      </c>
      <c r="F11" s="11" t="n">
        <v>900</v>
      </c>
    </row>
    <row r="12">
      <c r="A12" s="9" t="inlineStr">
        <is>
          <t>Other non-current assets</t>
        </is>
      </c>
      <c r="B12" s="11" t="n">
        <v>1670</v>
      </c>
      <c r="C12" s="11" t="n">
        <v>1894</v>
      </c>
      <c r="D12" s="11" t="n">
        <v>2282</v>
      </c>
      <c r="E12" s="11" t="n">
        <v>2804</v>
      </c>
      <c r="F12" s="11" t="n">
        <v>3500</v>
      </c>
    </row>
    <row r="13">
      <c r="A13" s="9" t="inlineStr">
        <is>
          <t>Total assets</t>
        </is>
      </c>
      <c r="B13" s="11" t="n">
        <v>8500</v>
      </c>
      <c r="C13" s="11" t="n">
        <v>9200</v>
      </c>
      <c r="D13" s="11" t="n">
        <v>10100</v>
      </c>
      <c r="E13" s="11" t="n">
        <v>11200</v>
      </c>
      <c r="F13" s="11" t="n">
        <v>12500</v>
      </c>
    </row>
    <row r="14">
      <c r="A14" s="9" t="inlineStr">
        <is>
          <t>Trade payables</t>
        </is>
      </c>
      <c r="B14" s="11" t="n">
        <v>595</v>
      </c>
      <c r="C14" s="11" t="n">
        <v>644</v>
      </c>
      <c r="D14" s="11" t="n">
        <v>707</v>
      </c>
      <c r="E14" s="11" t="n">
        <v>784</v>
      </c>
      <c r="F14" s="11" t="n">
        <v>875</v>
      </c>
    </row>
    <row r="15">
      <c r="A15" s="9" t="inlineStr">
        <is>
          <t>Bank borrowings</t>
        </is>
      </c>
      <c r="B15" s="11" t="n">
        <v>1500</v>
      </c>
      <c r="C15" s="11" t="n">
        <v>1400</v>
      </c>
      <c r="D15" s="11" t="n">
        <v>1300</v>
      </c>
      <c r="E15" s="11" t="n">
        <v>1200</v>
      </c>
      <c r="F15" s="11" t="n">
        <v>1100</v>
      </c>
    </row>
    <row r="16">
      <c r="A16" s="9" t="inlineStr">
        <is>
          <t>Operating lease liabilities</t>
        </is>
      </c>
      <c r="B16" s="11" t="n">
        <v>300</v>
      </c>
      <c r="C16" s="11" t="n">
        <v>320</v>
      </c>
      <c r="D16" s="11" t="n">
        <v>340</v>
      </c>
      <c r="E16" s="11" t="n">
        <v>360</v>
      </c>
      <c r="F16" s="11" t="n">
        <v>380</v>
      </c>
    </row>
    <row r="17">
      <c r="A17" s="9" t="inlineStr">
        <is>
          <t>Other non-current liabilities</t>
        </is>
      </c>
      <c r="B17" s="11" t="n">
        <v>1005</v>
      </c>
      <c r="C17" s="11" t="n">
        <v>1136</v>
      </c>
      <c r="D17" s="11" t="n">
        <v>1253</v>
      </c>
      <c r="E17" s="11" t="n">
        <v>1356</v>
      </c>
      <c r="F17" s="11" t="n">
        <v>1445</v>
      </c>
    </row>
    <row r="18">
      <c r="A18" s="9" t="inlineStr">
        <is>
          <t>Total liabilities</t>
        </is>
      </c>
      <c r="B18" s="11" t="n">
        <v>3400</v>
      </c>
      <c r="C18" s="11" t="n">
        <v>3500</v>
      </c>
      <c r="D18" s="11" t="n">
        <v>3600</v>
      </c>
      <c r="E18" s="11" t="n">
        <v>3700</v>
      </c>
      <c r="F18" s="11" t="n">
        <v>3800</v>
      </c>
    </row>
    <row r="19">
      <c r="A19" s="9" t="inlineStr">
        <is>
          <t>Share capital and reserves</t>
        </is>
      </c>
      <c r="B19" s="11" t="n">
        <v>5100</v>
      </c>
      <c r="C19" s="11" t="n">
        <v>5700</v>
      </c>
      <c r="D19" s="11" t="n">
        <v>6500</v>
      </c>
      <c r="E19" s="11" t="n">
        <v>7500</v>
      </c>
      <c r="F19" s="11" t="n">
        <v>8700</v>
      </c>
    </row>
    <row r="20">
      <c r="A20" s="9" t="inlineStr">
        <is>
          <t>Total equity</t>
        </is>
      </c>
      <c r="B20" s="11" t="n">
        <v>5100</v>
      </c>
      <c r="C20" s="11" t="n">
        <v>5700</v>
      </c>
      <c r="D20" s="11" t="n">
        <v>6500</v>
      </c>
      <c r="E20" s="11" t="n">
        <v>7500</v>
      </c>
      <c r="F20" s="11" t="n">
        <v>8700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Company: Demo Holdings Limited (DEMO)</t>
        </is>
      </c>
    </row>
    <row r="2">
      <c r="A2" s="9" t="inlineStr">
        <is>
          <t>Statement: Cash Flow Statement</t>
        </is>
      </c>
    </row>
    <row r="3">
      <c r="A3" s="9" t="inlineStr">
        <is>
          <t>Units: HKD in Millions</t>
        </is>
      </c>
    </row>
    <row r="4">
      <c r="A4" s="9" t="inlineStr">
        <is>
          <t>Source: manual ingestion (HK)</t>
        </is>
      </c>
    </row>
    <row r="6">
      <c r="A6" s="9" t="inlineStr">
        <is>
          <t>Line Item</t>
        </is>
      </c>
      <c r="B6" s="10" t="n">
        <v>44561</v>
      </c>
      <c r="C6" s="10" t="n">
        <v>44926</v>
      </c>
      <c r="D6" s="10" t="n">
        <v>45291</v>
      </c>
      <c r="E6" s="10" t="n">
        <v>45657</v>
      </c>
      <c r="F6" s="10" t="n">
        <v>46022</v>
      </c>
    </row>
    <row r="7">
      <c r="A7" s="9" t="inlineStr">
        <is>
          <t>Profit for the year</t>
        </is>
      </c>
      <c r="B7" s="11" t="n">
        <v>2760</v>
      </c>
      <c r="C7" s="11" t="n">
        <v>2988</v>
      </c>
      <c r="D7" s="11" t="n">
        <v>3283</v>
      </c>
      <c r="E7" s="11" t="n">
        <v>3644</v>
      </c>
      <c r="F7" s="11" t="n">
        <v>4072</v>
      </c>
    </row>
    <row r="8">
      <c r="A8" s="9" t="inlineStr">
        <is>
          <t>Depreciation and amortisation</t>
        </is>
      </c>
      <c r="B8" s="11" t="n">
        <v>340</v>
      </c>
      <c r="C8" s="11" t="n">
        <v>368</v>
      </c>
      <c r="D8" s="11" t="n">
        <v>404</v>
      </c>
      <c r="E8" s="11" t="n">
        <v>448</v>
      </c>
      <c r="F8" s="11" t="n">
        <v>500</v>
      </c>
    </row>
    <row r="9">
      <c r="A9" s="9" t="inlineStr">
        <is>
          <t>Net cash from operating activities</t>
        </is>
      </c>
      <c r="B9" s="11" t="n">
        <v>1450</v>
      </c>
      <c r="C9" s="11" t="n">
        <v>1600</v>
      </c>
      <c r="D9" s="11" t="n">
        <v>1750</v>
      </c>
      <c r="E9" s="11" t="n">
        <v>1930</v>
      </c>
      <c r="F9" s="11" t="n">
        <v>2070</v>
      </c>
    </row>
    <row r="10">
      <c r="A10" s="9" t="inlineStr">
        <is>
          <t>Net cash used in investing activities</t>
        </is>
      </c>
      <c r="B10" s="11" t="n">
        <v>-800</v>
      </c>
      <c r="C10" s="11" t="n">
        <v>-850</v>
      </c>
      <c r="D10" s="11" t="n">
        <v>-900</v>
      </c>
      <c r="E10" s="11" t="n">
        <v>-950</v>
      </c>
      <c r="F10" s="11" t="n">
        <v>-1000</v>
      </c>
    </row>
    <row r="11">
      <c r="A11" s="9" t="inlineStr">
        <is>
          <t>Net cash from financing activities</t>
        </is>
      </c>
      <c r="B11" s="11" t="n">
        <v>-500</v>
      </c>
      <c r="C11" s="11" t="n">
        <v>-600</v>
      </c>
      <c r="D11" s="11" t="n">
        <v>-700</v>
      </c>
      <c r="E11" s="11" t="n">
        <v>-800</v>
      </c>
      <c r="F11" s="11" t="n">
        <v>-900</v>
      </c>
    </row>
    <row r="12">
      <c r="A12" s="9" t="inlineStr">
        <is>
          <t>Net change in cash and cash equivalents</t>
        </is>
      </c>
      <c r="B12" s="11" t="n">
        <v>150</v>
      </c>
      <c r="C12" s="11" t="n">
        <v>150</v>
      </c>
      <c r="D12" s="11" t="n">
        <v>150</v>
      </c>
      <c r="E12" s="11" t="n">
        <v>180</v>
      </c>
      <c r="F12" s="11" t="n">
        <v>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2" customWidth="1" min="8" max="8"/>
  </cols>
  <sheetData>
    <row r="1">
      <c r="A1" s="9" t="inlineStr">
        <is>
          <t>Demo Holdings Limited (DEMO) — Condensed Financials</t>
        </is>
      </c>
    </row>
    <row r="4">
      <c r="A4" s="9" t="inlineStr">
        <is>
          <t>BALANCE SHEET CLASSIFICATION</t>
        </is>
      </c>
    </row>
    <row r="5">
      <c r="A5" s="9" t="inlineStr">
        <is>
          <t>Line Item</t>
        </is>
      </c>
      <c r="B5" s="9" t="inlineStr">
        <is>
          <t>Classification</t>
        </is>
      </c>
      <c r="C5" s="10" t="n">
        <v>44561</v>
      </c>
      <c r="D5" s="10" t="n">
        <v>44926</v>
      </c>
      <c r="E5" s="10" t="n">
        <v>45291</v>
      </c>
      <c r="F5" s="10" t="n">
        <v>45657</v>
      </c>
      <c r="G5" s="10" t="n">
        <v>46022</v>
      </c>
      <c r="H5" s="9" t="inlineStr">
        <is>
          <t>Notes</t>
        </is>
      </c>
    </row>
    <row r="6">
      <c r="A6" s="9" t="inlineStr">
        <is>
          <t>Cash and cash equivalents</t>
        </is>
      </c>
      <c r="B6" s="9" t="inlineStr">
        <is>
          <t>Financial Asset</t>
        </is>
      </c>
      <c r="C6" s="11" t="n">
        <v>1200</v>
      </c>
      <c r="D6" s="11" t="n">
        <v>1350</v>
      </c>
      <c r="E6" s="11" t="n">
        <v>1500</v>
      </c>
      <c r="F6" s="11" t="n">
        <v>1680</v>
      </c>
      <c r="G6" s="11" t="n">
        <v>1850</v>
      </c>
    </row>
    <row r="7">
      <c r="A7" s="9" t="inlineStr">
        <is>
          <t>Trade receivables</t>
        </is>
      </c>
      <c r="B7" s="9" t="inlineStr">
        <is>
          <t>Operating Working Capital Asset</t>
        </is>
      </c>
      <c r="C7" s="11" t="n">
        <v>850</v>
      </c>
      <c r="D7" s="11" t="n">
        <v>920</v>
      </c>
      <c r="E7" s="11" t="n">
        <v>1010</v>
      </c>
      <c r="F7" s="11" t="n">
        <v>1120</v>
      </c>
      <c r="G7" s="11" t="n">
        <v>1250</v>
      </c>
    </row>
    <row r="8">
      <c r="A8" s="9" t="inlineStr">
        <is>
          <t>Inventories</t>
        </is>
      </c>
      <c r="B8" s="9" t="inlineStr">
        <is>
          <t>Operating Working Capital Asset</t>
        </is>
      </c>
      <c r="C8" s="11" t="n">
        <v>680</v>
      </c>
      <c r="D8" s="11" t="n">
        <v>736</v>
      </c>
      <c r="E8" s="11" t="n">
        <v>808</v>
      </c>
      <c r="F8" s="11" t="n">
        <v>896</v>
      </c>
      <c r="G8" s="11" t="n">
        <v>1000</v>
      </c>
    </row>
    <row r="9">
      <c r="A9" s="9" t="inlineStr">
        <is>
          <t>Property, plant and equipment</t>
        </is>
      </c>
      <c r="B9" s="9" t="inlineStr">
        <is>
          <t>Operating Long-Term Asset</t>
        </is>
      </c>
      <c r="C9" s="11" t="n">
        <v>3200</v>
      </c>
      <c r="D9" s="11" t="n">
        <v>3400</v>
      </c>
      <c r="E9" s="11" t="n">
        <v>3600</v>
      </c>
      <c r="F9" s="11" t="n">
        <v>3800</v>
      </c>
      <c r="G9" s="11" t="n">
        <v>4000</v>
      </c>
    </row>
    <row r="10">
      <c r="A10" s="9" t="inlineStr">
        <is>
          <t>Goodwill</t>
        </is>
      </c>
      <c r="B10" s="9" t="inlineStr">
        <is>
          <t>Operating Long-Term Asset</t>
        </is>
      </c>
      <c r="C10" s="11" t="n">
        <v>900</v>
      </c>
      <c r="D10" s="11" t="n">
        <v>900</v>
      </c>
      <c r="E10" s="11" t="n">
        <v>900</v>
      </c>
      <c r="F10" s="11" t="n">
        <v>900</v>
      </c>
      <c r="G10" s="11" t="n">
        <v>900</v>
      </c>
    </row>
    <row r="11">
      <c r="A11" s="9" t="inlineStr">
        <is>
          <t>Other non-current assets</t>
        </is>
      </c>
      <c r="B11" s="9" t="inlineStr">
        <is>
          <t>Operating Long-Term Asset</t>
        </is>
      </c>
      <c r="C11" s="11" t="n">
        <v>1670</v>
      </c>
      <c r="D11" s="11" t="n">
        <v>1894</v>
      </c>
      <c r="E11" s="11" t="n">
        <v>2282</v>
      </c>
      <c r="F11" s="11" t="n">
        <v>2804</v>
      </c>
      <c r="G11" s="11" t="n">
        <v>3500</v>
      </c>
    </row>
    <row r="12">
      <c r="A12" s="9" t="inlineStr">
        <is>
          <t>Trade payables</t>
        </is>
      </c>
      <c r="B12" s="9" t="inlineStr">
        <is>
          <t>Operating Working Capital Liability</t>
        </is>
      </c>
      <c r="C12" s="11" t="n">
        <v>595</v>
      </c>
      <c r="D12" s="11" t="n">
        <v>644</v>
      </c>
      <c r="E12" s="11" t="n">
        <v>707</v>
      </c>
      <c r="F12" s="11" t="n">
        <v>784</v>
      </c>
      <c r="G12" s="11" t="n">
        <v>875</v>
      </c>
    </row>
    <row r="13">
      <c r="A13" s="9" t="inlineStr">
        <is>
          <t>Bank borrowings</t>
        </is>
      </c>
      <c r="B13" s="9" t="inlineStr">
        <is>
          <t>Financial Liability</t>
        </is>
      </c>
      <c r="C13" s="11" t="n">
        <v>1500</v>
      </c>
      <c r="D13" s="11" t="n">
        <v>1400</v>
      </c>
      <c r="E13" s="11" t="n">
        <v>1300</v>
      </c>
      <c r="F13" s="11" t="n">
        <v>1200</v>
      </c>
      <c r="G13" s="11" t="n">
        <v>1100</v>
      </c>
    </row>
    <row r="14">
      <c r="A14" s="9" t="inlineStr">
        <is>
          <t>Operating lease liabilities</t>
        </is>
      </c>
      <c r="B14" s="9">
        <f>IF('Accounting Judgment'!$F$5="","Operating Long-Term Liability",'Accounting Judgment'!$F$5)</f>
        <v/>
      </c>
      <c r="C14" s="11" t="n">
        <v>300</v>
      </c>
      <c r="D14" s="11" t="n">
        <v>320</v>
      </c>
      <c r="E14" s="11" t="n">
        <v>340</v>
      </c>
      <c r="F14" s="11" t="n">
        <v>360</v>
      </c>
      <c r="G14" s="11" t="n">
        <v>380</v>
      </c>
      <c r="H14" s="9" t="inlineStr">
        <is>
          <t>⚠ Review: Lease liability concept — operating vs financial judgment</t>
        </is>
      </c>
    </row>
    <row r="15">
      <c r="A15" s="9" t="inlineStr">
        <is>
          <t>Other non-current liabilities</t>
        </is>
      </c>
      <c r="B15" s="9" t="inlineStr">
        <is>
          <t>Operating Long-Term Liability</t>
        </is>
      </c>
      <c r="C15" s="11" t="n">
        <v>1005</v>
      </c>
      <c r="D15" s="11" t="n">
        <v>1136</v>
      </c>
      <c r="E15" s="11" t="n">
        <v>1253</v>
      </c>
      <c r="F15" s="11" t="n">
        <v>1356</v>
      </c>
      <c r="G15" s="11" t="n">
        <v>1445</v>
      </c>
    </row>
    <row r="16">
      <c r="A16" s="9" t="inlineStr">
        <is>
          <t>Share capital and reserves</t>
        </is>
      </c>
      <c r="B16" s="9" t="inlineStr">
        <is>
          <t>Equity</t>
        </is>
      </c>
      <c r="C16" s="11" t="n">
        <v>5100</v>
      </c>
      <c r="D16" s="11" t="n">
        <v>5700</v>
      </c>
      <c r="E16" s="11" t="n">
        <v>6500</v>
      </c>
      <c r="F16" s="11" t="n">
        <v>7500</v>
      </c>
      <c r="G16" s="11" t="n">
        <v>8700</v>
      </c>
    </row>
    <row r="18">
      <c r="A18" s="9" t="inlineStr">
        <is>
          <t>CONDENSED INCOME STATEMENT</t>
        </is>
      </c>
      <c r="B18" s="10" t="n">
        <v>44561</v>
      </c>
      <c r="C18" s="10" t="n">
        <v>44926</v>
      </c>
      <c r="D18" s="10" t="n">
        <v>45291</v>
      </c>
      <c r="E18" s="10" t="n">
        <v>45657</v>
      </c>
      <c r="F18" s="10" t="n">
        <v>46022</v>
      </c>
    </row>
    <row r="19">
      <c r="A19" s="9" t="inlineStr">
        <is>
          <t>Revenue</t>
        </is>
      </c>
      <c r="B19" s="12" t="n"/>
      <c r="C19" s="12" t="n"/>
      <c r="D19" s="12" t="n"/>
      <c r="E19" s="12" t="n"/>
      <c r="F19" s="12" t="n"/>
    </row>
    <row r="20">
      <c r="A20" s="9" t="inlineStr">
        <is>
          <t>Net Income</t>
        </is>
      </c>
      <c r="B20" s="12" t="n"/>
      <c r="C20" s="12" t="n"/>
      <c r="D20" s="12" t="n"/>
      <c r="E20" s="12" t="n"/>
      <c r="F20" s="12" t="n"/>
    </row>
    <row r="21">
      <c r="A21" s="9" t="inlineStr">
        <is>
          <t>Pretax Income</t>
        </is>
      </c>
      <c r="B21" s="9">
        <f>'Income Statement'!B15</f>
        <v/>
      </c>
      <c r="C21" s="9">
        <f>'Income Statement'!C15</f>
        <v/>
      </c>
      <c r="D21" s="9">
        <f>'Income Statement'!D15</f>
        <v/>
      </c>
      <c r="E21" s="9">
        <f>'Income Statement'!E15</f>
        <v/>
      </c>
      <c r="F21" s="9">
        <f>'Income Statement'!F15</f>
        <v/>
      </c>
    </row>
    <row r="22">
      <c r="A22" s="9" t="inlineStr">
        <is>
          <t>Tax Expense</t>
        </is>
      </c>
      <c r="B22" s="9">
        <f>'Income Statement'!B16</f>
        <v/>
      </c>
      <c r="C22" s="9">
        <f>'Income Statement'!C16</f>
        <v/>
      </c>
      <c r="D22" s="9">
        <f>'Income Statement'!D16</f>
        <v/>
      </c>
      <c r="E22" s="9">
        <f>'Income Statement'!E16</f>
        <v/>
      </c>
      <c r="F22" s="9">
        <f>'Income Statement'!F16</f>
        <v/>
      </c>
    </row>
    <row r="23">
      <c r="A23" s="9" t="inlineStr">
        <is>
          <t>Interest Expense</t>
        </is>
      </c>
      <c r="B23" s="9">
        <f>'Income Statement'!B13</f>
        <v/>
      </c>
      <c r="C23" s="9">
        <f>'Income Statement'!C13</f>
        <v/>
      </c>
      <c r="D23" s="9">
        <f>'Income Statement'!D13</f>
        <v/>
      </c>
      <c r="E23" s="9">
        <f>'Income Statement'!E13</f>
        <v/>
      </c>
      <c r="F23" s="9">
        <f>'Income Statement'!F13</f>
        <v/>
      </c>
    </row>
    <row r="24">
      <c r="A24" s="9" t="inlineStr">
        <is>
          <t>Interest Income</t>
        </is>
      </c>
      <c r="B24" s="9">
        <f>'Income Statement'!B14</f>
        <v/>
      </c>
      <c r="C24" s="9">
        <f>'Income Statement'!C14</f>
        <v/>
      </c>
      <c r="D24" s="9">
        <f>'Income Statement'!D14</f>
        <v/>
      </c>
      <c r="E24" s="9">
        <f>'Income Statement'!E14</f>
        <v/>
      </c>
      <c r="F24" s="9">
        <f>'Income Statement'!F14</f>
        <v/>
      </c>
    </row>
    <row r="25">
      <c r="A25" s="9" t="inlineStr">
        <is>
          <t>Effective Tax Rate</t>
        </is>
      </c>
      <c r="B25" s="13" t="n"/>
      <c r="C25" s="13" t="n"/>
      <c r="D25" s="13" t="n"/>
      <c r="E25" s="13" t="n"/>
      <c r="F25" s="13" t="n"/>
    </row>
    <row r="26">
      <c r="A26" s="9" t="inlineStr">
        <is>
          <t>Net Interest</t>
        </is>
      </c>
      <c r="B26" s="14" t="n"/>
      <c r="C26" s="14" t="n"/>
      <c r="D26" s="14" t="n"/>
      <c r="E26" s="14" t="n"/>
      <c r="F26" s="14" t="n"/>
    </row>
    <row r="27">
      <c r="A27" s="9" t="inlineStr">
        <is>
          <t>Net Interest After Tax</t>
        </is>
      </c>
      <c r="B27" s="14" t="n"/>
      <c r="C27" s="14" t="n"/>
      <c r="D27" s="14" t="n"/>
      <c r="E27" s="14" t="n"/>
      <c r="F27" s="14" t="n"/>
    </row>
    <row r="28">
      <c r="A28" s="9" t="inlineStr">
        <is>
          <t>NOPAT</t>
        </is>
      </c>
      <c r="B28" s="14" t="n"/>
      <c r="C28" s="14" t="n"/>
      <c r="D28" s="14" t="n"/>
      <c r="E28" s="14" t="n"/>
      <c r="F28" s="14" t="n"/>
    </row>
    <row r="30">
      <c r="A30" s="9" t="inlineStr">
        <is>
          <t>CONDENSED BALANCE SHEET</t>
        </is>
      </c>
    </row>
    <row r="31">
      <c r="A31" s="9" t="inlineStr">
        <is>
          <t>Operating Working Capital Assets</t>
        </is>
      </c>
      <c r="B31" s="14" t="n"/>
      <c r="C31" s="14" t="n"/>
      <c r="D31" s="14" t="n"/>
      <c r="E31" s="14" t="n"/>
      <c r="F31" s="14" t="n"/>
    </row>
    <row r="32">
      <c r="A32" s="9" t="inlineStr">
        <is>
          <t>Operating Working Capital Liabilities</t>
        </is>
      </c>
      <c r="B32" s="14" t="n"/>
      <c r="C32" s="14" t="n"/>
      <c r="D32" s="14" t="n"/>
      <c r="E32" s="14" t="n"/>
      <c r="F32" s="14" t="n"/>
    </row>
    <row r="33">
      <c r="A33" s="9" t="inlineStr">
        <is>
          <t>NOWC</t>
        </is>
      </c>
      <c r="B33" s="14" t="n"/>
      <c r="C33" s="14" t="n"/>
      <c r="D33" s="14" t="n"/>
      <c r="E33" s="14" t="n"/>
      <c r="F33" s="14" t="n"/>
    </row>
    <row r="34">
      <c r="A34" s="9" t="inlineStr">
        <is>
          <t>Operating Long-Term Assets</t>
        </is>
      </c>
      <c r="B34" s="14" t="n"/>
      <c r="C34" s="14" t="n"/>
      <c r="D34" s="14" t="n"/>
      <c r="E34" s="14" t="n"/>
      <c r="F34" s="14" t="n"/>
    </row>
    <row r="35">
      <c r="A35" s="9" t="inlineStr">
        <is>
          <t>Operating Long-Term Liabilities</t>
        </is>
      </c>
      <c r="B35" s="14" t="n"/>
      <c r="C35" s="14" t="n"/>
      <c r="D35" s="14" t="n"/>
      <c r="E35" s="14" t="n"/>
      <c r="F35" s="14" t="n"/>
    </row>
    <row r="36">
      <c r="A36" s="9" t="inlineStr">
        <is>
          <t>NOLA</t>
        </is>
      </c>
      <c r="B36" s="14" t="n"/>
      <c r="C36" s="14" t="n"/>
      <c r="D36" s="14" t="n"/>
      <c r="E36" s="14" t="n"/>
      <c r="F36" s="14" t="n"/>
    </row>
    <row r="37">
      <c r="A37" s="9" t="inlineStr">
        <is>
          <t>NOA</t>
        </is>
      </c>
      <c r="B37" s="14" t="n"/>
      <c r="C37" s="14" t="n"/>
      <c r="D37" s="14" t="n"/>
      <c r="E37" s="14" t="n"/>
      <c r="F37" s="14" t="n"/>
    </row>
    <row r="38">
      <c r="A38" s="9" t="inlineStr">
        <is>
          <t>Financial Assets</t>
        </is>
      </c>
      <c r="B38" s="14" t="n"/>
      <c r="C38" s="14" t="n"/>
      <c r="D38" s="14" t="n"/>
      <c r="E38" s="14" t="n"/>
      <c r="F38" s="14" t="n"/>
    </row>
    <row r="39">
      <c r="A39" s="9" t="inlineStr">
        <is>
          <t>Financial Liabilities</t>
        </is>
      </c>
      <c r="B39" s="14" t="n"/>
      <c r="C39" s="14" t="n"/>
      <c r="D39" s="14" t="n"/>
      <c r="E39" s="14" t="n"/>
      <c r="F39" s="14" t="n"/>
    </row>
    <row r="40">
      <c r="A40" s="9" t="inlineStr">
        <is>
          <t>Net Debt</t>
        </is>
      </c>
      <c r="B40" s="14" t="n"/>
      <c r="C40" s="14" t="n"/>
      <c r="D40" s="14" t="n"/>
      <c r="E40" s="14" t="n"/>
      <c r="F40" s="14" t="n"/>
    </row>
    <row r="41">
      <c r="A41" s="9" t="inlineStr">
        <is>
          <t>Equity (NOA - Net Debt)</t>
        </is>
      </c>
      <c r="B41" s="14" t="n"/>
      <c r="C41" s="14" t="n"/>
      <c r="D41" s="14" t="n"/>
      <c r="E41" s="14" t="n"/>
      <c r="F41" s="14" t="n"/>
    </row>
    <row r="42">
      <c r="A42" s="9" t="inlineStr">
        <is>
          <t>Reported Equity</t>
        </is>
      </c>
      <c r="B42" s="11">
        <f>'Balance Sheet'!B20</f>
        <v/>
      </c>
      <c r="C42" s="11">
        <f>'Balance Sheet'!C20</f>
        <v/>
      </c>
      <c r="D42" s="11">
        <f>'Balance Sheet'!D20</f>
        <v/>
      </c>
      <c r="E42" s="11">
        <f>'Balance Sheet'!E20</f>
        <v/>
      </c>
      <c r="F42" s="11">
        <f>'Balance Sheet'!F20</f>
        <v/>
      </c>
    </row>
    <row r="43">
      <c r="A43" s="9" t="inlineStr">
        <is>
          <t>Total Capital</t>
        </is>
      </c>
      <c r="B43" s="11">
        <f>B40+B41</f>
        <v/>
      </c>
      <c r="C43" s="11">
        <f>C40+C41</f>
        <v/>
      </c>
      <c r="D43" s="11">
        <f>D40+D41</f>
        <v/>
      </c>
      <c r="E43" s="11">
        <f>E40+E41</f>
        <v/>
      </c>
      <c r="F43" s="11">
        <f>F40+F41</f>
        <v/>
      </c>
    </row>
    <row r="44">
      <c r="A44" s="9" t="inlineStr">
        <is>
          <t>CHECK</t>
        </is>
      </c>
      <c r="B44" s="9">
        <f>IF(ABS(B41-B42)&lt;1,"OK","CHECK")</f>
        <v/>
      </c>
      <c r="C44" s="9">
        <f>IF(ABS(C41-C42)&lt;1,"OK","CHECK")</f>
        <v/>
      </c>
      <c r="D44" s="9">
        <f>IF(ABS(D41-D42)&lt;1,"OK","CHECK")</f>
        <v/>
      </c>
      <c r="E44" s="9">
        <f>IF(ABS(E41-E42)&lt;1,"OK","CHECK")</f>
        <v/>
      </c>
      <c r="F44" s="9">
        <f>IF(ABS(F41-F42)&lt;1,"OK","CHECK")</f>
        <v/>
      </c>
    </row>
  </sheetData>
  <dataValidations count="1">
    <dataValidation sqref="B6 B7 B8 B9 B10 B11 B12 B13 B15 B16" showDropDown="0" showInputMessage="0" showErrorMessage="0" allowBlank="0" type="list">
      <formula1>"Operating Working Capital Asset,Operating Working Capital Liability,Operating Long-Term Asset,Operating Long-Term Liability,Financial Asset,Financial Liability,Equity,Exclude"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9" t="inlineStr">
        <is>
          <t>Demo Holdings Limited — DuPont Decomposition</t>
        </is>
      </c>
    </row>
    <row r="2">
      <c r="A2" s="9" t="inlineStr">
        <is>
          <t>ROE = RNOA + FLEV × Spread</t>
        </is>
      </c>
    </row>
    <row r="4">
      <c r="A4" s="9" t="inlineStr">
        <is>
          <t>Metric</t>
        </is>
      </c>
      <c r="B4" s="10" t="n">
        <v>44561</v>
      </c>
      <c r="C4" s="10" t="n">
        <v>44926</v>
      </c>
      <c r="D4" s="10" t="n">
        <v>45291</v>
      </c>
      <c r="E4" s="10" t="n">
        <v>45657</v>
      </c>
      <c r="F4" s="10" t="n">
        <v>46022</v>
      </c>
    </row>
    <row r="5">
      <c r="A5" s="9" t="inlineStr">
        <is>
          <t>Sales Growth</t>
        </is>
      </c>
      <c r="B5" s="9" t="inlineStr">
        <is>
          <t>N/A</t>
        </is>
      </c>
      <c r="C5" s="13" t="n"/>
      <c r="D5" s="13" t="n"/>
      <c r="E5" s="13" t="n"/>
      <c r="F5" s="13" t="n"/>
    </row>
    <row r="6">
      <c r="A6" s="9" t="inlineStr">
        <is>
          <t>NOPAT Margin</t>
        </is>
      </c>
      <c r="B6" s="13" t="n"/>
      <c r="C6" s="13" t="n"/>
      <c r="D6" s="13" t="n"/>
      <c r="E6" s="13" t="n"/>
      <c r="F6" s="13" t="n"/>
    </row>
    <row r="7">
      <c r="A7" s="9" t="inlineStr">
        <is>
          <t>RNOA</t>
        </is>
      </c>
      <c r="B7" s="9" t="inlineStr">
        <is>
          <t>N/A</t>
        </is>
      </c>
      <c r="C7" s="13" t="n"/>
      <c r="D7" s="13" t="n"/>
      <c r="E7" s="13" t="n"/>
      <c r="F7" s="13" t="n"/>
    </row>
    <row r="8">
      <c r="A8" s="9" t="inlineStr">
        <is>
          <t>After-tax CoD</t>
        </is>
      </c>
      <c r="B8" s="9" t="inlineStr">
        <is>
          <t>N/A</t>
        </is>
      </c>
      <c r="C8" s="13" t="n"/>
      <c r="D8" s="13" t="n"/>
      <c r="E8" s="13" t="n"/>
      <c r="F8" s="13" t="n"/>
    </row>
    <row r="9">
      <c r="A9" s="9" t="inlineStr">
        <is>
          <t>Spread</t>
        </is>
      </c>
      <c r="B9" s="9" t="inlineStr">
        <is>
          <t>N/A</t>
        </is>
      </c>
      <c r="C9" s="13" t="n"/>
      <c r="D9" s="13" t="n"/>
      <c r="E9" s="13" t="n"/>
      <c r="F9" s="13" t="n"/>
    </row>
    <row r="10">
      <c r="A10" s="9" t="inlineStr">
        <is>
          <t>FLEV</t>
        </is>
      </c>
      <c r="B10" s="9" t="inlineStr">
        <is>
          <t>N/A</t>
        </is>
      </c>
      <c r="C10" s="12" t="n"/>
      <c r="D10" s="12" t="n"/>
      <c r="E10" s="12" t="n"/>
      <c r="F10" s="12" t="n"/>
    </row>
    <row r="11">
      <c r="A11" s="9" t="inlineStr">
        <is>
          <t>ROE (decomposed)</t>
        </is>
      </c>
      <c r="B11" s="9" t="inlineStr">
        <is>
          <t>N/A</t>
        </is>
      </c>
      <c r="C11" s="13" t="n"/>
      <c r="D11" s="13" t="n"/>
      <c r="E11" s="13" t="n"/>
      <c r="F11" s="13" t="n"/>
    </row>
    <row r="12">
      <c r="A12" s="9" t="inlineStr">
        <is>
          <t>Actual ROE</t>
        </is>
      </c>
      <c r="B12" s="9" t="inlineStr">
        <is>
          <t>N/A</t>
        </is>
      </c>
      <c r="C12" s="13" t="n"/>
      <c r="D12" s="13" t="n"/>
      <c r="E12" s="13" t="n"/>
      <c r="F12" s="13" t="n"/>
    </row>
    <row r="14">
      <c r="A14" s="9" t="inlineStr">
        <is>
          <t>RNOA DRIVER DECOMPOSITION</t>
        </is>
      </c>
    </row>
    <row r="15">
      <c r="A15" s="9" t="inlineStr">
        <is>
          <t>Average NOA</t>
        </is>
      </c>
      <c r="B15" s="9" t="inlineStr">
        <is>
          <t>N/A</t>
        </is>
      </c>
      <c r="C15" s="14" t="n"/>
      <c r="D15" s="14" t="n"/>
      <c r="E15" s="14" t="n"/>
      <c r="F15" s="14" t="n"/>
    </row>
    <row r="16">
      <c r="A16" s="9" t="inlineStr">
        <is>
          <t>NOA Turnover</t>
        </is>
      </c>
      <c r="B16" s="9" t="inlineStr">
        <is>
          <t>N/A</t>
        </is>
      </c>
      <c r="C16" s="15" t="n"/>
      <c r="D16" s="15" t="n"/>
      <c r="E16" s="15" t="n"/>
      <c r="F16" s="15" t="n"/>
    </row>
    <row r="17">
      <c r="A17" s="9" t="inlineStr">
        <is>
          <t>NOA Intensity</t>
        </is>
      </c>
      <c r="B17" s="9" t="inlineStr">
        <is>
          <t>N/A</t>
        </is>
      </c>
      <c r="C17" s="15" t="n"/>
      <c r="D17" s="15" t="n"/>
      <c r="E17" s="15" t="n"/>
      <c r="F17" s="15" t="n"/>
    </row>
    <row r="18">
      <c r="A18" s="9" t="inlineStr">
        <is>
          <t>RNOA from Margin × Turnover</t>
        </is>
      </c>
      <c r="B18" s="9" t="inlineStr">
        <is>
          <t>N/A</t>
        </is>
      </c>
      <c r="C18" s="13" t="n"/>
      <c r="D18" s="13" t="n"/>
      <c r="E18" s="13" t="n"/>
      <c r="F18" s="13" t="n"/>
    </row>
    <row r="19">
      <c r="A19" s="9" t="inlineStr">
        <is>
          <t>RNOA DRIVER CHECK</t>
        </is>
      </c>
      <c r="B19" s="9" t="inlineStr">
        <is>
          <t>N/A</t>
        </is>
      </c>
      <c r="C19" s="9">
        <f>IF(ISNA(C18),"N/A",IF(ISNA(C7),"CHECK",IF(ABS(C18-C7)&lt;0.0000001,"OK","CHECK")))</f>
        <v/>
      </c>
      <c r="D19" s="9">
        <f>IF(ISNA(D18),"N/A",IF(ISNA(D7),"CHECK",IF(ABS(D18-D7)&lt;0.0000001,"OK","CHECK")))</f>
        <v/>
      </c>
      <c r="E19" s="9">
        <f>IF(ISNA(E18),"N/A",IF(ISNA(E7),"CHECK",IF(ABS(E18-E7)&lt;0.0000001,"OK","CHECK")))</f>
        <v/>
      </c>
      <c r="F19" s="9">
        <f>IF(ISNA(F18),"N/A",IF(ISNA(F7),"CHECK",IF(ABS(F18-F7)&lt;0.0000001,"OK","CHECK")))</f>
        <v/>
      </c>
    </row>
    <row r="21">
      <c r="A21" s="9" t="inlineStr">
        <is>
          <t>RNOA CHANGE ATTRIBUTION</t>
        </is>
      </c>
    </row>
    <row r="22">
      <c r="A22" s="9" t="inlineStr">
        <is>
          <t>Change in NOPAT Margin</t>
        </is>
      </c>
      <c r="B22" s="9" t="inlineStr">
        <is>
          <t>N/A</t>
        </is>
      </c>
      <c r="C22" s="9" t="inlineStr">
        <is>
          <t>N/A</t>
        </is>
      </c>
      <c r="D22" s="13" t="n"/>
      <c r="E22" s="13" t="n"/>
      <c r="F22" s="13" t="n"/>
    </row>
    <row r="23">
      <c r="A23" s="9" t="inlineStr">
        <is>
          <t>Change in NOA Turnover</t>
        </is>
      </c>
      <c r="B23" s="9" t="inlineStr">
        <is>
          <t>N/A</t>
        </is>
      </c>
      <c r="C23" s="9" t="inlineStr">
        <is>
          <t>N/A</t>
        </is>
      </c>
      <c r="D23" s="15" t="n"/>
      <c r="E23" s="15" t="n"/>
      <c r="F23" s="15" t="n"/>
    </row>
    <row r="24">
      <c r="A24" s="9" t="inlineStr">
        <is>
          <t>Direct Change in RNOA</t>
        </is>
      </c>
      <c r="B24" s="9" t="inlineStr">
        <is>
          <t>N/A</t>
        </is>
      </c>
      <c r="C24" s="9" t="inlineStr">
        <is>
          <t>N/A</t>
        </is>
      </c>
      <c r="D24" s="13" t="n"/>
      <c r="E24" s="13" t="n"/>
      <c r="F24" s="13" t="n"/>
    </row>
    <row r="25">
      <c r="A25" s="9" t="inlineStr">
        <is>
          <t>Margin Effect on RNOA Change</t>
        </is>
      </c>
      <c r="B25" s="9" t="inlineStr">
        <is>
          <t>N/A</t>
        </is>
      </c>
      <c r="C25" s="9" t="inlineStr">
        <is>
          <t>N/A</t>
        </is>
      </c>
      <c r="D25" s="13" t="n"/>
      <c r="E25" s="13" t="n"/>
      <c r="F25" s="13" t="n"/>
    </row>
    <row r="26">
      <c r="A26" s="9" t="inlineStr">
        <is>
          <t>Turnover Effect on RNOA Change</t>
        </is>
      </c>
      <c r="B26" s="9" t="inlineStr">
        <is>
          <t>N/A</t>
        </is>
      </c>
      <c r="C26" s="9" t="inlineStr">
        <is>
          <t>N/A</t>
        </is>
      </c>
      <c r="D26" s="13" t="n"/>
      <c r="E26" s="13" t="n"/>
      <c r="F26" s="13" t="n"/>
    </row>
    <row r="27">
      <c r="A27" s="9" t="inlineStr">
        <is>
          <t>RNOA Change from Drivers</t>
        </is>
      </c>
      <c r="B27" s="9" t="inlineStr">
        <is>
          <t>N/A</t>
        </is>
      </c>
      <c r="C27" s="9" t="inlineStr">
        <is>
          <t>N/A</t>
        </is>
      </c>
      <c r="D27" s="13" t="n"/>
      <c r="E27" s="13" t="n"/>
      <c r="F27" s="13" t="n"/>
    </row>
    <row r="28">
      <c r="A28" s="9" t="inlineStr">
        <is>
          <t>RNOA CHANGE DRIVER CHECK</t>
        </is>
      </c>
      <c r="B28" s="9" t="inlineStr">
        <is>
          <t>N/A</t>
        </is>
      </c>
      <c r="C28" s="9" t="inlineStr">
        <is>
          <t>N/A</t>
        </is>
      </c>
      <c r="D28" s="9">
        <f>IF(OR(ISNA(D27),ISNA(D24)),"N/A",IF(ABS(D27-D24)&lt;0.0000001,"OK","CHECK"))</f>
        <v/>
      </c>
      <c r="E28" s="9">
        <f>IF(OR(ISNA(E27),ISNA(E24)),"N/A",IF(ABS(E27-E24)&lt;0.0000001,"OK","CHECK"))</f>
        <v/>
      </c>
      <c r="F28" s="9">
        <f>IF(OR(ISNA(F27),ISNA(F24)),"N/A",IF(ABS(F27-F24)&lt;0.0000001,"OK","CHECK"))</f>
        <v/>
      </c>
    </row>
    <row r="30">
      <c r="A30" s="9" t="inlineStr">
        <is>
          <t>ROE OPERATING / FINANCING ATTRIBUTION</t>
        </is>
      </c>
    </row>
    <row r="31">
      <c r="A31" s="9" t="inlineStr">
        <is>
          <t>Financing Contribution to ROE</t>
        </is>
      </c>
      <c r="B31" s="9" t="inlineStr">
        <is>
          <t>N/A</t>
        </is>
      </c>
      <c r="C31" s="13" t="n"/>
      <c r="D31" s="13" t="n"/>
      <c r="E31" s="13" t="n"/>
      <c r="F31" s="13" t="n"/>
    </row>
    <row r="32">
      <c r="A32" s="9" t="inlineStr">
        <is>
          <t>ROE LEVEL ATTRIBUTION CHECK</t>
        </is>
      </c>
      <c r="B32" s="9" t="inlineStr">
        <is>
          <t>N/A</t>
        </is>
      </c>
      <c r="C32" s="9">
        <f>IF(OR(ISNA(C7),ISNA(C31),ISNA(C11)),"N/A",IF(ABS(C7+C31-C11)&lt;0.0000001,"OK","CHECK"))</f>
        <v/>
      </c>
      <c r="D32" s="9">
        <f>IF(OR(ISNA(D7),ISNA(D31),ISNA(D11)),"N/A",IF(ABS(D7+D31-D11)&lt;0.0000001,"OK","CHECK"))</f>
        <v/>
      </c>
      <c r="E32" s="9">
        <f>IF(OR(ISNA(E7),ISNA(E31),ISNA(E11)),"N/A",IF(ABS(E7+E31-E11)&lt;0.0000001,"OK","CHECK"))</f>
        <v/>
      </c>
      <c r="F32" s="9">
        <f>IF(OR(ISNA(F7),ISNA(F31),ISNA(F11)),"N/A",IF(ABS(F7+F31-F11)&lt;0.0000001,"OK","CHECK"))</f>
        <v/>
      </c>
    </row>
    <row r="34">
      <c r="A34" s="9" t="inlineStr">
        <is>
          <t>ROE CHANGE ATTRIBUTION</t>
        </is>
      </c>
    </row>
    <row r="35">
      <c r="A35" s="9" t="inlineStr">
        <is>
          <t>Direct Change in Decomposed ROE</t>
        </is>
      </c>
      <c r="B35" s="9" t="inlineStr">
        <is>
          <t>N/A</t>
        </is>
      </c>
      <c r="C35" s="9" t="inlineStr">
        <is>
          <t>N/A</t>
        </is>
      </c>
      <c r="D35" s="13" t="n"/>
      <c r="E35" s="13" t="n"/>
      <c r="F35" s="13" t="n"/>
    </row>
    <row r="36">
      <c r="A36" s="9" t="inlineStr">
        <is>
          <t>Operating Effect on Change in ROE</t>
        </is>
      </c>
      <c r="B36" s="9" t="inlineStr">
        <is>
          <t>N/A</t>
        </is>
      </c>
      <c r="C36" s="9" t="inlineStr">
        <is>
          <t>N/A</t>
        </is>
      </c>
      <c r="D36" s="13" t="n"/>
      <c r="E36" s="13" t="n"/>
      <c r="F36" s="13" t="n"/>
    </row>
    <row r="37">
      <c r="A37" s="9" t="inlineStr">
        <is>
          <t>Leverage Effect on Change in ROE</t>
        </is>
      </c>
      <c r="B37" s="9" t="inlineStr">
        <is>
          <t>N/A</t>
        </is>
      </c>
      <c r="C37" s="9" t="inlineStr">
        <is>
          <t>N/A</t>
        </is>
      </c>
      <c r="D37" s="13" t="n"/>
      <c r="E37" s="13" t="n"/>
      <c r="F37" s="13" t="n"/>
    </row>
    <row r="38">
      <c r="A38" s="9" t="inlineStr">
        <is>
          <t>Spread Effect on Change in ROE</t>
        </is>
      </c>
      <c r="B38" s="9" t="inlineStr">
        <is>
          <t>N/A</t>
        </is>
      </c>
      <c r="C38" s="9" t="inlineStr">
        <is>
          <t>N/A</t>
        </is>
      </c>
      <c r="D38" s="13" t="n"/>
      <c r="E38" s="13" t="n"/>
      <c r="F38" s="13" t="n"/>
    </row>
    <row r="39">
      <c r="A39" s="9" t="inlineStr">
        <is>
          <t>Financing Effect on Change in ROE</t>
        </is>
      </c>
      <c r="B39" s="9" t="inlineStr">
        <is>
          <t>N/A</t>
        </is>
      </c>
      <c r="C39" s="9" t="inlineStr">
        <is>
          <t>N/A</t>
        </is>
      </c>
      <c r="D39" s="13" t="n"/>
      <c r="E39" s="13" t="n"/>
      <c r="F39" s="13" t="n"/>
    </row>
    <row r="40">
      <c r="A40" s="9" t="inlineStr">
        <is>
          <t>Change in ROE from Drivers</t>
        </is>
      </c>
      <c r="B40" s="9" t="inlineStr">
        <is>
          <t>N/A</t>
        </is>
      </c>
      <c r="C40" s="9" t="inlineStr">
        <is>
          <t>N/A</t>
        </is>
      </c>
      <c r="D40" s="13" t="n"/>
      <c r="E40" s="13" t="n"/>
      <c r="F40" s="13" t="n"/>
    </row>
    <row r="41">
      <c r="A41" s="9" t="inlineStr">
        <is>
          <t>ROE CHANGE ATTRIBUTION CHECK</t>
        </is>
      </c>
      <c r="B41" s="9" t="inlineStr">
        <is>
          <t>N/A</t>
        </is>
      </c>
      <c r="C41" s="9" t="inlineStr">
        <is>
          <t>N/A</t>
        </is>
      </c>
      <c r="D41" s="9">
        <f>IF(OR(ISNA(D40),ISNA(D35)),"N/A",IF(ABS(D40-D35)&lt;0.0000001,"OK","CHECK"))</f>
        <v/>
      </c>
      <c r="E41" s="9">
        <f>IF(OR(ISNA(E40),ISNA(E35)),"N/A",IF(ABS(E40-E35)&lt;0.0000001,"OK","CHECK"))</f>
        <v/>
      </c>
      <c r="F41" s="9">
        <f>IF(OR(ISNA(F40),ISNA(F35)),"N/A",IF(ABS(F40-F35)&lt;0.0000001,"OK","CHECK"))</f>
        <v/>
      </c>
    </row>
    <row r="43">
      <c r="A43" s="9" t="inlineStr">
        <is>
          <t>FIXED-ASSET INTENSITY CONTEXT</t>
        </is>
      </c>
    </row>
    <row r="44">
      <c r="A44" s="9" t="inlineStr">
        <is>
          <t>Property, Plant &amp; Equipment</t>
        </is>
      </c>
      <c r="B44" s="14" t="n"/>
      <c r="C44" s="14" t="n"/>
      <c r="D44" s="14" t="n"/>
      <c r="E44" s="14" t="n"/>
      <c r="F44" s="14" t="n"/>
    </row>
    <row r="45">
      <c r="A45" s="9" t="inlineStr">
        <is>
          <t>Depreciation &amp; Amortisation</t>
        </is>
      </c>
      <c r="B45" s="14" t="n"/>
      <c r="C45" s="14" t="n"/>
      <c r="D45" s="14" t="n"/>
      <c r="E45" s="14" t="n"/>
      <c r="F45" s="14" t="n"/>
    </row>
    <row r="46">
      <c r="A46" s="9" t="inlineStr">
        <is>
          <t>Average PP&amp;E</t>
        </is>
      </c>
      <c r="B46" s="9" t="inlineStr">
        <is>
          <t>N/A</t>
        </is>
      </c>
      <c r="C46" s="14" t="n"/>
      <c r="D46" s="14" t="n"/>
      <c r="E46" s="14" t="n"/>
      <c r="F46" s="14" t="n"/>
    </row>
    <row r="47">
      <c r="A47" s="9" t="inlineStr">
        <is>
          <t>PP&amp;E Turnover</t>
        </is>
      </c>
      <c r="B47" s="9" t="inlineStr">
        <is>
          <t>N/A</t>
        </is>
      </c>
      <c r="C47" s="15" t="n"/>
      <c r="D47" s="15" t="n"/>
      <c r="E47" s="15" t="n"/>
      <c r="F47" s="15" t="n"/>
    </row>
    <row r="48">
      <c r="A48" s="9" t="inlineStr">
        <is>
          <t>PP&amp;E Intensity</t>
        </is>
      </c>
      <c r="B48" s="9" t="inlineStr">
        <is>
          <t>N/A</t>
        </is>
      </c>
      <c r="C48" s="13" t="n"/>
      <c r="D48" s="13" t="n"/>
      <c r="E48" s="13" t="n"/>
      <c r="F48" s="13" t="n"/>
    </row>
    <row r="49">
      <c r="A49" s="9" t="inlineStr">
        <is>
          <t>Change in PP&amp;E</t>
        </is>
      </c>
      <c r="B49" s="9" t="inlineStr">
        <is>
          <t>N/A</t>
        </is>
      </c>
      <c r="C49" s="14" t="n"/>
      <c r="D49" s="14" t="n"/>
      <c r="E49" s="14" t="n"/>
      <c r="F49" s="14" t="n"/>
    </row>
    <row r="50">
      <c r="A50" s="9" t="inlineStr">
        <is>
          <t>D&amp;A / Revenue</t>
        </is>
      </c>
      <c r="B50" s="13" t="n"/>
      <c r="C50" s="13" t="n"/>
      <c r="D50" s="13" t="n"/>
      <c r="E50" s="13" t="n"/>
      <c r="F50" s="13" t="n"/>
    </row>
    <row r="51">
      <c r="A51" s="9" t="inlineStr">
        <is>
          <t>D&amp;A / Average PP&amp;E</t>
        </is>
      </c>
      <c r="B51" s="9" t="inlineStr">
        <is>
          <t>N/A</t>
        </is>
      </c>
      <c r="C51" s="13" t="n"/>
      <c r="D51" s="13" t="n"/>
      <c r="E51" s="13" t="n"/>
      <c r="F51" s="13" t="n"/>
    </row>
    <row r="52">
      <c r="A52" s="9" t="inlineStr">
        <is>
          <t>FIXED-ASSET INTENSITY CHECK</t>
        </is>
      </c>
      <c r="B52" s="9" t="inlineStr">
        <is>
          <t>N/A</t>
        </is>
      </c>
      <c r="C52" s="9">
        <f>IF(OR(ISNA(C47),ISNA(C48)),"N/A",IF(ABS(C47*C48-1)&lt;0.0000001,"OK","CHECK"))</f>
        <v/>
      </c>
      <c r="D52" s="9">
        <f>IF(OR(ISNA(D47),ISNA(D48)),"N/A",IF(ABS(D47*D48-1)&lt;0.0000001,"OK","CHECK"))</f>
        <v/>
      </c>
      <c r="E52" s="9">
        <f>IF(OR(ISNA(E47),ISNA(E48)),"N/A",IF(ABS(E47*E48-1)&lt;0.0000001,"OK","CHECK"))</f>
        <v/>
      </c>
      <c r="F52" s="9">
        <f>IF(OR(ISNA(F47),ISNA(F48)),"N/A",IF(ABS(F47*F48-1)&lt;0.0000001,"OK","CHECK"))</f>
        <v/>
      </c>
    </row>
    <row r="54">
      <c r="A54" s="9" t="inlineStr">
        <is>
          <t>LEASE LIABILITY CONTEXT</t>
        </is>
      </c>
    </row>
    <row r="55">
      <c r="A55" s="9" t="inlineStr">
        <is>
          <t>Lease Liability</t>
        </is>
      </c>
      <c r="B55" s="14" t="n"/>
      <c r="C55" s="14" t="n"/>
      <c r="D55" s="14" t="n"/>
      <c r="E55" s="14" t="n"/>
      <c r="F55" s="14" t="n"/>
    </row>
    <row r="56">
      <c r="A56" s="9" t="inlineStr">
        <is>
          <t>Lease Liability / Revenue</t>
        </is>
      </c>
      <c r="B56" s="13" t="n"/>
      <c r="C56" s="13" t="n"/>
      <c r="D56" s="13" t="n"/>
      <c r="E56" s="13" t="n"/>
      <c r="F56" s="13" t="n"/>
    </row>
    <row r="57">
      <c r="A57" s="9" t="inlineStr">
        <is>
          <t>Change in Lease Liability</t>
        </is>
      </c>
      <c r="B57" s="9" t="inlineStr">
        <is>
          <t>N/A</t>
        </is>
      </c>
      <c r="C57" s="14" t="n"/>
      <c r="D57" s="14" t="n"/>
      <c r="E57" s="14" t="n"/>
      <c r="F57" s="14" t="n"/>
    </row>
    <row r="58">
      <c r="A58" s="9" t="inlineStr">
        <is>
          <t>Lease Liability Growth</t>
        </is>
      </c>
      <c r="B58" s="9" t="inlineStr">
        <is>
          <t>N/A</t>
        </is>
      </c>
      <c r="C58" s="13" t="n"/>
      <c r="D58" s="13" t="n"/>
      <c r="E58" s="13" t="n"/>
      <c r="F58" s="1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36" customWidth="1" min="3" max="3"/>
    <col width="28" customWidth="1" min="4" max="4"/>
    <col width="32" customWidth="1" min="5" max="5"/>
    <col width="28" customWidth="1" min="6" max="6"/>
    <col width="40" customWidth="1" min="7" max="7"/>
    <col width="44" customWidth="1" min="8" max="8"/>
  </cols>
  <sheetData>
    <row r="1">
      <c r="A1" s="9" t="inlineStr">
        <is>
          <t>Accounting Judgment</t>
        </is>
      </c>
    </row>
    <row r="2">
      <c r="A2" s="9" t="inlineStr">
        <is>
          <t>The supplied treatment is the model's reference treatment, not a universal accounting truth. Compare it with the listed alternative(s), choose the treatment you would defend, and explain the economic consequence.</t>
        </is>
      </c>
    </row>
    <row r="3">
      <c r="A3" s="9" t="inlineStr">
        <is>
          <t>Choose a treatment in column F only. That choice drives the matching Condensed Financials classification and downstream historical schedules; leaving F blank uses the supplied reference treatment. Columns D:E are display context and must not be edited. Enter your rationale and economic consequence in G:H. Formula Check grades formula cells against the treatment currently selected in F and validates that the generated classification links remain intact; it does not grade the judgment response itself. Do not edit the linked Condensed Financials classification cell directly.</t>
        </is>
      </c>
    </row>
    <row r="4">
      <c r="A4" s="9" t="inlineStr">
        <is>
          <t>Order</t>
        </is>
      </c>
      <c r="B4" s="9" t="inlineStr">
        <is>
          <t>Line item</t>
        </is>
      </c>
      <c r="C4" s="9" t="inlineStr">
        <is>
          <t>Topic</t>
        </is>
      </c>
      <c r="D4" s="9" t="inlineStr">
        <is>
          <t>Supplied reference treatment</t>
        </is>
      </c>
      <c r="E4" s="9" t="inlineStr">
        <is>
          <t>Alternative(s) to evaluate</t>
        </is>
      </c>
      <c r="F4" s="9" t="inlineStr">
        <is>
          <t>Treatment to defend</t>
        </is>
      </c>
      <c r="G4" s="9" t="inlineStr">
        <is>
          <t>Rationale</t>
        </is>
      </c>
      <c r="H4" s="9" t="inlineStr">
        <is>
          <t>Economic consequence</t>
        </is>
      </c>
    </row>
    <row r="5">
      <c r="A5" s="9" t="n">
        <v>1</v>
      </c>
      <c r="B5" s="9" t="inlineStr">
        <is>
          <t>Operating lease liabilities</t>
        </is>
      </c>
      <c r="C5" s="9" t="inlineStr">
        <is>
          <t>Lease liability operating vs financing</t>
        </is>
      </c>
      <c r="D5" s="9" t="inlineStr">
        <is>
          <t>Operating Long-Term Liability</t>
        </is>
      </c>
      <c r="E5" s="9" t="inlineStr">
        <is>
          <t>Financial Liability</t>
        </is>
      </c>
      <c r="F5" s="16" t="n"/>
      <c r="G5" s="16" t="n"/>
      <c r="H5" s="16" t="n"/>
    </row>
  </sheetData>
  <dataValidations count="1">
    <dataValidation sqref="F5" showDropDown="0" showInputMessage="0" showErrorMessage="0" allowBlank="1" type="list">
      <formula1>"Operating Long-Term Liability,Financial Liability"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36" customWidth="1" min="3" max="3"/>
    <col width="28" customWidth="1" min="4" max="4"/>
    <col width="32" customWidth="1" min="5" max="5"/>
    <col width="28" customWidth="1" min="6" max="6"/>
    <col width="40" customWidth="1" min="7" max="7"/>
    <col width="44" customWidth="1" min="8" max="8"/>
  </cols>
  <sheetData>
    <row r="1">
      <c r="A1" s="9" t="inlineStr">
        <is>
          <t>Normalization Judgment</t>
        </is>
      </c>
    </row>
    <row r="2">
      <c r="A2" s="9" t="inlineStr">
        <is>
          <t>The supplied treatment is the model's reference convention, not a universal truth. Decide whether each supplied candidate should remain in recurring earnings or be normalized out.</t>
        </is>
      </c>
    </row>
    <row r="3">
      <c r="A3" s="9" t="inlineStr">
        <is>
          <t>Choose the treatment in column F. Blank F uses the supplied reference treatment. G:H are ungraded reasoning. Do not edit the generated Earnings Normalization treatment link directly.</t>
        </is>
      </c>
    </row>
    <row r="4">
      <c r="A4" s="9" t="inlineStr">
        <is>
          <t>Order</t>
        </is>
      </c>
      <c r="B4" s="9" t="inlineStr">
        <is>
          <t>Line item</t>
        </is>
      </c>
      <c r="C4" s="9" t="inlineStr">
        <is>
          <t>Scope</t>
        </is>
      </c>
      <c r="D4" s="9" t="inlineStr">
        <is>
          <t>Supplied reference treatment</t>
        </is>
      </c>
      <c r="E4" s="9" t="inlineStr">
        <is>
          <t>Alternative to evaluate</t>
        </is>
      </c>
      <c r="F4" s="9" t="inlineStr">
        <is>
          <t>Treatment to defend</t>
        </is>
      </c>
      <c r="G4" s="9" t="inlineStr">
        <is>
          <t>Rationale</t>
        </is>
      </c>
      <c r="H4" s="9" t="inlineStr">
        <is>
          <t>Economic consequence</t>
        </is>
      </c>
    </row>
    <row r="5">
      <c r="A5" s="9" t="n">
        <v>1</v>
      </c>
      <c r="B5" s="9" t="inlineStr">
        <is>
          <t>Restructuring expense</t>
        </is>
      </c>
      <c r="C5" s="9" t="inlineStr">
        <is>
          <t>operating_pretax_effective_tax</t>
        </is>
      </c>
      <c r="D5" s="9" t="inlineStr">
        <is>
          <t>Non-recurring</t>
        </is>
      </c>
      <c r="E5" s="9" t="inlineStr">
        <is>
          <t>Recurring</t>
        </is>
      </c>
      <c r="F5" s="16" t="n"/>
      <c r="G5" s="16" t="n"/>
      <c r="H5" s="16" t="n"/>
    </row>
  </sheetData>
  <dataValidations count="1">
    <dataValidation sqref="F5" showDropDown="0" showInputMessage="0" showErrorMessage="0" allowBlank="1" type="list">
      <formula1>"Non-recurring,Recurring"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9" t="inlineStr">
        <is>
          <t>Earnings Normalization</t>
        </is>
      </c>
    </row>
    <row r="2">
      <c r="A2" s="9" t="inlineStr">
        <is>
          <t>Reported statements stay unchanged. Bridge reported NOPAT / Net Income to normalized earnings using the treatments chosen on Normalization Judgment.</t>
        </is>
      </c>
    </row>
    <row r="4">
      <c r="A4" s="9" t="inlineStr">
        <is>
          <t>Line item</t>
        </is>
      </c>
      <c r="B4" s="9" t="inlineStr">
        <is>
          <t>Treatment</t>
        </is>
      </c>
      <c r="C4" s="10" t="n">
        <v>44561</v>
      </c>
      <c r="D4" s="10" t="n">
        <v>44926</v>
      </c>
      <c r="E4" s="10" t="n">
        <v>45291</v>
      </c>
      <c r="F4" s="10" t="n">
        <v>45657</v>
      </c>
      <c r="G4" s="10" t="n">
        <v>46022</v>
      </c>
    </row>
    <row r="5">
      <c r="A5" s="9" t="inlineStr">
        <is>
          <t>Restructuring expense</t>
        </is>
      </c>
      <c r="B5" s="9">
        <f>IF('Normalization Judgment'!$F$5="","Non-recurring",'Normalization Judgment'!$F$5)</f>
        <v/>
      </c>
      <c r="C5" s="11">
        <f>'Income Statement'!B11</f>
        <v/>
      </c>
      <c r="D5" s="11">
        <f>'Income Statement'!C11</f>
        <v/>
      </c>
      <c r="E5" s="11">
        <f>'Income Statement'!D11</f>
        <v/>
      </c>
      <c r="F5" s="11">
        <f>'Income Statement'!E11</f>
        <v/>
      </c>
      <c r="G5" s="11">
        <f>'Income Statement'!F11</f>
        <v/>
      </c>
    </row>
    <row r="7">
      <c r="A7" s="9" t="inlineStr">
        <is>
          <t>Reported NOPAT</t>
        </is>
      </c>
      <c r="C7" s="11">
        <f>'Condensed Financials'!B28</f>
        <v/>
      </c>
      <c r="D7" s="11">
        <f>'Condensed Financials'!C28</f>
        <v/>
      </c>
      <c r="E7" s="11">
        <f>'Condensed Financials'!D28</f>
        <v/>
      </c>
      <c r="F7" s="11">
        <f>'Condensed Financials'!E28</f>
        <v/>
      </c>
      <c r="G7" s="11">
        <f>'Condensed Financials'!F28</f>
        <v/>
      </c>
    </row>
    <row r="8">
      <c r="A8" s="9" t="inlineStr">
        <is>
          <t>Reported Net Income</t>
        </is>
      </c>
      <c r="C8" s="11">
        <f>'Condensed Financials'!B20</f>
        <v/>
      </c>
      <c r="D8" s="11">
        <f>'Condensed Financials'!C20</f>
        <v/>
      </c>
      <c r="E8" s="11">
        <f>'Condensed Financials'!D20</f>
        <v/>
      </c>
      <c r="F8" s="11">
        <f>'Condensed Financials'!E20</f>
        <v/>
      </c>
      <c r="G8" s="11">
        <f>'Condensed Financials'!F20</f>
        <v/>
      </c>
    </row>
    <row r="9">
      <c r="A9" s="9" t="inlineStr">
        <is>
          <t>Pretax Normalization Adjustment</t>
        </is>
      </c>
      <c r="C9" s="14" t="n"/>
      <c r="D9" s="14" t="n"/>
      <c r="E9" s="14" t="n"/>
      <c r="F9" s="14" t="n"/>
      <c r="G9" s="14" t="n"/>
    </row>
    <row r="10">
      <c r="A10" s="9" t="inlineStr">
        <is>
          <t>Effective Tax Rate</t>
        </is>
      </c>
      <c r="C10" s="17">
        <f>'Condensed Financials'!B25</f>
        <v/>
      </c>
      <c r="D10" s="17">
        <f>'Condensed Financials'!C25</f>
        <v/>
      </c>
      <c r="E10" s="17">
        <f>'Condensed Financials'!D25</f>
        <v/>
      </c>
      <c r="F10" s="17">
        <f>'Condensed Financials'!E25</f>
        <v/>
      </c>
      <c r="G10" s="17">
        <f>'Condensed Financials'!F25</f>
        <v/>
      </c>
    </row>
    <row r="11">
      <c r="A11" s="9" t="inlineStr">
        <is>
          <t>After-tax Normalization Adjustment</t>
        </is>
      </c>
      <c r="C11" s="14" t="n"/>
      <c r="D11" s="14" t="n"/>
      <c r="E11" s="14" t="n"/>
      <c r="F11" s="14" t="n"/>
      <c r="G11" s="14" t="n"/>
    </row>
    <row r="12">
      <c r="A12" s="9" t="inlineStr">
        <is>
          <t>Normalized NOPAT</t>
        </is>
      </c>
      <c r="C12" s="14" t="n"/>
      <c r="D12" s="14" t="n"/>
      <c r="E12" s="14" t="n"/>
      <c r="F12" s="14" t="n"/>
      <c r="G12" s="14" t="n"/>
    </row>
    <row r="13">
      <c r="A13" s="9" t="inlineStr">
        <is>
          <t>Normalized Net Income</t>
        </is>
      </c>
      <c r="C13" s="14" t="n"/>
      <c r="D13" s="14" t="n"/>
      <c r="E13" s="14" t="n"/>
      <c r="F13" s="14" t="n"/>
      <c r="G13" s="14" t="n"/>
    </row>
    <row r="14">
      <c r="A14" s="9" t="inlineStr">
        <is>
          <t>NORMALIZATION CHECK</t>
        </is>
      </c>
      <c r="C14" s="9">
        <f>IF(AND(ABS((C12-C7)-C11)&lt;0.01,ABS((C13-C8)-C11)&lt;0.01),"OK","CHECK")</f>
        <v/>
      </c>
      <c r="D14" s="9">
        <f>IF(AND(ABS((D12-D7)-D11)&lt;0.01,ABS((D13-D8)-D11)&lt;0.01),"OK","CHECK")</f>
        <v/>
      </c>
      <c r="E14" s="9">
        <f>IF(AND(ABS((E12-E7)-E11)&lt;0.01,ABS((E13-E8)-E11)&lt;0.01),"OK","CHECK")</f>
        <v/>
      </c>
      <c r="F14" s="9">
        <f>IF(AND(ABS((F12-F7)-F11)&lt;0.01,ABS((F13-F8)-F11)&lt;0.01),"OK","CHECK")</f>
        <v/>
      </c>
      <c r="G14" s="9">
        <f>IF(AND(ABS((G12-G7)-G11)&lt;0.01,ABS((G13-G8)-G11)&lt;0.01),"OK","CHECK")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9" t="inlineStr">
        <is>
          <t>Demo Holdings Limited — Earnings Quality</t>
        </is>
      </c>
    </row>
    <row r="2">
      <c r="A2" s="9" t="inlineStr">
        <is>
          <t>Historical cash-conversion and accrual diagnostics. These are mechanical diagnostics, not an automatic quality score.</t>
        </is>
      </c>
    </row>
    <row r="4">
      <c r="A4" s="9" t="inlineStr">
        <is>
          <t>Metric</t>
        </is>
      </c>
      <c r="B4" s="10" t="n">
        <v>44561</v>
      </c>
      <c r="C4" s="10" t="n">
        <v>44926</v>
      </c>
      <c r="D4" s="10" t="n">
        <v>45291</v>
      </c>
      <c r="E4" s="10" t="n">
        <v>45657</v>
      </c>
      <c r="F4" s="10" t="n">
        <v>46022</v>
      </c>
    </row>
    <row r="5">
      <c r="A5" s="9" t="inlineStr">
        <is>
          <t>Operating Cash Flow</t>
        </is>
      </c>
      <c r="B5" s="14" t="n"/>
      <c r="C5" s="14" t="n"/>
      <c r="D5" s="14" t="n"/>
      <c r="E5" s="14" t="n"/>
      <c r="F5" s="14" t="n"/>
    </row>
    <row r="6">
      <c r="A6" s="9" t="inlineStr">
        <is>
          <t>Reported Net Income</t>
        </is>
      </c>
      <c r="B6" s="11">
        <f>'Condensed Financials'!B20</f>
        <v/>
      </c>
      <c r="C6" s="11">
        <f>'Condensed Financials'!C20</f>
        <v/>
      </c>
      <c r="D6" s="11">
        <f>'Condensed Financials'!D20</f>
        <v/>
      </c>
      <c r="E6" s="11">
        <f>'Condensed Financials'!E20</f>
        <v/>
      </c>
      <c r="F6" s="11">
        <f>'Condensed Financials'!F20</f>
        <v/>
      </c>
    </row>
    <row r="7">
      <c r="A7" s="9" t="inlineStr">
        <is>
          <t>Cash Conversion Ratio</t>
        </is>
      </c>
      <c r="B7" s="15" t="n"/>
      <c r="C7" s="15" t="n"/>
      <c r="D7" s="15" t="n"/>
      <c r="E7" s="15" t="n"/>
      <c r="F7" s="15" t="n"/>
    </row>
    <row r="8">
      <c r="A8" s="9" t="inlineStr">
        <is>
          <t>Total Accruals (Net Income - CFO)</t>
        </is>
      </c>
      <c r="B8" s="14" t="n"/>
      <c r="C8" s="14" t="n"/>
      <c r="D8" s="14" t="n"/>
      <c r="E8" s="14" t="n"/>
      <c r="F8" s="14" t="n"/>
    </row>
    <row r="10">
      <c r="A10" s="9" t="inlineStr">
        <is>
          <t>Total Assets</t>
        </is>
      </c>
      <c r="B10" s="11">
        <f>'Balance Sheet'!B13</f>
        <v/>
      </c>
      <c r="C10" s="11">
        <f>'Balance Sheet'!C13</f>
        <v/>
      </c>
      <c r="D10" s="11">
        <f>'Balance Sheet'!D13</f>
        <v/>
      </c>
      <c r="E10" s="11">
        <f>'Balance Sheet'!E13</f>
        <v/>
      </c>
      <c r="F10" s="11">
        <f>'Balance Sheet'!F13</f>
        <v/>
      </c>
    </row>
    <row r="11">
      <c r="A11" s="9" t="inlineStr">
        <is>
          <t>Average Total Assets</t>
        </is>
      </c>
      <c r="C11" s="14" t="n"/>
      <c r="D11" s="14" t="n"/>
      <c r="E11" s="14" t="n"/>
      <c r="F11" s="14" t="n"/>
    </row>
    <row r="12">
      <c r="A12" s="9" t="inlineStr">
        <is>
          <t>Accrual Ratio</t>
        </is>
      </c>
      <c r="C12" s="13" t="n"/>
      <c r="D12" s="13" t="n"/>
      <c r="E12" s="13" t="n"/>
      <c r="F12" s="13" t="n"/>
    </row>
    <row r="14">
      <c r="A14" s="9" t="inlineStr">
        <is>
          <t>EARNINGS QUALITY TREND DIAGNOSTICS</t>
        </is>
      </c>
    </row>
    <row r="15">
      <c r="A15" s="9" t="inlineStr">
        <is>
          <t>Change in Operating Cash Flow</t>
        </is>
      </c>
      <c r="B15" s="9" t="inlineStr">
        <is>
          <t>N/A</t>
        </is>
      </c>
      <c r="C15" s="14" t="n"/>
      <c r="D15" s="14" t="n"/>
      <c r="E15" s="14" t="n"/>
      <c r="F15" s="14" t="n"/>
    </row>
    <row r="16">
      <c r="A16" s="9" t="inlineStr">
        <is>
          <t>Change in Cash Conversion Ratio</t>
        </is>
      </c>
      <c r="B16" s="9" t="inlineStr">
        <is>
          <t>N/A</t>
        </is>
      </c>
      <c r="C16" s="15" t="n"/>
      <c r="D16" s="15" t="n"/>
      <c r="E16" s="15" t="n"/>
      <c r="F16" s="15" t="n"/>
    </row>
    <row r="17">
      <c r="A17" s="9" t="inlineStr">
        <is>
          <t>Change in Total Accruals</t>
        </is>
      </c>
      <c r="B17" s="9" t="inlineStr">
        <is>
          <t>N/A</t>
        </is>
      </c>
      <c r="C17" s="14" t="n"/>
      <c r="D17" s="14" t="n"/>
      <c r="E17" s="14" t="n"/>
      <c r="F17" s="14" t="n"/>
    </row>
    <row r="18">
      <c r="A18" s="9" t="inlineStr">
        <is>
          <t>Change in Accrual Ratio</t>
        </is>
      </c>
      <c r="B18" s="9" t="inlineStr">
        <is>
          <t>N/A</t>
        </is>
      </c>
      <c r="C18" s="9" t="inlineStr">
        <is>
          <t>N/A</t>
        </is>
      </c>
      <c r="D18" s="13" t="n"/>
      <c r="E18" s="13" t="n"/>
      <c r="F18" s="13" t="n"/>
    </row>
    <row r="19">
      <c r="A19" s="9" t="inlineStr">
        <is>
          <t>EARNINGS QUALITY CHANGE CHECK</t>
        </is>
      </c>
      <c r="B19" s="9" t="inlineStr">
        <is>
          <t>N/A</t>
        </is>
      </c>
      <c r="C19" s="9">
        <f>IF(ABS(C17-((C6-B6)-C15))&lt;0.01,"OK","CHECK")</f>
        <v/>
      </c>
      <c r="D19" s="9">
        <f>IF(ABS(D17-((D6-C6)-D15))&lt;0.01,"OK","CHECK")</f>
        <v/>
      </c>
      <c r="E19" s="9">
        <f>IF(ABS(E17-((E6-D6)-E15))&lt;0.01,"OK","CHECK")</f>
        <v/>
      </c>
      <c r="F19" s="9">
        <f>IF(ABS(F17-((F6-E6)-F15))&lt;0.01,"OK","CHECK")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9" t="inlineStr">
        <is>
          <t>Working Capital Analysis</t>
        </is>
      </c>
    </row>
    <row r="2">
      <c r="A2" s="9" t="inlineStr">
        <is>
          <t>Relate classified operating working capital to Revenue and identify how much incremental NOWC accompanies changes in sales.</t>
        </is>
      </c>
    </row>
    <row r="3">
      <c r="A3" s="9" t="inlineStr">
        <is>
          <t>These are diagnostics, not automatic judgments. Positive Change in NOWC is an operating cash use; negative Change in NOWC is a release. Annual data alone does not prove seasonality or deterioration.</t>
        </is>
      </c>
    </row>
    <row r="5">
      <c r="A5" s="9" t="inlineStr">
        <is>
          <t>Metric</t>
        </is>
      </c>
      <c r="B5" s="10" t="n">
        <v>44561</v>
      </c>
      <c r="C5" s="10" t="n">
        <v>44926</v>
      </c>
      <c r="D5" s="10" t="n">
        <v>45291</v>
      </c>
      <c r="E5" s="10" t="n">
        <v>45657</v>
      </c>
      <c r="F5" s="10" t="n">
        <v>46022</v>
      </c>
    </row>
    <row r="6">
      <c r="A6" s="9" t="inlineStr">
        <is>
          <t>Revenue</t>
        </is>
      </c>
      <c r="B6" s="11">
        <f>'Condensed Financials'!B19</f>
        <v/>
      </c>
      <c r="C6" s="11">
        <f>'Condensed Financials'!C19</f>
        <v/>
      </c>
      <c r="D6" s="11">
        <f>'Condensed Financials'!D19</f>
        <v/>
      </c>
      <c r="E6" s="11">
        <f>'Condensed Financials'!E19</f>
        <v/>
      </c>
      <c r="F6" s="11">
        <f>'Condensed Financials'!F19</f>
        <v/>
      </c>
    </row>
    <row r="7">
      <c r="A7" s="9" t="inlineStr">
        <is>
          <t>Operating Working Capital Assets</t>
        </is>
      </c>
      <c r="B7" s="11">
        <f>'Condensed Financials'!B31</f>
        <v/>
      </c>
      <c r="C7" s="11">
        <f>'Condensed Financials'!C31</f>
        <v/>
      </c>
      <c r="D7" s="11">
        <f>'Condensed Financials'!D31</f>
        <v/>
      </c>
      <c r="E7" s="11">
        <f>'Condensed Financials'!E31</f>
        <v/>
      </c>
      <c r="F7" s="11">
        <f>'Condensed Financials'!F31</f>
        <v/>
      </c>
    </row>
    <row r="8">
      <c r="A8" s="9" t="inlineStr">
        <is>
          <t>Operating Working Capital Liabilities</t>
        </is>
      </c>
      <c r="B8" s="11">
        <f>'Condensed Financials'!B32</f>
        <v/>
      </c>
      <c r="C8" s="11">
        <f>'Condensed Financials'!C32</f>
        <v/>
      </c>
      <c r="D8" s="11">
        <f>'Condensed Financials'!D32</f>
        <v/>
      </c>
      <c r="E8" s="11">
        <f>'Condensed Financials'!E32</f>
        <v/>
      </c>
      <c r="F8" s="11">
        <f>'Condensed Financials'!F32</f>
        <v/>
      </c>
    </row>
    <row r="9">
      <c r="A9" s="9" t="inlineStr">
        <is>
          <t>NOWC</t>
        </is>
      </c>
      <c r="B9" s="11">
        <f>'Condensed Financials'!B33</f>
        <v/>
      </c>
      <c r="C9" s="11">
        <f>'Condensed Financials'!C33</f>
        <v/>
      </c>
      <c r="D9" s="11">
        <f>'Condensed Financials'!D33</f>
        <v/>
      </c>
      <c r="E9" s="11">
        <f>'Condensed Financials'!E33</f>
        <v/>
      </c>
      <c r="F9" s="11">
        <f>'Condensed Financials'!F33</f>
        <v/>
      </c>
    </row>
    <row r="11">
      <c r="A11" s="9" t="inlineStr">
        <is>
          <t>OWCA / Revenue</t>
        </is>
      </c>
      <c r="B11" s="13" t="n"/>
      <c r="C11" s="13" t="n"/>
      <c r="D11" s="13" t="n"/>
      <c r="E11" s="13" t="n"/>
      <c r="F11" s="13" t="n"/>
    </row>
    <row r="12">
      <c r="A12" s="9" t="inlineStr">
        <is>
          <t>OWCL / Revenue</t>
        </is>
      </c>
      <c r="B12" s="13" t="n"/>
      <c r="C12" s="13" t="n"/>
      <c r="D12" s="13" t="n"/>
      <c r="E12" s="13" t="n"/>
      <c r="F12" s="13" t="n"/>
    </row>
    <row r="13">
      <c r="A13" s="9" t="inlineStr">
        <is>
          <t>NOWC / Revenue</t>
        </is>
      </c>
      <c r="B13" s="13" t="n"/>
      <c r="C13" s="13" t="n"/>
      <c r="D13" s="13" t="n"/>
      <c r="E13" s="13" t="n"/>
      <c r="F13" s="13" t="n"/>
    </row>
    <row r="14">
      <c r="A14" s="9" t="inlineStr">
        <is>
          <t>Change in Revenue</t>
        </is>
      </c>
      <c r="B14" s="9" t="inlineStr">
        <is>
          <t>N/A</t>
        </is>
      </c>
      <c r="C14" s="14" t="n"/>
      <c r="D14" s="14" t="n"/>
      <c r="E14" s="14" t="n"/>
      <c r="F14" s="14" t="n"/>
    </row>
    <row r="15">
      <c r="A15" s="9" t="inlineStr">
        <is>
          <t>Change in NOWC</t>
        </is>
      </c>
      <c r="B15" s="9" t="inlineStr">
        <is>
          <t>N/A</t>
        </is>
      </c>
      <c r="C15" s="14" t="n"/>
      <c r="D15" s="14" t="n"/>
      <c r="E15" s="14" t="n"/>
      <c r="F15" s="14" t="n"/>
    </row>
    <row r="16">
      <c r="A16" s="9" t="inlineStr">
        <is>
          <t>Incremental NOWC / Change in Revenue</t>
        </is>
      </c>
      <c r="B16" s="9" t="inlineStr">
        <is>
          <t>N/A</t>
        </is>
      </c>
      <c r="C16" s="13" t="n"/>
      <c r="D16" s="13" t="n"/>
      <c r="E16" s="13" t="n"/>
      <c r="F16" s="13" t="n"/>
    </row>
    <row r="18">
      <c r="A18" s="9" t="inlineStr">
        <is>
          <t>WORKING-CAPITAL DRIVER DECOMPOSITION</t>
        </is>
      </c>
    </row>
    <row r="19">
      <c r="A19" s="9" t="inlineStr">
        <is>
          <t>Change in OWCA</t>
        </is>
      </c>
      <c r="B19" s="9" t="inlineStr">
        <is>
          <t>N/A</t>
        </is>
      </c>
      <c r="C19" s="14" t="n"/>
      <c r="D19" s="14" t="n"/>
      <c r="E19" s="14" t="n"/>
      <c r="F19" s="14" t="n"/>
    </row>
    <row r="20">
      <c r="A20" s="9" t="inlineStr">
        <is>
          <t>Change in OWCL</t>
        </is>
      </c>
      <c r="B20" s="9" t="inlineStr">
        <is>
          <t>N/A</t>
        </is>
      </c>
      <c r="C20" s="14" t="n"/>
      <c r="D20" s="14" t="n"/>
      <c r="E20" s="14" t="n"/>
      <c r="F20" s="14" t="n"/>
    </row>
    <row r="21">
      <c r="A21" s="9" t="inlineStr">
        <is>
          <t>Change in NOWC from Components</t>
        </is>
      </c>
      <c r="B21" s="9" t="inlineStr">
        <is>
          <t>N/A</t>
        </is>
      </c>
      <c r="C21" s="14" t="n"/>
      <c r="D21" s="14" t="n"/>
      <c r="E21" s="14" t="n"/>
      <c r="F21" s="14" t="n"/>
    </row>
    <row r="22">
      <c r="A22" s="9" t="inlineStr">
        <is>
          <t>Incremental OWCA / Change in Revenue</t>
        </is>
      </c>
      <c r="B22" s="9" t="inlineStr">
        <is>
          <t>N/A</t>
        </is>
      </c>
      <c r="C22" s="13" t="n"/>
      <c r="D22" s="13" t="n"/>
      <c r="E22" s="13" t="n"/>
      <c r="F22" s="13" t="n"/>
    </row>
    <row r="23">
      <c r="A23" s="9" t="inlineStr">
        <is>
          <t>Incremental OWCL / Change in Revenue</t>
        </is>
      </c>
      <c r="B23" s="9" t="inlineStr">
        <is>
          <t>N/A</t>
        </is>
      </c>
      <c r="C23" s="13" t="n"/>
      <c r="D23" s="13" t="n"/>
      <c r="E23" s="13" t="n"/>
      <c r="F23" s="13" t="n"/>
    </row>
    <row r="24">
      <c r="A24" s="9" t="inlineStr">
        <is>
          <t>DRIVER DECOMPOSITION CHECK</t>
        </is>
      </c>
      <c r="B24" s="9" t="inlineStr">
        <is>
          <t>N/A</t>
        </is>
      </c>
      <c r="C24" s="9">
        <f>IF(ABS(C21-C15)&lt;0.01,"OK","CHECK")</f>
        <v/>
      </c>
      <c r="D24" s="9">
        <f>IF(ABS(D21-D15)&lt;0.01,"OK","CHECK")</f>
        <v/>
      </c>
      <c r="E24" s="9">
        <f>IF(ABS(E21-E15)&lt;0.01,"OK","CHECK")</f>
        <v/>
      </c>
      <c r="F24" s="9">
        <f>IF(ABS(F21-F15)&lt;0.01,"OK","CHECK")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from historical-only v1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from historical-only v1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from historical-only v1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from historical-only 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2026-09-13T04:27:17Z</dcterms:created>
  <dcterms:modified xmlns:dcterms="http://purl.org/dc/terms/" xmlns:xsi="http://www.w3.org/2001/XMLSchema-instance" xsi:type="dcterms:W3CDTF">2026-09-13T04:27:17Z</dcterms:modified>
</cp:coreProperties>
</file>