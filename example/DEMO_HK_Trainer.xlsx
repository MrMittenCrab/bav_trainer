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er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 Statement" sheetId="4" state="visible" r:id="rId4"/>
    <sheet xmlns:r="http://schemas.openxmlformats.org/officeDocument/2006/relationships" name="Condensed Financials" sheetId="5" state="visible" r:id="rId5"/>
    <sheet xmlns:r="http://schemas.openxmlformats.org/officeDocument/2006/relationships" name="ALT DuPont" sheetId="6" state="visible" r:id="rId6"/>
    <sheet xmlns:r="http://schemas.openxmlformats.org/officeDocument/2006/relationships" name="Model_Bear" sheetId="7" state="visible" r:id="rId7"/>
    <sheet xmlns:r="http://schemas.openxmlformats.org/officeDocument/2006/relationships" name="Model_Base" sheetId="8" state="visible" r:id="rId8"/>
    <sheet xmlns:r="http://schemas.openxmlformats.org/officeDocument/2006/relationships" name="Model_Bull" sheetId="9" state="visible" r:id="rId9"/>
    <sheet xmlns:r="http://schemas.openxmlformats.org/officeDocument/2006/relationships" name="Scenario_Summary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mmm dd, yyyy"/>
    <numFmt numFmtId="165" formatCode="#,##0;(#,##0)"/>
    <numFmt numFmtId="166" formatCode="0.0%"/>
    <numFmt numFmtId="167" formatCode="0.0000"/>
  </numFmts>
  <fonts count="7">
    <font>
      <name val="Calibri"/>
      <family val="2"/>
      <color theme="1"/>
      <sz val="11"/>
      <scheme val="minor"/>
    </font>
    <font>
      <b val="1"/>
    </font>
    <font/>
    <font>
      <color rgb="000000FF"/>
    </font>
    <font>
      <name val="Aptos Narrow"/>
      <b val="1"/>
      <color rgb="00000000"/>
      <sz val="20"/>
    </font>
    <font>
      <name val="Aptos Narrow"/>
      <color rgb="00000000"/>
      <sz val="11"/>
    </font>
    <font>
      <name val="Aptos Narrow"/>
      <b val="1"/>
      <color rgb="00000000"/>
      <sz val="11"/>
    </font>
  </fonts>
  <fills count="6">
    <fill>
      <patternFill/>
    </fill>
    <fill>
      <patternFill patternType="gray125"/>
    </fill>
    <fill>
      <patternFill patternType="solid">
        <fgColor rgb="00D9EAD3"/>
      </patternFill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165" fontId="0" fillId="2" borderId="0" pivotButton="0" quotePrefix="0" xfId="0"/>
    <xf numFmtId="0" fontId="0" fillId="3" borderId="0" pivotButton="0" quotePrefix="0" xfId="0"/>
    <xf numFmtId="166" fontId="3" fillId="0" borderId="0" pivotButton="0" quotePrefix="0" xfId="0"/>
    <xf numFmtId="167" fontId="0" fillId="0" borderId="0" pivotButton="0" quotePrefix="0" xfId="0"/>
    <xf numFmtId="165" fontId="3" fillId="0" borderId="0" pivotButton="0" quotePrefix="0" xfId="0"/>
    <xf numFmtId="167" fontId="0" fillId="2" borderId="0" pivotButton="0" quotePrefix="0" xfId="0"/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1" pivotButton="0" quotePrefix="0" xfId="0"/>
    <xf numFmtId="0" fontId="4" fillId="0" borderId="1" pivotButton="0" quotePrefix="0" xfId="0"/>
    <xf numFmtId="0" fontId="5" fillId="0" borderId="1" pivotButton="0" quotePrefix="0" xfId="0"/>
    <xf numFmtId="164" fontId="6" fillId="0" borderId="1" pivotButton="0" quotePrefix="0" xfId="0"/>
    <xf numFmtId="165" fontId="5" fillId="0" borderId="0" pivotButton="0" quotePrefix="0" xfId="0"/>
    <xf numFmtId="165" fontId="5" fillId="0" borderId="1" pivotButton="0" quotePrefix="0" xfId="0"/>
    <xf numFmtId="166" fontId="5" fillId="0" borderId="1" pivotButton="0" quotePrefix="0" xfId="0"/>
    <xf numFmtId="0" fontId="6" fillId="0" borderId="0" pivotButton="0" quotePrefix="0" xfId="0"/>
    <xf numFmtId="165" fontId="5" fillId="4" borderId="0" pivotButton="0" quotePrefix="0" xfId="0"/>
    <xf numFmtId="165" fontId="5" fillId="5" borderId="0" pivotButton="0" quotePrefix="0" xfId="0"/>
    <xf numFmtId="165" fontId="5" fillId="5" borderId="1" pivotButton="0" quotePrefix="0" xfId="0"/>
    <xf numFmtId="0" fontId="5" fillId="5" borderId="0" pivotButton="0" quotePrefix="0" xfId="0"/>
    <xf numFmtId="166" fontId="5" fillId="5" borderId="0" pivotButton="0" quotePrefix="0" xfId="0"/>
    <xf numFmtId="0" fontId="5" fillId="5" borderId="1" pivotButton="0" quotePrefix="0" xfId="0"/>
    <xf numFmtId="167" fontId="5" fillId="0" borderId="1" pivotButton="0" quotePrefix="0" xfId="0"/>
    <xf numFmtId="167" fontId="5" fillId="5" borderId="1" pivotButton="0" quotePrefix="0" xfId="0"/>
    <xf numFmtId="0" fontId="0" fillId="0" borderId="1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22" customWidth="1" min="3" max="3"/>
    <col width="8" customWidth="1" min="4" max="4"/>
    <col width="24" customWidth="1" min="5" max="5"/>
  </cols>
  <sheetData>
    <row r="1">
      <c r="A1" s="13" t="inlineStr">
        <is>
          <t>BAV Excel Trainer</t>
        </is>
      </c>
    </row>
    <row r="2">
      <c r="A2" s="14" t="inlineStr">
        <is>
          <t>Complete yellow practice cells in dependency order. Run Check to validate the whole workbook: blank cells stay yellow, correct cells turn green, and incorrect cells turn red. Open the matching Answer Key for the formula/input and Note hint.</t>
        </is>
      </c>
    </row>
    <row r="4">
      <c r="A4" s="15" t="inlineStr">
        <is>
          <t>Order</t>
        </is>
      </c>
      <c r="B4" s="15" t="inlineStr">
        <is>
          <t>Component</t>
        </is>
      </c>
      <c r="C4" s="15" t="inlineStr">
        <is>
          <t>Tab</t>
        </is>
      </c>
      <c r="D4" s="15" t="inlineStr">
        <is>
          <t>Cell</t>
        </is>
      </c>
      <c r="E4" s="15" t="inlineStr">
        <is>
          <t>Depends on</t>
        </is>
      </c>
    </row>
    <row r="5">
      <c r="A5" s="14" t="n">
        <v>1</v>
      </c>
      <c r="B5" s="14" t="inlineStr">
        <is>
          <t>NOPAT (latest fiscal year)</t>
        </is>
      </c>
      <c r="C5" s="14" t="inlineStr">
        <is>
          <t>Condensed Financials</t>
        </is>
      </c>
      <c r="D5" s="14" t="inlineStr">
        <is>
          <t>F26</t>
        </is>
      </c>
      <c r="E5" s="14" t="inlineStr">
        <is>
          <t>—</t>
        </is>
      </c>
    </row>
    <row r="6">
      <c r="A6" s="14" t="n">
        <v>2</v>
      </c>
      <c r="B6" s="14" t="inlineStr">
        <is>
          <t>Net Operating Working Capital (NOWC)</t>
        </is>
      </c>
      <c r="C6" s="14" t="inlineStr">
        <is>
          <t>Condensed Financials</t>
        </is>
      </c>
      <c r="D6" s="14" t="inlineStr">
        <is>
          <t>F31</t>
        </is>
      </c>
      <c r="E6" s="14" t="inlineStr">
        <is>
          <t>nopat_fy</t>
        </is>
      </c>
    </row>
    <row r="7">
      <c r="A7" s="14" t="n">
        <v>3</v>
      </c>
      <c r="B7" s="14" t="inlineStr">
        <is>
          <t>Net Operating Assets (NOA)</t>
        </is>
      </c>
      <c r="C7" s="14" t="inlineStr">
        <is>
          <t>Condensed Financials</t>
        </is>
      </c>
      <c r="D7" s="14" t="inlineStr">
        <is>
          <t>F35</t>
        </is>
      </c>
      <c r="E7" s="14" t="inlineStr">
        <is>
          <t>nowc_agg</t>
        </is>
      </c>
    </row>
    <row r="8">
      <c r="A8" s="14" t="n">
        <v>4</v>
      </c>
      <c r="B8" s="14" t="inlineStr">
        <is>
          <t>Net Debt</t>
        </is>
      </c>
      <c r="C8" s="14" t="inlineStr">
        <is>
          <t>Condensed Financials</t>
        </is>
      </c>
      <c r="D8" s="14" t="inlineStr">
        <is>
          <t>F38</t>
        </is>
      </c>
      <c r="E8" s="14" t="inlineStr">
        <is>
          <t>noa_agg</t>
        </is>
      </c>
    </row>
    <row r="9">
      <c r="A9" s="14" t="n">
        <v>5</v>
      </c>
      <c r="B9" s="14" t="inlineStr">
        <is>
          <t>Return on Net Operating Assets (RNOA)</t>
        </is>
      </c>
      <c r="C9" s="14" t="inlineStr">
        <is>
          <t>ALT DuPont</t>
        </is>
      </c>
      <c r="D9" s="14" t="inlineStr">
        <is>
          <t>E5</t>
        </is>
      </c>
      <c r="E9" s="14" t="inlineStr">
        <is>
          <t>nopat_fy, noa_agg</t>
        </is>
      </c>
    </row>
    <row r="10">
      <c r="A10" s="14" t="n">
        <v>6</v>
      </c>
      <c r="B10" s="14" t="inlineStr">
        <is>
          <t>Operating Spread (RNOA − After-tax CoD)</t>
        </is>
      </c>
      <c r="C10" s="14" t="inlineStr">
        <is>
          <t>ALT DuPont</t>
        </is>
      </c>
      <c r="D10" s="14" t="inlineStr">
        <is>
          <t>E7</t>
        </is>
      </c>
      <c r="E10" s="14" t="inlineStr">
        <is>
          <t>rnoa</t>
        </is>
      </c>
    </row>
    <row r="11">
      <c r="A11" s="14" t="n">
        <v>7</v>
      </c>
      <c r="B11" s="14" t="inlineStr">
        <is>
          <t>ROE decomposition</t>
        </is>
      </c>
      <c r="C11" s="14" t="inlineStr">
        <is>
          <t>ALT DuPont</t>
        </is>
      </c>
      <c r="D11" s="14" t="inlineStr">
        <is>
          <t>E9</t>
        </is>
      </c>
      <c r="E11" s="14" t="inlineStr">
        <is>
          <t>rnoa, spread</t>
        </is>
      </c>
    </row>
    <row r="12">
      <c r="A12" s="14" t="n">
        <v>8</v>
      </c>
      <c r="B12" s="14" t="inlineStr">
        <is>
          <t>Base case Y1 revenue forecast</t>
        </is>
      </c>
      <c r="C12" s="14" t="inlineStr">
        <is>
          <t>Model_Base</t>
        </is>
      </c>
      <c r="D12" s="14" t="inlineStr">
        <is>
          <t>G21</t>
        </is>
      </c>
      <c r="E12" s="14" t="inlineStr">
        <is>
          <t>nopat_fy</t>
        </is>
      </c>
    </row>
    <row r="13">
      <c r="A13" s="14" t="n">
        <v>9</v>
      </c>
      <c r="B13" s="14" t="inlineStr">
        <is>
          <t>Base case Y1 NOPAT</t>
        </is>
      </c>
      <c r="C13" s="14" t="inlineStr">
        <is>
          <t>Model_Base</t>
        </is>
      </c>
      <c r="D13" s="14" t="inlineStr">
        <is>
          <t>G27</t>
        </is>
      </c>
      <c r="E13" s="14" t="inlineStr">
        <is>
          <t>model_sales_y1</t>
        </is>
      </c>
    </row>
    <row r="14">
      <c r="A14" s="14" t="n">
        <v>10</v>
      </c>
      <c r="B14" s="14" t="inlineStr">
        <is>
          <t>Year 1 abnormal earnings</t>
        </is>
      </c>
      <c r="C14" s="14" t="inlineStr">
        <is>
          <t>Model_Base</t>
        </is>
      </c>
      <c r="D14" s="14" t="inlineStr">
        <is>
          <t>G29</t>
        </is>
      </c>
      <c r="E14" s="14" t="inlineStr">
        <is>
          <t>model_nopat_y1</t>
        </is>
      </c>
    </row>
    <row r="15">
      <c r="A15" s="14" t="n">
        <v>11</v>
      </c>
      <c r="B15" s="14" t="inlineStr">
        <is>
          <t>Terminal value (PV of abnormal earnings)</t>
        </is>
      </c>
      <c r="C15" s="14" t="inlineStr">
        <is>
          <t>Model_Base</t>
        </is>
      </c>
      <c r="D15" s="14" t="inlineStr">
        <is>
          <t>G37</t>
        </is>
      </c>
      <c r="E15" s="14" t="inlineStr">
        <is>
          <t>model_ae_y1</t>
        </is>
      </c>
    </row>
    <row r="16">
      <c r="A16" s="14" t="n">
        <v>12</v>
      </c>
      <c r="B16" s="14" t="inlineStr">
        <is>
          <t>Intrinsic value per share</t>
        </is>
      </c>
      <c r="C16" s="14" t="inlineStr">
        <is>
          <t>Model_Base</t>
        </is>
      </c>
      <c r="D16" s="14" t="inlineStr">
        <is>
          <t>G40</t>
        </is>
      </c>
      <c r="E16" s="14" t="inlineStr">
        <is>
          <t>model_tv</t>
        </is>
      </c>
    </row>
    <row r="17">
      <c r="A17" s="14" t="n">
        <v>13</v>
      </c>
      <c r="B17" s="14" t="inlineStr">
        <is>
          <t>Probability-weighted IVPS</t>
        </is>
      </c>
      <c r="C17" s="14" t="inlineStr">
        <is>
          <t>Scenario_Summary</t>
        </is>
      </c>
      <c r="D17" s="14" t="inlineStr">
        <is>
          <t>E8</t>
        </is>
      </c>
      <c r="E17" s="14" t="inlineStr">
        <is>
          <t>model_ivps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6" t="inlineStr">
        <is>
          <t>Company: Demo Holdings Limited (DEMO)</t>
        </is>
      </c>
    </row>
    <row r="2">
      <c r="A2" s="17" t="inlineStr">
        <is>
          <t>Statement: Income Statement</t>
        </is>
      </c>
    </row>
    <row r="3">
      <c r="A3" s="17" t="inlineStr">
        <is>
          <t>Units: HKD in Millions</t>
        </is>
      </c>
    </row>
    <row r="4">
      <c r="A4" s="17" t="inlineStr">
        <is>
          <t>Source: manual ingestion (HK)</t>
        </is>
      </c>
    </row>
    <row r="6">
      <c r="A6" s="15" t="inlineStr">
        <is>
          <t>Line Item</t>
        </is>
      </c>
      <c r="B6" s="18" t="n">
        <v>44561</v>
      </c>
      <c r="C6" s="18" t="n">
        <v>44926</v>
      </c>
      <c r="D6" s="18" t="n">
        <v>45291</v>
      </c>
      <c r="E6" s="18" t="n">
        <v>45657</v>
      </c>
      <c r="F6" s="18" t="n">
        <v>46022</v>
      </c>
    </row>
    <row r="7">
      <c r="A7" s="14" t="inlineStr">
        <is>
          <t>Revenue</t>
        </is>
      </c>
      <c r="B7" s="19" t="n">
        <v>8500</v>
      </c>
      <c r="C7" s="19" t="n">
        <v>9200</v>
      </c>
      <c r="D7" s="19" t="n">
        <v>10100</v>
      </c>
      <c r="E7" s="19" t="n">
        <v>11200</v>
      </c>
      <c r="F7" s="19" t="n">
        <v>12500</v>
      </c>
    </row>
    <row r="8">
      <c r="A8" s="17" t="inlineStr">
        <is>
          <t>Cost of sales</t>
        </is>
      </c>
      <c r="B8" s="20" t="n">
        <v>-3400</v>
      </c>
      <c r="C8" s="20" t="n">
        <v>-3680</v>
      </c>
      <c r="D8" s="20" t="n">
        <v>-4040</v>
      </c>
      <c r="E8" s="20" t="n">
        <v>-4480</v>
      </c>
      <c r="F8" s="20" t="n">
        <v>-5000</v>
      </c>
    </row>
    <row r="9">
      <c r="A9" s="17" t="inlineStr">
        <is>
          <t>Gross profit</t>
        </is>
      </c>
      <c r="B9" s="20" t="n">
        <v>5100</v>
      </c>
      <c r="C9" s="20" t="n">
        <v>5520</v>
      </c>
      <c r="D9" s="20" t="n">
        <v>6060</v>
      </c>
      <c r="E9" s="20" t="n">
        <v>6720</v>
      </c>
      <c r="F9" s="20" t="n">
        <v>7500</v>
      </c>
    </row>
    <row r="10">
      <c r="A10" s="17" t="inlineStr">
        <is>
          <t>Administrative expenses</t>
        </is>
      </c>
      <c r="B10" s="20" t="n">
        <v>-1700</v>
      </c>
      <c r="C10" s="20" t="n">
        <v>-1840</v>
      </c>
      <c r="D10" s="20" t="n">
        <v>-2020</v>
      </c>
      <c r="E10" s="20" t="n">
        <v>-2240</v>
      </c>
      <c r="F10" s="20" t="n">
        <v>-2500</v>
      </c>
    </row>
    <row r="11">
      <c r="A11" s="17" t="inlineStr">
        <is>
          <t>Operating profit</t>
        </is>
      </c>
      <c r="B11" s="20" t="n">
        <v>3400</v>
      </c>
      <c r="C11" s="20" t="n">
        <v>3680</v>
      </c>
      <c r="D11" s="20" t="n">
        <v>4040</v>
      </c>
      <c r="E11" s="20" t="n">
        <v>4480</v>
      </c>
      <c r="F11" s="20" t="n">
        <v>5000</v>
      </c>
    </row>
    <row r="12">
      <c r="A12" s="17" t="inlineStr">
        <is>
          <t>Finance costs</t>
        </is>
      </c>
      <c r="B12" s="20" t="n">
        <v>-120</v>
      </c>
      <c r="C12" s="20" t="n">
        <v>-130</v>
      </c>
      <c r="D12" s="20" t="n">
        <v>-140</v>
      </c>
      <c r="E12" s="20" t="n">
        <v>-150</v>
      </c>
      <c r="F12" s="20" t="n">
        <v>-160</v>
      </c>
    </row>
    <row r="13">
      <c r="A13" s="17" t="inlineStr">
        <is>
          <t>Finance income</t>
        </is>
      </c>
      <c r="B13" s="20" t="n">
        <v>45</v>
      </c>
      <c r="C13" s="20" t="n">
        <v>50</v>
      </c>
      <c r="D13" s="20" t="n">
        <v>55</v>
      </c>
      <c r="E13" s="20" t="n">
        <v>60</v>
      </c>
      <c r="F13" s="20" t="n">
        <v>65</v>
      </c>
    </row>
    <row r="14">
      <c r="A14" s="17" t="inlineStr">
        <is>
          <t>Profit before tax</t>
        </is>
      </c>
      <c r="B14" s="20" t="n">
        <v>3325</v>
      </c>
      <c r="C14" s="20" t="n">
        <v>3600</v>
      </c>
      <c r="D14" s="20" t="n">
        <v>3955</v>
      </c>
      <c r="E14" s="20" t="n">
        <v>4390</v>
      </c>
      <c r="F14" s="20" t="n">
        <v>4905</v>
      </c>
    </row>
    <row r="15">
      <c r="A15" s="17" t="inlineStr">
        <is>
          <t>Income tax expense</t>
        </is>
      </c>
      <c r="B15" s="20" t="n">
        <v>-565</v>
      </c>
      <c r="C15" s="20" t="n">
        <v>-612</v>
      </c>
      <c r="D15" s="20" t="n">
        <v>-672</v>
      </c>
      <c r="E15" s="20" t="n">
        <v>-746</v>
      </c>
      <c r="F15" s="20" t="n">
        <v>-833</v>
      </c>
    </row>
    <row r="16">
      <c r="A16" s="17" t="inlineStr">
        <is>
          <t>Profit for the year</t>
        </is>
      </c>
      <c r="B16" s="20" t="n">
        <v>2760</v>
      </c>
      <c r="C16" s="20" t="n">
        <v>2988</v>
      </c>
      <c r="D16" s="20" t="n">
        <v>3283</v>
      </c>
      <c r="E16" s="20" t="n">
        <v>3644</v>
      </c>
      <c r="F16" s="20" t="n">
        <v>4072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6" t="inlineStr">
        <is>
          <t>Company: Demo Holdings Limited (DEMO)</t>
        </is>
      </c>
    </row>
    <row r="2">
      <c r="A2" s="17" t="inlineStr">
        <is>
          <t>Statement: Balance Sheet</t>
        </is>
      </c>
    </row>
    <row r="3">
      <c r="A3" s="17" t="inlineStr">
        <is>
          <t>Units: HKD in Millions</t>
        </is>
      </c>
    </row>
    <row r="4">
      <c r="A4" s="17" t="inlineStr">
        <is>
          <t>Source: manual ingestion (HK)</t>
        </is>
      </c>
    </row>
    <row r="6">
      <c r="A6" s="15" t="inlineStr">
        <is>
          <t>Line Item</t>
        </is>
      </c>
      <c r="B6" s="18" t="n">
        <v>44561</v>
      </c>
      <c r="C6" s="18" t="n">
        <v>44926</v>
      </c>
      <c r="D6" s="18" t="n">
        <v>45291</v>
      </c>
      <c r="E6" s="18" t="n">
        <v>45657</v>
      </c>
      <c r="F6" s="18" t="n">
        <v>46022</v>
      </c>
    </row>
    <row r="7">
      <c r="A7" s="17" t="inlineStr">
        <is>
          <t>Cash and cash equivalents</t>
        </is>
      </c>
      <c r="B7" s="20" t="n">
        <v>1200</v>
      </c>
      <c r="C7" s="20" t="n">
        <v>1350</v>
      </c>
      <c r="D7" s="20" t="n">
        <v>1500</v>
      </c>
      <c r="E7" s="20" t="n">
        <v>1680</v>
      </c>
      <c r="F7" s="20" t="n">
        <v>1850</v>
      </c>
    </row>
    <row r="8">
      <c r="A8" s="17" t="inlineStr">
        <is>
          <t>Trade receivables</t>
        </is>
      </c>
      <c r="B8" s="20" t="n">
        <v>850</v>
      </c>
      <c r="C8" s="20" t="n">
        <v>920</v>
      </c>
      <c r="D8" s="20" t="n">
        <v>1010</v>
      </c>
      <c r="E8" s="20" t="n">
        <v>1120</v>
      </c>
      <c r="F8" s="20" t="n">
        <v>1250</v>
      </c>
    </row>
    <row r="9">
      <c r="A9" s="14" t="inlineStr">
        <is>
          <t>Inventories</t>
        </is>
      </c>
      <c r="B9" s="19" t="n">
        <v>680</v>
      </c>
      <c r="C9" s="19" t="n">
        <v>736</v>
      </c>
      <c r="D9" s="19" t="n">
        <v>808</v>
      </c>
      <c r="E9" s="19" t="n">
        <v>896</v>
      </c>
      <c r="F9" s="19" t="n">
        <v>1000</v>
      </c>
    </row>
    <row r="10">
      <c r="A10" s="17" t="inlineStr">
        <is>
          <t>Property, plant and equipment</t>
        </is>
      </c>
      <c r="B10" s="20" t="n">
        <v>3200</v>
      </c>
      <c r="C10" s="20" t="n">
        <v>3400</v>
      </c>
      <c r="D10" s="20" t="n">
        <v>3600</v>
      </c>
      <c r="E10" s="20" t="n">
        <v>3800</v>
      </c>
      <c r="F10" s="20" t="n">
        <v>4000</v>
      </c>
    </row>
    <row r="11">
      <c r="A11" s="14" t="inlineStr">
        <is>
          <t>Goodwill</t>
        </is>
      </c>
      <c r="B11" s="19" t="n">
        <v>900</v>
      </c>
      <c r="C11" s="19" t="n">
        <v>900</v>
      </c>
      <c r="D11" s="19" t="n">
        <v>900</v>
      </c>
      <c r="E11" s="19" t="n">
        <v>900</v>
      </c>
      <c r="F11" s="19" t="n">
        <v>900</v>
      </c>
    </row>
    <row r="12">
      <c r="A12" s="17" t="inlineStr">
        <is>
          <t>Other non-current assets</t>
        </is>
      </c>
      <c r="B12" s="20" t="n">
        <v>1670</v>
      </c>
      <c r="C12" s="20" t="n">
        <v>1894</v>
      </c>
      <c r="D12" s="20" t="n">
        <v>2282</v>
      </c>
      <c r="E12" s="20" t="n">
        <v>2804</v>
      </c>
      <c r="F12" s="20" t="n">
        <v>3500</v>
      </c>
    </row>
    <row r="13">
      <c r="A13" s="17" t="inlineStr">
        <is>
          <t>Total assets</t>
        </is>
      </c>
      <c r="B13" s="20" t="n">
        <v>8500</v>
      </c>
      <c r="C13" s="20" t="n">
        <v>9200</v>
      </c>
      <c r="D13" s="20" t="n">
        <v>10100</v>
      </c>
      <c r="E13" s="20" t="n">
        <v>11200</v>
      </c>
      <c r="F13" s="20" t="n">
        <v>12500</v>
      </c>
    </row>
    <row r="14">
      <c r="A14" s="17" t="inlineStr">
        <is>
          <t>Trade payables</t>
        </is>
      </c>
      <c r="B14" s="20" t="n">
        <v>595</v>
      </c>
      <c r="C14" s="20" t="n">
        <v>644</v>
      </c>
      <c r="D14" s="20" t="n">
        <v>707</v>
      </c>
      <c r="E14" s="20" t="n">
        <v>784</v>
      </c>
      <c r="F14" s="20" t="n">
        <v>875</v>
      </c>
    </row>
    <row r="15">
      <c r="A15" s="17" t="inlineStr">
        <is>
          <t>Bank borrowings</t>
        </is>
      </c>
      <c r="B15" s="20" t="n">
        <v>1500</v>
      </c>
      <c r="C15" s="20" t="n">
        <v>1400</v>
      </c>
      <c r="D15" s="20" t="n">
        <v>1300</v>
      </c>
      <c r="E15" s="20" t="n">
        <v>1200</v>
      </c>
      <c r="F15" s="20" t="n">
        <v>1100</v>
      </c>
    </row>
    <row r="16">
      <c r="A16" s="17" t="inlineStr">
        <is>
          <t>Other non-current liabilities</t>
        </is>
      </c>
      <c r="B16" s="20" t="n">
        <v>1305</v>
      </c>
      <c r="C16" s="20" t="n">
        <v>1456</v>
      </c>
      <c r="D16" s="20" t="n">
        <v>1593</v>
      </c>
      <c r="E16" s="20" t="n">
        <v>1716</v>
      </c>
      <c r="F16" s="20" t="n">
        <v>1825</v>
      </c>
    </row>
    <row r="17">
      <c r="A17" s="17" t="inlineStr">
        <is>
          <t>Total liabilities</t>
        </is>
      </c>
      <c r="B17" s="20" t="n">
        <v>3400</v>
      </c>
      <c r="C17" s="20" t="n">
        <v>3500</v>
      </c>
      <c r="D17" s="20" t="n">
        <v>3600</v>
      </c>
      <c r="E17" s="20" t="n">
        <v>3700</v>
      </c>
      <c r="F17" s="20" t="n">
        <v>3800</v>
      </c>
    </row>
    <row r="18">
      <c r="A18" s="17" t="inlineStr">
        <is>
          <t>Share capital and reserves</t>
        </is>
      </c>
      <c r="B18" s="20" t="n">
        <v>5100</v>
      </c>
      <c r="C18" s="20" t="n">
        <v>5700</v>
      </c>
      <c r="D18" s="20" t="n">
        <v>6500</v>
      </c>
      <c r="E18" s="20" t="n">
        <v>7500</v>
      </c>
      <c r="F18" s="20" t="n">
        <v>8700</v>
      </c>
    </row>
    <row r="19">
      <c r="A19" s="17" t="inlineStr">
        <is>
          <t>Total equity</t>
        </is>
      </c>
      <c r="B19" s="20" t="n">
        <v>5100</v>
      </c>
      <c r="C19" s="20" t="n">
        <v>5700</v>
      </c>
      <c r="D19" s="20" t="n">
        <v>6500</v>
      </c>
      <c r="E19" s="20" t="n">
        <v>7500</v>
      </c>
      <c r="F19" s="20" t="n">
        <v>8700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6" t="inlineStr">
        <is>
          <t>Company: Demo Holdings Limited (DEMO)</t>
        </is>
      </c>
    </row>
    <row r="2">
      <c r="A2" s="17" t="inlineStr">
        <is>
          <t>Statement: Cash Flow Statement</t>
        </is>
      </c>
    </row>
    <row r="3">
      <c r="A3" s="17" t="inlineStr">
        <is>
          <t>Units: HKD in Millions</t>
        </is>
      </c>
    </row>
    <row r="4">
      <c r="A4" s="17" t="inlineStr">
        <is>
          <t>Source: manual ingestion (HK)</t>
        </is>
      </c>
    </row>
    <row r="6">
      <c r="A6" s="15" t="inlineStr">
        <is>
          <t>Line Item</t>
        </is>
      </c>
      <c r="B6" s="18" t="n">
        <v>44561</v>
      </c>
      <c r="C6" s="18" t="n">
        <v>44926</v>
      </c>
      <c r="D6" s="18" t="n">
        <v>45291</v>
      </c>
      <c r="E6" s="18" t="n">
        <v>45657</v>
      </c>
      <c r="F6" s="18" t="n">
        <v>46022</v>
      </c>
    </row>
    <row r="7">
      <c r="A7" s="17" t="inlineStr">
        <is>
          <t>Profit for the year</t>
        </is>
      </c>
      <c r="B7" s="20" t="n">
        <v>2760</v>
      </c>
      <c r="C7" s="20" t="n">
        <v>2988</v>
      </c>
      <c r="D7" s="20" t="n">
        <v>3283</v>
      </c>
      <c r="E7" s="20" t="n">
        <v>3644</v>
      </c>
      <c r="F7" s="20" t="n">
        <v>4072</v>
      </c>
    </row>
    <row r="8">
      <c r="A8" s="17" t="inlineStr">
        <is>
          <t>Depreciation and amortisation</t>
        </is>
      </c>
      <c r="B8" s="20" t="n">
        <v>340</v>
      </c>
      <c r="C8" s="20" t="n">
        <v>368</v>
      </c>
      <c r="D8" s="20" t="n">
        <v>404</v>
      </c>
      <c r="E8" s="20" t="n">
        <v>448</v>
      </c>
      <c r="F8" s="20" t="n">
        <v>500</v>
      </c>
    </row>
    <row r="9">
      <c r="A9" s="17" t="inlineStr">
        <is>
          <t>Net cash from operating activities</t>
        </is>
      </c>
      <c r="B9" s="20" t="n">
        <v>1450</v>
      </c>
      <c r="C9" s="20" t="n">
        <v>1600</v>
      </c>
      <c r="D9" s="20" t="n">
        <v>1750</v>
      </c>
      <c r="E9" s="20" t="n">
        <v>1930</v>
      </c>
      <c r="F9" s="20" t="n">
        <v>2070</v>
      </c>
    </row>
    <row r="10">
      <c r="A10" s="17" t="inlineStr">
        <is>
          <t>Net cash used in investing activities</t>
        </is>
      </c>
      <c r="B10" s="20" t="n">
        <v>-800</v>
      </c>
      <c r="C10" s="20" t="n">
        <v>-850</v>
      </c>
      <c r="D10" s="20" t="n">
        <v>-900</v>
      </c>
      <c r="E10" s="20" t="n">
        <v>-950</v>
      </c>
      <c r="F10" s="20" t="n">
        <v>-1000</v>
      </c>
    </row>
    <row r="11">
      <c r="A11" s="17" t="inlineStr">
        <is>
          <t>Net cash from financing activities</t>
        </is>
      </c>
      <c r="B11" s="20" t="n">
        <v>-500</v>
      </c>
      <c r="C11" s="20" t="n">
        <v>-600</v>
      </c>
      <c r="D11" s="20" t="n">
        <v>-700</v>
      </c>
      <c r="E11" s="20" t="n">
        <v>-800</v>
      </c>
      <c r="F11" s="20" t="n">
        <v>-900</v>
      </c>
    </row>
    <row r="12">
      <c r="A12" s="17" t="inlineStr">
        <is>
          <t>Net change in cash and cash equivalents</t>
        </is>
      </c>
      <c r="B12" s="20" t="n">
        <v>150</v>
      </c>
      <c r="C12" s="20" t="n">
        <v>150</v>
      </c>
      <c r="D12" s="20" t="n">
        <v>150</v>
      </c>
      <c r="E12" s="20" t="n">
        <v>180</v>
      </c>
      <c r="F12" s="20" t="n">
        <v>170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2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2" customWidth="1" min="8" max="8"/>
  </cols>
  <sheetData>
    <row r="1">
      <c r="A1" s="16" t="inlineStr">
        <is>
          <t>Demo Holdings Limited (DEMO) — Condensed Financials</t>
        </is>
      </c>
    </row>
    <row r="4">
      <c r="A4" s="15" t="inlineStr">
        <is>
          <t>BALANCE SHEET CLASSIFICATION</t>
        </is>
      </c>
    </row>
    <row r="5">
      <c r="A5" s="15" t="inlineStr">
        <is>
          <t>Line Item</t>
        </is>
      </c>
      <c r="B5" s="15" t="inlineStr">
        <is>
          <t>Classification</t>
        </is>
      </c>
      <c r="C5" s="18" t="n">
        <v>44561</v>
      </c>
      <c r="D5" s="18" t="n">
        <v>44926</v>
      </c>
      <c r="E5" s="18" t="n">
        <v>45291</v>
      </c>
      <c r="F5" s="18" t="n">
        <v>45657</v>
      </c>
      <c r="G5" s="18" t="n">
        <v>46022</v>
      </c>
      <c r="H5" s="15" t="inlineStr">
        <is>
          <t>Notes</t>
        </is>
      </c>
    </row>
    <row r="6">
      <c r="A6" s="17" t="inlineStr">
        <is>
          <t>Cash and cash equivalents</t>
        </is>
      </c>
      <c r="B6" s="17" t="inlineStr">
        <is>
          <t>Financial Asset</t>
        </is>
      </c>
      <c r="C6" s="20" t="n">
        <v>1200</v>
      </c>
      <c r="D6" s="20" t="n">
        <v>1350</v>
      </c>
      <c r="E6" s="20" t="n">
        <v>1500</v>
      </c>
      <c r="F6" s="20" t="n">
        <v>1680</v>
      </c>
      <c r="G6" s="20" t="n">
        <v>1850</v>
      </c>
    </row>
    <row r="7">
      <c r="A7" s="17" t="inlineStr">
        <is>
          <t>Trade receivables</t>
        </is>
      </c>
      <c r="B7" s="17" t="inlineStr">
        <is>
          <t>Operating Working Capital Asset</t>
        </is>
      </c>
      <c r="C7" s="20" t="n">
        <v>850</v>
      </c>
      <c r="D7" s="20" t="n">
        <v>920</v>
      </c>
      <c r="E7" s="20" t="n">
        <v>1010</v>
      </c>
      <c r="F7" s="20" t="n">
        <v>1120</v>
      </c>
      <c r="G7" s="20" t="n">
        <v>1250</v>
      </c>
    </row>
    <row r="8">
      <c r="A8" s="14" t="inlineStr">
        <is>
          <t>Inventories</t>
        </is>
      </c>
      <c r="B8" s="14" t="inlineStr">
        <is>
          <t>Operating Working Capital Asset</t>
        </is>
      </c>
      <c r="C8" s="19" t="n">
        <v>680</v>
      </c>
      <c r="D8" s="19" t="n">
        <v>736</v>
      </c>
      <c r="E8" s="19" t="n">
        <v>808</v>
      </c>
      <c r="F8" s="19" t="n">
        <v>896</v>
      </c>
      <c r="G8" s="19" t="n">
        <v>1000</v>
      </c>
    </row>
    <row r="9">
      <c r="A9" s="17" t="inlineStr">
        <is>
          <t>Property, plant and equipment</t>
        </is>
      </c>
      <c r="B9" s="17" t="inlineStr">
        <is>
          <t>Operating Long-Term Asset</t>
        </is>
      </c>
      <c r="C9" s="20" t="n">
        <v>3200</v>
      </c>
      <c r="D9" s="20" t="n">
        <v>3400</v>
      </c>
      <c r="E9" s="20" t="n">
        <v>3600</v>
      </c>
      <c r="F9" s="20" t="n">
        <v>3800</v>
      </c>
      <c r="G9" s="20" t="n">
        <v>4000</v>
      </c>
    </row>
    <row r="10">
      <c r="A10" s="14" t="inlineStr">
        <is>
          <t>Goodwill</t>
        </is>
      </c>
      <c r="B10" s="14" t="inlineStr">
        <is>
          <t>Operating Long-Term Asset</t>
        </is>
      </c>
      <c r="C10" s="19" t="n">
        <v>900</v>
      </c>
      <c r="D10" s="19" t="n">
        <v>900</v>
      </c>
      <c r="E10" s="19" t="n">
        <v>900</v>
      </c>
      <c r="F10" s="19" t="n">
        <v>900</v>
      </c>
      <c r="G10" s="19" t="n">
        <v>900</v>
      </c>
    </row>
    <row r="11">
      <c r="A11" s="17" t="inlineStr">
        <is>
          <t>Other non-current assets</t>
        </is>
      </c>
      <c r="B11" s="17" t="inlineStr">
        <is>
          <t>Operating Long-Term Asset</t>
        </is>
      </c>
      <c r="C11" s="20" t="n">
        <v>1670</v>
      </c>
      <c r="D11" s="20" t="n">
        <v>1894</v>
      </c>
      <c r="E11" s="20" t="n">
        <v>2282</v>
      </c>
      <c r="F11" s="20" t="n">
        <v>2804</v>
      </c>
      <c r="G11" s="20" t="n">
        <v>3500</v>
      </c>
    </row>
    <row r="12">
      <c r="A12" s="17" t="inlineStr">
        <is>
          <t>Trade payables</t>
        </is>
      </c>
      <c r="B12" s="17" t="inlineStr">
        <is>
          <t>Operating Working Capital Liability</t>
        </is>
      </c>
      <c r="C12" s="20" t="n">
        <v>595</v>
      </c>
      <c r="D12" s="20" t="n">
        <v>644</v>
      </c>
      <c r="E12" s="20" t="n">
        <v>707</v>
      </c>
      <c r="F12" s="20" t="n">
        <v>784</v>
      </c>
      <c r="G12" s="20" t="n">
        <v>875</v>
      </c>
    </row>
    <row r="13">
      <c r="A13" s="17" t="inlineStr">
        <is>
          <t>Bank borrowings</t>
        </is>
      </c>
      <c r="B13" s="17" t="inlineStr">
        <is>
          <t>Financial Liability</t>
        </is>
      </c>
      <c r="C13" s="20" t="n">
        <v>1500</v>
      </c>
      <c r="D13" s="20" t="n">
        <v>1400</v>
      </c>
      <c r="E13" s="20" t="n">
        <v>1300</v>
      </c>
      <c r="F13" s="20" t="n">
        <v>1200</v>
      </c>
      <c r="G13" s="20" t="n">
        <v>1100</v>
      </c>
    </row>
    <row r="14">
      <c r="A14" s="17" t="inlineStr">
        <is>
          <t>Other non-current liabilities</t>
        </is>
      </c>
      <c r="B14" s="17" t="inlineStr">
        <is>
          <t>Operating Long-Term Liability</t>
        </is>
      </c>
      <c r="C14" s="20" t="n">
        <v>1305</v>
      </c>
      <c r="D14" s="20" t="n">
        <v>1456</v>
      </c>
      <c r="E14" s="20" t="n">
        <v>1593</v>
      </c>
      <c r="F14" s="20" t="n">
        <v>1716</v>
      </c>
      <c r="G14" s="20" t="n">
        <v>1825</v>
      </c>
    </row>
    <row r="15">
      <c r="A15" s="17" t="inlineStr">
        <is>
          <t>Share capital and reserves</t>
        </is>
      </c>
      <c r="B15" s="17" t="inlineStr">
        <is>
          <t>Equity</t>
        </is>
      </c>
      <c r="C15" s="20" t="n">
        <v>5100</v>
      </c>
      <c r="D15" s="20" t="n">
        <v>5700</v>
      </c>
      <c r="E15" s="20" t="n">
        <v>6500</v>
      </c>
      <c r="F15" s="20" t="n">
        <v>7500</v>
      </c>
      <c r="G15" s="20" t="n">
        <v>8700</v>
      </c>
    </row>
    <row r="17">
      <c r="A17" s="15" t="inlineStr">
        <is>
          <t>CONDENSED INCOME STATEMENT</t>
        </is>
      </c>
      <c r="B17" s="18" t="n">
        <v>44561</v>
      </c>
      <c r="C17" s="18" t="n">
        <v>44926</v>
      </c>
      <c r="D17" s="18" t="n">
        <v>45291</v>
      </c>
      <c r="E17" s="18" t="n">
        <v>45657</v>
      </c>
      <c r="F17" s="18" t="n">
        <v>46022</v>
      </c>
    </row>
    <row r="18">
      <c r="A18" s="17" t="inlineStr">
        <is>
          <t>Net Income</t>
        </is>
      </c>
      <c r="B18" s="17">
        <f>'Income Statement'!B16</f>
        <v/>
      </c>
      <c r="C18" s="17">
        <f>'Income Statement'!C16</f>
        <v/>
      </c>
      <c r="D18" s="17">
        <f>'Income Statement'!D16</f>
        <v/>
      </c>
      <c r="E18" s="17">
        <f>'Income Statement'!E16</f>
        <v/>
      </c>
      <c r="F18" s="17">
        <f>'Income Statement'!F16</f>
        <v/>
      </c>
    </row>
    <row r="19">
      <c r="A19" s="17" t="inlineStr">
        <is>
          <t>Pretax Income</t>
        </is>
      </c>
      <c r="B19" s="17">
        <f>'Income Statement'!B14</f>
        <v/>
      </c>
      <c r="C19" s="17">
        <f>'Income Statement'!C14</f>
        <v/>
      </c>
      <c r="D19" s="17">
        <f>'Income Statement'!D14</f>
        <v/>
      </c>
      <c r="E19" s="17">
        <f>'Income Statement'!E14</f>
        <v/>
      </c>
      <c r="F19" s="17">
        <f>'Income Statement'!F14</f>
        <v/>
      </c>
    </row>
    <row r="20">
      <c r="A20" s="17" t="inlineStr">
        <is>
          <t>Tax Expense</t>
        </is>
      </c>
      <c r="B20" s="17">
        <f>'Income Statement'!B15</f>
        <v/>
      </c>
      <c r="C20" s="17">
        <f>'Income Statement'!C15</f>
        <v/>
      </c>
      <c r="D20" s="17">
        <f>'Income Statement'!D15</f>
        <v/>
      </c>
      <c r="E20" s="17">
        <f>'Income Statement'!E15</f>
        <v/>
      </c>
      <c r="F20" s="17">
        <f>'Income Statement'!F15</f>
        <v/>
      </c>
    </row>
    <row r="21">
      <c r="A21" s="17" t="inlineStr">
        <is>
          <t>Interest Expense</t>
        </is>
      </c>
      <c r="B21" s="17">
        <f>'Income Statement'!B12</f>
        <v/>
      </c>
      <c r="C21" s="17">
        <f>'Income Statement'!C12</f>
        <v/>
      </c>
      <c r="D21" s="17">
        <f>'Income Statement'!D12</f>
        <v/>
      </c>
      <c r="E21" s="17">
        <f>'Income Statement'!E12</f>
        <v/>
      </c>
      <c r="F21" s="17">
        <f>'Income Statement'!F12</f>
        <v/>
      </c>
    </row>
    <row r="22">
      <c r="A22" s="17" t="inlineStr">
        <is>
          <t>Interest Income</t>
        </is>
      </c>
      <c r="B22" s="17">
        <f>'Income Statement'!B13</f>
        <v/>
      </c>
      <c r="C22" s="17">
        <f>'Income Statement'!C13</f>
        <v/>
      </c>
      <c r="D22" s="17">
        <f>'Income Statement'!D13</f>
        <v/>
      </c>
      <c r="E22" s="17">
        <f>'Income Statement'!E13</f>
        <v/>
      </c>
      <c r="F22" s="17">
        <f>'Income Statement'!F13</f>
        <v/>
      </c>
    </row>
    <row r="23">
      <c r="A23" s="17" t="inlineStr">
        <is>
          <t>Effective Tax Rate</t>
        </is>
      </c>
      <c r="B23" s="21">
        <f>IF(B19=0,0,-B20/B19)</f>
        <v/>
      </c>
      <c r="C23" s="21">
        <f>IF(C19=0,0,-C20/C19)</f>
        <v/>
      </c>
      <c r="D23" s="21">
        <f>IF(D19=0,0,-D20/D19)</f>
        <v/>
      </c>
      <c r="E23" s="21">
        <f>IF(E19=0,0,-E20/E19)</f>
        <v/>
      </c>
      <c r="F23" s="21">
        <f>IF(F19=0,0,-F20/F19)</f>
        <v/>
      </c>
    </row>
    <row r="24">
      <c r="A24" s="17" t="inlineStr">
        <is>
          <t>Net Interest</t>
        </is>
      </c>
      <c r="B24" s="20">
        <f>-(B21+B22)</f>
        <v/>
      </c>
      <c r="C24" s="20">
        <f>-(C21+C22)</f>
        <v/>
      </c>
      <c r="D24" s="20">
        <f>-(D21+D22)</f>
        <v/>
      </c>
      <c r="E24" s="20">
        <f>-(E21+E22)</f>
        <v/>
      </c>
      <c r="F24" s="20">
        <f>-(F21+F22)</f>
        <v/>
      </c>
    </row>
    <row r="25">
      <c r="A25" s="17" t="inlineStr">
        <is>
          <t>Net Interest After Tax</t>
        </is>
      </c>
      <c r="B25" s="20">
        <f>B24*(1-B23)</f>
        <v/>
      </c>
      <c r="C25" s="20">
        <f>C24*(1-C23)</f>
        <v/>
      </c>
      <c r="D25" s="20">
        <f>D24*(1-D23)</f>
        <v/>
      </c>
      <c r="E25" s="20">
        <f>E24*(1-E23)</f>
        <v/>
      </c>
      <c r="F25" s="20">
        <f>F24*(1-F23)</f>
        <v/>
      </c>
    </row>
    <row r="26">
      <c r="A26" s="22" t="inlineStr">
        <is>
          <t>NOPAT</t>
        </is>
      </c>
      <c r="B26" s="23">
        <f>B18+B25</f>
        <v/>
      </c>
      <c r="C26" s="23">
        <f>C18+C25</f>
        <v/>
      </c>
      <c r="D26" s="23">
        <f>D18+D25</f>
        <v/>
      </c>
      <c r="E26" s="23">
        <f>E18+E25</f>
        <v/>
      </c>
      <c r="F26" s="24" t="n"/>
    </row>
    <row r="28">
      <c r="A28" s="15" t="inlineStr">
        <is>
          <t>CONDENSED BALANCE SHEET</t>
        </is>
      </c>
    </row>
    <row r="29">
      <c r="A29" s="17" t="inlineStr">
        <is>
          <t>Operating Working Capital Assets</t>
        </is>
      </c>
      <c r="B29" s="20">
        <f>SUMIF($B$6:$B$15,"Operating Working Capital Asset",C$6:C$15)</f>
        <v/>
      </c>
      <c r="C29" s="20">
        <f>SUMIF($B$6:$B$15,"Operating Working Capital Asset",D$6:D$15)</f>
        <v/>
      </c>
      <c r="D29" s="20">
        <f>SUMIF($B$6:$B$15,"Operating Working Capital Asset",E$6:E$15)</f>
        <v/>
      </c>
      <c r="E29" s="20">
        <f>SUMIF($B$6:$B$15,"Operating Working Capital Asset",F$6:F$15)</f>
        <v/>
      </c>
      <c r="F29" s="20">
        <f>SUMIF($B$6:$B$15,"Operating Working Capital Asset",G$6:G$15)</f>
        <v/>
      </c>
    </row>
    <row r="30">
      <c r="A30" s="17" t="inlineStr">
        <is>
          <t>Operating Working Capital Liabilities</t>
        </is>
      </c>
      <c r="B30" s="20">
        <f>SUMIF($B$6:$B$15,"Operating Working Capital Liability",C$6:C$15)</f>
        <v/>
      </c>
      <c r="C30" s="20">
        <f>SUMIF($B$6:$B$15,"Operating Working Capital Liability",D$6:D$15)</f>
        <v/>
      </c>
      <c r="D30" s="20">
        <f>SUMIF($B$6:$B$15,"Operating Working Capital Liability",E$6:E$15)</f>
        <v/>
      </c>
      <c r="E30" s="20">
        <f>SUMIF($B$6:$B$15,"Operating Working Capital Liability",F$6:F$15)</f>
        <v/>
      </c>
      <c r="F30" s="20">
        <f>SUMIF($B$6:$B$15,"Operating Working Capital Liability",G$6:G$15)</f>
        <v/>
      </c>
    </row>
    <row r="31">
      <c r="A31" s="22" t="inlineStr">
        <is>
          <t>NOWC</t>
        </is>
      </c>
      <c r="B31" s="19">
        <f>B29-B30</f>
        <v/>
      </c>
      <c r="C31" s="19">
        <f>C29-C30</f>
        <v/>
      </c>
      <c r="D31" s="19">
        <f>D29-D30</f>
        <v/>
      </c>
      <c r="E31" s="19">
        <f>E29-E30</f>
        <v/>
      </c>
      <c r="F31" s="24" t="n"/>
    </row>
    <row r="32">
      <c r="A32" s="17" t="inlineStr">
        <is>
          <t>Operating Long-Term Assets</t>
        </is>
      </c>
      <c r="B32" s="20">
        <f>SUMIF($B$6:$B$15,"Operating Long-Term Asset",C$6:C$15)</f>
        <v/>
      </c>
      <c r="C32" s="20">
        <f>SUMIF($B$6:$B$15,"Operating Long-Term Asset",D$6:D$15)</f>
        <v/>
      </c>
      <c r="D32" s="20">
        <f>SUMIF($B$6:$B$15,"Operating Long-Term Asset",E$6:E$15)</f>
        <v/>
      </c>
      <c r="E32" s="20">
        <f>SUMIF($B$6:$B$15,"Operating Long-Term Asset",F$6:F$15)</f>
        <v/>
      </c>
      <c r="F32" s="20">
        <f>SUMIF($B$6:$B$15,"Operating Long-Term Asset",G$6:G$15)</f>
        <v/>
      </c>
    </row>
    <row r="33">
      <c r="A33" s="17" t="inlineStr">
        <is>
          <t>Operating Long-Term Liabilities</t>
        </is>
      </c>
      <c r="B33" s="20">
        <f>SUMIF($B$6:$B$15,"Operating Long-Term Liability",C$6:C$15)</f>
        <v/>
      </c>
      <c r="C33" s="20">
        <f>SUMIF($B$6:$B$15,"Operating Long-Term Liability",D$6:D$15)</f>
        <v/>
      </c>
      <c r="D33" s="20">
        <f>SUMIF($B$6:$B$15,"Operating Long-Term Liability",E$6:E$15)</f>
        <v/>
      </c>
      <c r="E33" s="20">
        <f>SUMIF($B$6:$B$15,"Operating Long-Term Liability",F$6:F$15)</f>
        <v/>
      </c>
      <c r="F33" s="20">
        <f>SUMIF($B$6:$B$15,"Operating Long-Term Liability",G$6:G$15)</f>
        <v/>
      </c>
    </row>
    <row r="34">
      <c r="A34" s="22" t="inlineStr">
        <is>
          <t>NOLA</t>
        </is>
      </c>
      <c r="B34" s="19">
        <f>B32-B33</f>
        <v/>
      </c>
      <c r="C34" s="19">
        <f>C32-C33</f>
        <v/>
      </c>
      <c r="D34" s="19">
        <f>D32-D33</f>
        <v/>
      </c>
      <c r="E34" s="19">
        <f>E32-E33</f>
        <v/>
      </c>
      <c r="F34" s="19">
        <f>F32-F33</f>
        <v/>
      </c>
    </row>
    <row r="35">
      <c r="A35" s="22" t="inlineStr">
        <is>
          <t>NOA</t>
        </is>
      </c>
      <c r="B35" s="19">
        <f>B31+B34</f>
        <v/>
      </c>
      <c r="C35" s="19">
        <f>C31+C34</f>
        <v/>
      </c>
      <c r="D35" s="19">
        <f>D31+D34</f>
        <v/>
      </c>
      <c r="E35" s="19">
        <f>E31+E34</f>
        <v/>
      </c>
      <c r="F35" s="24" t="n"/>
    </row>
    <row r="36">
      <c r="A36" s="17" t="inlineStr">
        <is>
          <t>Financial Assets</t>
        </is>
      </c>
      <c r="B36" s="20">
        <f>SUMIF($B$6:$B$15,"Financial Asset",C$6:C$15)</f>
        <v/>
      </c>
      <c r="C36" s="20">
        <f>SUMIF($B$6:$B$15,"Financial Asset",D$6:D$15)</f>
        <v/>
      </c>
      <c r="D36" s="20">
        <f>SUMIF($B$6:$B$15,"Financial Asset",E$6:E$15)</f>
        <v/>
      </c>
      <c r="E36" s="20">
        <f>SUMIF($B$6:$B$15,"Financial Asset",F$6:F$15)</f>
        <v/>
      </c>
      <c r="F36" s="20">
        <f>SUMIF($B$6:$B$15,"Financial Asset",G$6:G$15)</f>
        <v/>
      </c>
    </row>
    <row r="37">
      <c r="A37" s="17" t="inlineStr">
        <is>
          <t>Financial Liabilities</t>
        </is>
      </c>
      <c r="B37" s="20">
        <f>SUMIF($B$6:$B$15,"Financial Liability",C$6:C$15)</f>
        <v/>
      </c>
      <c r="C37" s="20">
        <f>SUMIF($B$6:$B$15,"Financial Liability",D$6:D$15)</f>
        <v/>
      </c>
      <c r="D37" s="20">
        <f>SUMIF($B$6:$B$15,"Financial Liability",E$6:E$15)</f>
        <v/>
      </c>
      <c r="E37" s="20">
        <f>SUMIF($B$6:$B$15,"Financial Liability",F$6:F$15)</f>
        <v/>
      </c>
      <c r="F37" s="20">
        <f>SUMIF($B$6:$B$15,"Financial Liability",G$6:G$15)</f>
        <v/>
      </c>
    </row>
    <row r="38">
      <c r="A38" s="15" t="inlineStr">
        <is>
          <t>Net Debt</t>
        </is>
      </c>
      <c r="B38" s="20">
        <f>B37-B36</f>
        <v/>
      </c>
      <c r="C38" s="20">
        <f>C37-C36</f>
        <v/>
      </c>
      <c r="D38" s="20">
        <f>D37-D36</f>
        <v/>
      </c>
      <c r="E38" s="20">
        <f>E37-E36</f>
        <v/>
      </c>
      <c r="F38" s="25" t="n"/>
    </row>
    <row r="39">
      <c r="A39" s="15" t="inlineStr">
        <is>
          <t>Equity (NOA - Net Debt)</t>
        </is>
      </c>
      <c r="B39" s="20">
        <f>B35-B38</f>
        <v/>
      </c>
      <c r="C39" s="20">
        <f>C35-C38</f>
        <v/>
      </c>
      <c r="D39" s="20">
        <f>D35-D38</f>
        <v/>
      </c>
      <c r="E39" s="20">
        <f>E35-E38</f>
        <v/>
      </c>
      <c r="F39" s="20">
        <f>F35-F38</f>
        <v/>
      </c>
    </row>
    <row r="40">
      <c r="A40" s="15" t="inlineStr">
        <is>
          <t>Reported Equity</t>
        </is>
      </c>
      <c r="B40" s="20">
        <f>'Balance Sheet'!B19</f>
        <v/>
      </c>
      <c r="C40" s="20">
        <f>'Balance Sheet'!C19</f>
        <v/>
      </c>
      <c r="D40" s="20">
        <f>'Balance Sheet'!D19</f>
        <v/>
      </c>
      <c r="E40" s="20">
        <f>'Balance Sheet'!E19</f>
        <v/>
      </c>
      <c r="F40" s="20">
        <f>'Balance Sheet'!F19</f>
        <v/>
      </c>
    </row>
    <row r="41">
      <c r="A41" s="15" t="inlineStr">
        <is>
          <t>Total Capital</t>
        </is>
      </c>
      <c r="B41" s="20">
        <f>B38+B39</f>
        <v/>
      </c>
      <c r="C41" s="20">
        <f>C38+C39</f>
        <v/>
      </c>
      <c r="D41" s="20">
        <f>D38+D39</f>
        <v/>
      </c>
      <c r="E41" s="20">
        <f>E38+E39</f>
        <v/>
      </c>
      <c r="F41" s="20">
        <f>F38+F39</f>
        <v/>
      </c>
    </row>
    <row r="42">
      <c r="A42" s="22" t="inlineStr">
        <is>
          <t>CHECK</t>
        </is>
      </c>
      <c r="B42" s="14">
        <f>IF(ABS(B39-B40)&lt;1,"OK","CHECK")</f>
        <v/>
      </c>
      <c r="C42" s="14">
        <f>IF(ABS(C39-C40)&lt;1,"OK","CHECK")</f>
        <v/>
      </c>
      <c r="D42" s="14">
        <f>IF(ABS(D39-D40)&lt;1,"OK","CHECK")</f>
        <v/>
      </c>
      <c r="E42" s="14">
        <f>IF(ABS(E39-E40)&lt;1,"OK","CHECK")</f>
        <v/>
      </c>
      <c r="F42" s="14">
        <f>IF(ABS(F39-F40)&lt;1,"OK","CHECK")</f>
        <v/>
      </c>
    </row>
  </sheetData>
  <dataValidations count="1">
    <dataValidation sqref="B6 B7 B8 B9 B10 B11 B12 B13 B14 B15" showDropDown="0" showInputMessage="0" showErrorMessage="0" allowBlank="0" type="list">
      <formula1>"Operating Working Capital Asset,Operating Working Capital Liability,Operating Long-Term Asset,Operating Long-Term Liability,Financial Asset,Financial Liability,Equity,Exclude"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selection activeCell="A1" sqref="A1"/>
    </sheetView>
  </sheetViews>
  <sheetFormatPr baseColWidth="8" defaultRowHeight="15"/>
  <cols>
    <col width="42" customWidth="1" min="1" max="1"/>
  </cols>
  <sheetData>
    <row r="1">
      <c r="A1" s="16" t="inlineStr">
        <is>
          <t>Demo Holdings Limited — DuPont Decomposition</t>
        </is>
      </c>
    </row>
    <row r="2">
      <c r="A2" s="17" t="inlineStr">
        <is>
          <t>ROE = RNOA + FLEV × Spread</t>
        </is>
      </c>
    </row>
    <row r="4">
      <c r="A4" s="15" t="inlineStr">
        <is>
          <t>Metric</t>
        </is>
      </c>
      <c r="B4" s="18" t="n">
        <v>44926</v>
      </c>
      <c r="C4" s="18" t="n">
        <v>45291</v>
      </c>
      <c r="D4" s="18" t="n">
        <v>45657</v>
      </c>
      <c r="E4" s="18" t="n">
        <v>46022</v>
      </c>
    </row>
    <row r="5">
      <c r="A5" s="14" t="inlineStr">
        <is>
          <t>RNOA</t>
        </is>
      </c>
      <c r="E5" s="26" t="n"/>
    </row>
    <row r="6">
      <c r="A6" s="17" t="inlineStr">
        <is>
          <t>After-tax CoD</t>
        </is>
      </c>
      <c r="E6" s="21">
        <f>'Condensed Financials'!F25/(('Condensed Financials'!F38+'Condensed Financials'!E38)/2)</f>
        <v/>
      </c>
    </row>
    <row r="7">
      <c r="A7" s="14" t="inlineStr">
        <is>
          <t>Spread</t>
        </is>
      </c>
      <c r="E7" s="27" t="n"/>
    </row>
    <row r="8">
      <c r="A8" s="14" t="inlineStr">
        <is>
          <t>FLEV</t>
        </is>
      </c>
      <c r="E8" s="14">
        <f>(('Condensed Financials'!F38+'Condensed Financials'!E38)/2)/(('Condensed Financials'!F39+'Condensed Financials'!E39)/2)</f>
        <v/>
      </c>
    </row>
    <row r="9">
      <c r="A9" s="17" t="inlineStr">
        <is>
          <t>ROE (decomposed)</t>
        </is>
      </c>
      <c r="E9" s="28" t="n"/>
    </row>
    <row r="10">
      <c r="A10" s="17" t="inlineStr">
        <is>
          <t>Actual ROE</t>
        </is>
      </c>
      <c r="E10" s="21">
        <f>'Condensed Financials'!F18/(('Condensed Financials'!F39+'Condensed Financials'!E39)/2)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40"/>
  <sheetViews>
    <sheetView showGridLines="0" workbookViewId="0">
      <pane xSplit="1" topLeftCell="B1" activePane="topRight" state="frozen"/>
      <selection pane="topRight" activeCell="A1" sqref="A1"/>
    </sheetView>
  </sheetViews>
  <sheetFormatPr baseColWidth="8" defaultRowHeight="15"/>
  <cols>
    <col width="42" customWidth="1" min="1" max="1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>
      <c r="A1" s="16" t="inlineStr">
        <is>
          <t>Demo Holdings Limited — Bear Scenario</t>
        </is>
      </c>
    </row>
    <row r="5">
      <c r="A5" s="17" t="inlineStr">
        <is>
          <t>Cost of Equity (Ke)</t>
        </is>
      </c>
      <c r="B5" s="21" t="n">
        <v>0.105</v>
      </c>
    </row>
    <row r="6">
      <c r="A6" s="17" t="inlineStr">
        <is>
          <t>Tax rate</t>
        </is>
      </c>
      <c r="B6" s="21" t="n">
        <v>0.165</v>
      </c>
    </row>
    <row r="7">
      <c r="A7" s="17" t="inlineStr">
        <is>
          <t>After-tax CoD</t>
        </is>
      </c>
      <c r="B7" s="21" t="n">
        <v>-0.2273251281748943</v>
      </c>
    </row>
    <row r="8">
      <c r="A8" s="17" t="inlineStr">
        <is>
          <t>Financial leverage</t>
        </is>
      </c>
      <c r="B8" s="21" t="n">
        <v>-0.09433962264150944</v>
      </c>
    </row>
    <row r="9">
      <c r="A9" s="17" t="inlineStr">
        <is>
          <t>Terminal growth (g)</t>
        </is>
      </c>
      <c r="B9" s="21" t="n">
        <v>0.03</v>
      </c>
    </row>
    <row r="20">
      <c r="A20" s="15" t="inlineStr">
        <is>
          <t>FORECAST BLOCK</t>
        </is>
      </c>
      <c r="G20" s="15" t="inlineStr">
        <is>
          <t>Y1</t>
        </is>
      </c>
      <c r="H20" s="15" t="inlineStr">
        <is>
          <t>Y2</t>
        </is>
      </c>
      <c r="I20" s="15" t="inlineStr">
        <is>
          <t>Y3</t>
        </is>
      </c>
      <c r="J20" s="15" t="inlineStr">
        <is>
          <t>Y4</t>
        </is>
      </c>
      <c r="K20" s="15" t="inlineStr">
        <is>
          <t>Y5</t>
        </is>
      </c>
      <c r="L20" s="15" t="inlineStr">
        <is>
          <t>Y6</t>
        </is>
      </c>
      <c r="M20" s="15" t="inlineStr">
        <is>
          <t>Y7</t>
        </is>
      </c>
      <c r="N20" s="15" t="inlineStr">
        <is>
          <t>Y8</t>
        </is>
      </c>
      <c r="O20" s="15" t="inlineStr">
        <is>
          <t>Y9</t>
        </is>
      </c>
      <c r="P20" s="15" t="inlineStr">
        <is>
          <t>Y10</t>
        </is>
      </c>
    </row>
    <row r="21">
      <c r="A21" s="14" t="inlineStr">
        <is>
          <t>Sales</t>
        </is>
      </c>
      <c r="G21" s="19">
        <f>'Income Statement'!F7*(1+0.1)</f>
        <v/>
      </c>
      <c r="H21" s="19">
        <f>G21*(1+0.1)</f>
        <v/>
      </c>
      <c r="I21" s="19">
        <f>H21*(1+0.1)</f>
        <v/>
      </c>
      <c r="J21" s="19">
        <f>I21*(1+0.1)</f>
        <v/>
      </c>
      <c r="K21" s="19">
        <f>J21*(1+0.1)</f>
        <v/>
      </c>
      <c r="L21" s="19">
        <f>K21*(1+0.1)</f>
        <v/>
      </c>
      <c r="M21" s="19">
        <f>L21*(1+0.1)</f>
        <v/>
      </c>
      <c r="N21" s="19">
        <f>M21*(1+0.1)</f>
        <v/>
      </c>
      <c r="O21" s="19">
        <f>N21*(1+0.1)</f>
        <v/>
      </c>
      <c r="P21" s="19">
        <f>O21*(1+0.1)</f>
        <v/>
      </c>
    </row>
    <row r="22">
      <c r="A22" s="17" t="inlineStr">
        <is>
          <t>NOPAT Margin</t>
        </is>
      </c>
      <c r="G22" s="21" t="n">
        <v>0.15</v>
      </c>
      <c r="H22" s="21" t="n">
        <v>0.15</v>
      </c>
      <c r="I22" s="21" t="n">
        <v>0.15</v>
      </c>
      <c r="J22" s="21" t="n">
        <v>0.15</v>
      </c>
      <c r="K22" s="21" t="n">
        <v>0.15</v>
      </c>
      <c r="L22" s="21" t="n">
        <v>0.15</v>
      </c>
      <c r="M22" s="21" t="n">
        <v>0.15</v>
      </c>
      <c r="N22" s="21" t="n">
        <v>0.15</v>
      </c>
      <c r="O22" s="21" t="n">
        <v>0.15</v>
      </c>
      <c r="P22" s="21" t="n">
        <v>0.15</v>
      </c>
    </row>
    <row r="23">
      <c r="A23" s="14" t="inlineStr">
        <is>
          <t>NOWC</t>
        </is>
      </c>
      <c r="G23" s="19">
        <f>'Condensed Financials'!F31</f>
        <v/>
      </c>
      <c r="H23" s="19">
        <f>H21*0.05</f>
        <v/>
      </c>
      <c r="I23" s="19">
        <f>I21*0.05</f>
        <v/>
      </c>
      <c r="J23" s="19">
        <f>J21*0.05</f>
        <v/>
      </c>
      <c r="K23" s="19">
        <f>K21*0.05</f>
        <v/>
      </c>
      <c r="L23" s="19">
        <f>L21*0.05</f>
        <v/>
      </c>
      <c r="M23" s="19">
        <f>M21*0.05</f>
        <v/>
      </c>
      <c r="N23" s="19">
        <f>N21*0.05</f>
        <v/>
      </c>
      <c r="O23" s="19">
        <f>O21*0.05</f>
        <v/>
      </c>
      <c r="P23" s="19">
        <f>P21*0.05</f>
        <v/>
      </c>
    </row>
    <row r="24">
      <c r="A24" s="14" t="inlineStr">
        <is>
          <t>NOLA</t>
        </is>
      </c>
      <c r="G24" s="19">
        <f>'Condensed Financials'!F35-'Condensed Financials'!F31</f>
        <v/>
      </c>
      <c r="H24" s="19">
        <f>H21*0.5</f>
        <v/>
      </c>
      <c r="I24" s="19">
        <f>I21*0.5</f>
        <v/>
      </c>
      <c r="J24" s="19">
        <f>J21*0.5</f>
        <v/>
      </c>
      <c r="K24" s="19">
        <f>K21*0.5</f>
        <v/>
      </c>
      <c r="L24" s="19">
        <f>L21*0.5</f>
        <v/>
      </c>
      <c r="M24" s="19">
        <f>M21*0.5</f>
        <v/>
      </c>
      <c r="N24" s="19">
        <f>N21*0.5</f>
        <v/>
      </c>
      <c r="O24" s="19">
        <f>O21*0.5</f>
        <v/>
      </c>
      <c r="P24" s="19">
        <f>P21*0.5</f>
        <v/>
      </c>
    </row>
    <row r="25">
      <c r="A25" s="17" t="inlineStr">
        <is>
          <t>Net Debt</t>
        </is>
      </c>
      <c r="G25" s="20">
        <f>'Condensed Financials'!F38</f>
        <v/>
      </c>
      <c r="H25" s="20">
        <f>($B$8)*(H23+H24)</f>
        <v/>
      </c>
      <c r="I25" s="20">
        <f>($B$8)*(I23+I24)</f>
        <v/>
      </c>
      <c r="J25" s="20">
        <f>($B$8)*(J23+J24)</f>
        <v/>
      </c>
      <c r="K25" s="20">
        <f>($B$8)*(K23+K24)</f>
        <v/>
      </c>
      <c r="L25" s="20">
        <f>($B$8)*(L23+L24)</f>
        <v/>
      </c>
      <c r="M25" s="20">
        <f>($B$8)*(M23+M24)</f>
        <v/>
      </c>
      <c r="N25" s="20">
        <f>($B$8)*(N23+N24)</f>
        <v/>
      </c>
      <c r="O25" s="20">
        <f>($B$8)*(O23+O24)</f>
        <v/>
      </c>
      <c r="P25" s="20">
        <f>($B$8)*(P23+P24)</f>
        <v/>
      </c>
    </row>
    <row r="26">
      <c r="A26" s="17" t="inlineStr">
        <is>
          <t>Book Equity</t>
        </is>
      </c>
      <c r="G26" s="20">
        <f>G23+G24-G25</f>
        <v/>
      </c>
      <c r="H26" s="20">
        <f>H23+H24-H25</f>
        <v/>
      </c>
      <c r="I26" s="20">
        <f>I23+I24-I25</f>
        <v/>
      </c>
      <c r="J26" s="20">
        <f>J23+J24-J25</f>
        <v/>
      </c>
      <c r="K26" s="20">
        <f>K23+K24-K25</f>
        <v/>
      </c>
      <c r="L26" s="20">
        <f>L23+L24-L25</f>
        <v/>
      </c>
      <c r="M26" s="20">
        <f>M23+M24-M25</f>
        <v/>
      </c>
      <c r="N26" s="20">
        <f>N23+N24-N25</f>
        <v/>
      </c>
      <c r="O26" s="20">
        <f>O23+O24-O25</f>
        <v/>
      </c>
      <c r="P26" s="20">
        <f>P23+P24-P25</f>
        <v/>
      </c>
    </row>
    <row r="27">
      <c r="A27" s="14" t="inlineStr">
        <is>
          <t>NOPAT</t>
        </is>
      </c>
      <c r="G27" s="19">
        <f>G21*G22</f>
        <v/>
      </c>
      <c r="H27" s="19">
        <f>H21*H22</f>
        <v/>
      </c>
      <c r="I27" s="19">
        <f>I21*I22</f>
        <v/>
      </c>
      <c r="J27" s="19">
        <f>J21*J22</f>
        <v/>
      </c>
      <c r="K27" s="19">
        <f>K21*K22</f>
        <v/>
      </c>
      <c r="L27" s="19">
        <f>L21*L22</f>
        <v/>
      </c>
      <c r="M27" s="19">
        <f>M21*M22</f>
        <v/>
      </c>
      <c r="N27" s="19">
        <f>N21*N22</f>
        <v/>
      </c>
      <c r="O27" s="19">
        <f>O21*O22</f>
        <v/>
      </c>
      <c r="P27" s="19">
        <f>P21*P22</f>
        <v/>
      </c>
    </row>
    <row r="28">
      <c r="A28" s="17" t="inlineStr">
        <is>
          <t>Net Income</t>
        </is>
      </c>
      <c r="G28" s="20">
        <f>G27-G25*$B$7</f>
        <v/>
      </c>
      <c r="H28" s="20">
        <f>H27-H25*$B$7</f>
        <v/>
      </c>
      <c r="I28" s="20">
        <f>I27-I25*$B$7</f>
        <v/>
      </c>
      <c r="J28" s="20">
        <f>J27-J25*$B$7</f>
        <v/>
      </c>
      <c r="K28" s="20">
        <f>K27-K25*$B$7</f>
        <v/>
      </c>
      <c r="L28" s="20">
        <f>L27-L25*$B$7</f>
        <v/>
      </c>
      <c r="M28" s="20">
        <f>M27-M25*$B$7</f>
        <v/>
      </c>
      <c r="N28" s="20">
        <f>N27-N25*$B$7</f>
        <v/>
      </c>
      <c r="O28" s="20">
        <f>O27-O25*$B$7</f>
        <v/>
      </c>
      <c r="P28" s="20">
        <f>P27-P25*$B$7</f>
        <v/>
      </c>
    </row>
    <row r="29">
      <c r="A29" s="17" t="inlineStr">
        <is>
          <t>Abnormal Earnings</t>
        </is>
      </c>
      <c r="G29" s="20">
        <f>G28-$B$5*G26</f>
        <v/>
      </c>
      <c r="H29" s="20">
        <f>H28-$B$5*H26</f>
        <v/>
      </c>
      <c r="I29" s="20">
        <f>I28-$B$5*I26</f>
        <v/>
      </c>
      <c r="J29" s="20">
        <f>J28-$B$5*J26</f>
        <v/>
      </c>
      <c r="K29" s="20">
        <f>K28-$B$5*K26</f>
        <v/>
      </c>
      <c r="L29" s="20">
        <f>L28-$B$5*L26</f>
        <v/>
      </c>
      <c r="M29" s="20">
        <f>M28-$B$5*M26</f>
        <v/>
      </c>
      <c r="N29" s="20">
        <f>N28-$B$5*N26</f>
        <v/>
      </c>
      <c r="O29" s="20">
        <f>O28-$B$5*O26</f>
        <v/>
      </c>
      <c r="P29" s="20">
        <f>P28-$B$5*P26</f>
        <v/>
      </c>
    </row>
    <row r="30">
      <c r="A30" s="17" t="inlineStr">
        <is>
          <t>Discount Factor</t>
        </is>
      </c>
      <c r="G30" s="29">
        <f>1/(1+$B$5)^1</f>
        <v/>
      </c>
      <c r="H30" s="29">
        <f>1/(1+$B$5)^2</f>
        <v/>
      </c>
      <c r="I30" s="29">
        <f>1/(1+$B$5)^3</f>
        <v/>
      </c>
      <c r="J30" s="29">
        <f>1/(1+$B$5)^4</f>
        <v/>
      </c>
      <c r="K30" s="29">
        <f>1/(1+$B$5)^5</f>
        <v/>
      </c>
      <c r="L30" s="29">
        <f>1/(1+$B$5)^6</f>
        <v/>
      </c>
      <c r="M30" s="29">
        <f>1/(1+$B$5)^7</f>
        <v/>
      </c>
      <c r="N30" s="29">
        <f>1/(1+$B$5)^8</f>
        <v/>
      </c>
      <c r="O30" s="29">
        <f>1/(1+$B$5)^9</f>
        <v/>
      </c>
      <c r="P30" s="29">
        <f>1/(1+$B$5)^10</f>
        <v/>
      </c>
    </row>
    <row r="31">
      <c r="A31" s="17" t="inlineStr">
        <is>
          <t>PV Abnormal Earnings</t>
        </is>
      </c>
      <c r="G31" s="20">
        <f>G29*G30</f>
        <v/>
      </c>
      <c r="H31" s="20">
        <f>H29*H30</f>
        <v/>
      </c>
      <c r="I31" s="20">
        <f>I29*I30</f>
        <v/>
      </c>
      <c r="J31" s="20">
        <f>J29*J30</f>
        <v/>
      </c>
      <c r="K31" s="20">
        <f>K29*K30</f>
        <v/>
      </c>
      <c r="L31" s="20">
        <f>L29*L30</f>
        <v/>
      </c>
      <c r="M31" s="20">
        <f>M29*M30</f>
        <v/>
      </c>
      <c r="N31" s="20">
        <f>N29*N30</f>
        <v/>
      </c>
      <c r="O31" s="20">
        <f>O29*O30</f>
        <v/>
      </c>
      <c r="P31" s="20">
        <f>P29*P30</f>
        <v/>
      </c>
    </row>
    <row r="35">
      <c r="A35" s="17" t="inlineStr">
        <is>
          <t>Sum PV Abnormal Earnings</t>
        </is>
      </c>
      <c r="G35" s="20">
        <f>SUM(G31:P31)</f>
        <v/>
      </c>
    </row>
    <row r="36">
      <c r="A36" s="17" t="inlineStr">
        <is>
          <t>Terminal Value</t>
        </is>
      </c>
      <c r="P36" s="20">
        <f>P29*(1+$B$9)/($B$5-$B$9)</f>
        <v/>
      </c>
    </row>
    <row r="37">
      <c r="A37" s="17" t="inlineStr">
        <is>
          <t>PV Terminal Value</t>
        </is>
      </c>
      <c r="G37" s="20">
        <f>P36*P30</f>
        <v/>
      </c>
    </row>
    <row r="38">
      <c r="A38" s="17" t="inlineStr">
        <is>
          <t>Intrinsic Value</t>
        </is>
      </c>
      <c r="G38" s="20">
        <f>G26+G35+G37</f>
        <v/>
      </c>
    </row>
    <row r="39">
      <c r="A39" s="17" t="inlineStr">
        <is>
          <t>Diluted Shares</t>
        </is>
      </c>
      <c r="G39" s="20" t="n">
        <v>1000</v>
      </c>
    </row>
    <row r="40">
      <c r="A40" s="17" t="inlineStr">
        <is>
          <t>Intrinsic Value per Share</t>
        </is>
      </c>
      <c r="G40" s="29">
        <f>G38/G39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40"/>
  <sheetViews>
    <sheetView showGridLines="0" workbookViewId="0">
      <pane xSplit="1" topLeftCell="B1" activePane="topRight" state="frozen"/>
      <selection pane="topRight" activeCell="A1" sqref="A1"/>
    </sheetView>
  </sheetViews>
  <sheetFormatPr baseColWidth="8" defaultRowHeight="15"/>
  <cols>
    <col width="42" customWidth="1" min="1" max="1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>
      <c r="A1" s="16" t="inlineStr">
        <is>
          <t>Demo Holdings Limited — Base Scenario</t>
        </is>
      </c>
    </row>
    <row r="5">
      <c r="A5" s="17" t="inlineStr">
        <is>
          <t>Cost of Equity (Ke)</t>
        </is>
      </c>
      <c r="B5" s="21" t="n">
        <v>0.0975</v>
      </c>
    </row>
    <row r="6">
      <c r="A6" s="17" t="inlineStr">
        <is>
          <t>Tax rate</t>
        </is>
      </c>
      <c r="B6" s="21" t="n">
        <v>0.165</v>
      </c>
    </row>
    <row r="7">
      <c r="A7" s="17" t="inlineStr">
        <is>
          <t>After-tax CoD</t>
        </is>
      </c>
      <c r="B7" s="21" t="n">
        <v>-0.2273251281748943</v>
      </c>
    </row>
    <row r="8">
      <c r="A8" s="17" t="inlineStr">
        <is>
          <t>Financial leverage</t>
        </is>
      </c>
      <c r="B8" s="21" t="n">
        <v>-0.09433962264150944</v>
      </c>
    </row>
    <row r="9">
      <c r="A9" s="17" t="inlineStr">
        <is>
          <t>Terminal growth (g)</t>
        </is>
      </c>
      <c r="B9" s="21" t="n">
        <v>0.03</v>
      </c>
    </row>
    <row r="20">
      <c r="A20" s="15" t="inlineStr">
        <is>
          <t>FORECAST BLOCK</t>
        </is>
      </c>
      <c r="G20" s="15" t="inlineStr">
        <is>
          <t>Y1</t>
        </is>
      </c>
      <c r="H20" s="15" t="inlineStr">
        <is>
          <t>Y2</t>
        </is>
      </c>
      <c r="I20" s="15" t="inlineStr">
        <is>
          <t>Y3</t>
        </is>
      </c>
      <c r="J20" s="15" t="inlineStr">
        <is>
          <t>Y4</t>
        </is>
      </c>
      <c r="K20" s="15" t="inlineStr">
        <is>
          <t>Y5</t>
        </is>
      </c>
      <c r="L20" s="15" t="inlineStr">
        <is>
          <t>Y6</t>
        </is>
      </c>
      <c r="M20" s="15" t="inlineStr">
        <is>
          <t>Y7</t>
        </is>
      </c>
      <c r="N20" s="15" t="inlineStr">
        <is>
          <t>Y8</t>
        </is>
      </c>
      <c r="O20" s="15" t="inlineStr">
        <is>
          <t>Y9</t>
        </is>
      </c>
      <c r="P20" s="15" t="inlineStr">
        <is>
          <t>Y10</t>
        </is>
      </c>
    </row>
    <row r="21">
      <c r="A21" s="14" t="inlineStr">
        <is>
          <t>Sales</t>
        </is>
      </c>
      <c r="G21" s="24" t="n"/>
      <c r="H21" s="19">
        <f>G21*(1+0.1)</f>
        <v/>
      </c>
      <c r="I21" s="19">
        <f>H21*(1+0.1)</f>
        <v/>
      </c>
      <c r="J21" s="19">
        <f>I21*(1+0.1)</f>
        <v/>
      </c>
      <c r="K21" s="19">
        <f>J21*(1+0.1)</f>
        <v/>
      </c>
      <c r="L21" s="19">
        <f>K21*(1+0.1)</f>
        <v/>
      </c>
      <c r="M21" s="19">
        <f>L21*(1+0.1)</f>
        <v/>
      </c>
      <c r="N21" s="19">
        <f>M21*(1+0.1)</f>
        <v/>
      </c>
      <c r="O21" s="19">
        <f>N21*(1+0.1)</f>
        <v/>
      </c>
      <c r="P21" s="19">
        <f>O21*(1+0.1)</f>
        <v/>
      </c>
    </row>
    <row r="22">
      <c r="A22" s="17" t="inlineStr">
        <is>
          <t>NOPAT Margin</t>
        </is>
      </c>
      <c r="G22" s="21" t="n">
        <v>0.15</v>
      </c>
      <c r="H22" s="21" t="n">
        <v>0.15</v>
      </c>
      <c r="I22" s="21" t="n">
        <v>0.15</v>
      </c>
      <c r="J22" s="21" t="n">
        <v>0.15</v>
      </c>
      <c r="K22" s="21" t="n">
        <v>0.15</v>
      </c>
      <c r="L22" s="21" t="n">
        <v>0.15</v>
      </c>
      <c r="M22" s="21" t="n">
        <v>0.15</v>
      </c>
      <c r="N22" s="21" t="n">
        <v>0.15</v>
      </c>
      <c r="O22" s="21" t="n">
        <v>0.15</v>
      </c>
      <c r="P22" s="21" t="n">
        <v>0.15</v>
      </c>
    </row>
    <row r="23">
      <c r="A23" s="14" t="inlineStr">
        <is>
          <t>NOWC</t>
        </is>
      </c>
      <c r="G23" s="19">
        <f>'Condensed Financials'!F31</f>
        <v/>
      </c>
      <c r="H23" s="19">
        <f>H21*0.05</f>
        <v/>
      </c>
      <c r="I23" s="19">
        <f>I21*0.05</f>
        <v/>
      </c>
      <c r="J23" s="19">
        <f>J21*0.05</f>
        <v/>
      </c>
      <c r="K23" s="19">
        <f>K21*0.05</f>
        <v/>
      </c>
      <c r="L23" s="19">
        <f>L21*0.05</f>
        <v/>
      </c>
      <c r="M23" s="19">
        <f>M21*0.05</f>
        <v/>
      </c>
      <c r="N23" s="19">
        <f>N21*0.05</f>
        <v/>
      </c>
      <c r="O23" s="19">
        <f>O21*0.05</f>
        <v/>
      </c>
      <c r="P23" s="19">
        <f>P21*0.05</f>
        <v/>
      </c>
    </row>
    <row r="24">
      <c r="A24" s="14" t="inlineStr">
        <is>
          <t>NOLA</t>
        </is>
      </c>
      <c r="G24" s="19">
        <f>'Condensed Financials'!F35-'Condensed Financials'!F31</f>
        <v/>
      </c>
      <c r="H24" s="19">
        <f>H21*0.5</f>
        <v/>
      </c>
      <c r="I24" s="19">
        <f>I21*0.5</f>
        <v/>
      </c>
      <c r="J24" s="19">
        <f>J21*0.5</f>
        <v/>
      </c>
      <c r="K24" s="19">
        <f>K21*0.5</f>
        <v/>
      </c>
      <c r="L24" s="19">
        <f>L21*0.5</f>
        <v/>
      </c>
      <c r="M24" s="19">
        <f>M21*0.5</f>
        <v/>
      </c>
      <c r="N24" s="19">
        <f>N21*0.5</f>
        <v/>
      </c>
      <c r="O24" s="19">
        <f>O21*0.5</f>
        <v/>
      </c>
      <c r="P24" s="19">
        <f>P21*0.5</f>
        <v/>
      </c>
    </row>
    <row r="25">
      <c r="A25" s="17" t="inlineStr">
        <is>
          <t>Net Debt</t>
        </is>
      </c>
      <c r="G25" s="20">
        <f>'Condensed Financials'!F38</f>
        <v/>
      </c>
      <c r="H25" s="20">
        <f>($B$8)*(H23+H24)</f>
        <v/>
      </c>
      <c r="I25" s="20">
        <f>($B$8)*(I23+I24)</f>
        <v/>
      </c>
      <c r="J25" s="20">
        <f>($B$8)*(J23+J24)</f>
        <v/>
      </c>
      <c r="K25" s="20">
        <f>($B$8)*(K23+K24)</f>
        <v/>
      </c>
      <c r="L25" s="20">
        <f>($B$8)*(L23+L24)</f>
        <v/>
      </c>
      <c r="M25" s="20">
        <f>($B$8)*(M23+M24)</f>
        <v/>
      </c>
      <c r="N25" s="20">
        <f>($B$8)*(N23+N24)</f>
        <v/>
      </c>
      <c r="O25" s="20">
        <f>($B$8)*(O23+O24)</f>
        <v/>
      </c>
      <c r="P25" s="20">
        <f>($B$8)*(P23+P24)</f>
        <v/>
      </c>
    </row>
    <row r="26">
      <c r="A26" s="17" t="inlineStr">
        <is>
          <t>Book Equity</t>
        </is>
      </c>
      <c r="G26" s="20">
        <f>G23+G24-G25</f>
        <v/>
      </c>
      <c r="H26" s="20">
        <f>H23+H24-H25</f>
        <v/>
      </c>
      <c r="I26" s="20">
        <f>I23+I24-I25</f>
        <v/>
      </c>
      <c r="J26" s="20">
        <f>J23+J24-J25</f>
        <v/>
      </c>
      <c r="K26" s="20">
        <f>K23+K24-K25</f>
        <v/>
      </c>
      <c r="L26" s="20">
        <f>L23+L24-L25</f>
        <v/>
      </c>
      <c r="M26" s="20">
        <f>M23+M24-M25</f>
        <v/>
      </c>
      <c r="N26" s="20">
        <f>N23+N24-N25</f>
        <v/>
      </c>
      <c r="O26" s="20">
        <f>O23+O24-O25</f>
        <v/>
      </c>
      <c r="P26" s="20">
        <f>P23+P24-P25</f>
        <v/>
      </c>
    </row>
    <row r="27">
      <c r="A27" s="14" t="inlineStr">
        <is>
          <t>NOPAT</t>
        </is>
      </c>
      <c r="G27" s="24" t="n"/>
      <c r="H27" s="19">
        <f>H21*H22</f>
        <v/>
      </c>
      <c r="I27" s="19">
        <f>I21*I22</f>
        <v/>
      </c>
      <c r="J27" s="19">
        <f>J21*J22</f>
        <v/>
      </c>
      <c r="K27" s="19">
        <f>K21*K22</f>
        <v/>
      </c>
      <c r="L27" s="19">
        <f>L21*L22</f>
        <v/>
      </c>
      <c r="M27" s="19">
        <f>M21*M22</f>
        <v/>
      </c>
      <c r="N27" s="19">
        <f>N21*N22</f>
        <v/>
      </c>
      <c r="O27" s="19">
        <f>O21*O22</f>
        <v/>
      </c>
      <c r="P27" s="19">
        <f>P21*P22</f>
        <v/>
      </c>
    </row>
    <row r="28">
      <c r="A28" s="17" t="inlineStr">
        <is>
          <t>Net Income</t>
        </is>
      </c>
      <c r="G28" s="20">
        <f>G27-G25*$B$7</f>
        <v/>
      </c>
      <c r="H28" s="20">
        <f>H27-H25*$B$7</f>
        <v/>
      </c>
      <c r="I28" s="20">
        <f>I27-I25*$B$7</f>
        <v/>
      </c>
      <c r="J28" s="20">
        <f>J27-J25*$B$7</f>
        <v/>
      </c>
      <c r="K28" s="20">
        <f>K27-K25*$B$7</f>
        <v/>
      </c>
      <c r="L28" s="20">
        <f>L27-L25*$B$7</f>
        <v/>
      </c>
      <c r="M28" s="20">
        <f>M27-M25*$B$7</f>
        <v/>
      </c>
      <c r="N28" s="20">
        <f>N27-N25*$B$7</f>
        <v/>
      </c>
      <c r="O28" s="20">
        <f>O27-O25*$B$7</f>
        <v/>
      </c>
      <c r="P28" s="20">
        <f>P27-P25*$B$7</f>
        <v/>
      </c>
    </row>
    <row r="29">
      <c r="A29" s="17" t="inlineStr">
        <is>
          <t>Abnormal Earnings</t>
        </is>
      </c>
      <c r="G29" s="25" t="n"/>
      <c r="H29" s="20">
        <f>H28-$B$5*H26</f>
        <v/>
      </c>
      <c r="I29" s="20">
        <f>I28-$B$5*I26</f>
        <v/>
      </c>
      <c r="J29" s="20">
        <f>J28-$B$5*J26</f>
        <v/>
      </c>
      <c r="K29" s="20">
        <f>K28-$B$5*K26</f>
        <v/>
      </c>
      <c r="L29" s="20">
        <f>L28-$B$5*L26</f>
        <v/>
      </c>
      <c r="M29" s="20">
        <f>M28-$B$5*M26</f>
        <v/>
      </c>
      <c r="N29" s="20">
        <f>N28-$B$5*N26</f>
        <v/>
      </c>
      <c r="O29" s="20">
        <f>O28-$B$5*O26</f>
        <v/>
      </c>
      <c r="P29" s="20">
        <f>P28-$B$5*P26</f>
        <v/>
      </c>
    </row>
    <row r="30">
      <c r="A30" s="17" t="inlineStr">
        <is>
          <t>Discount Factor</t>
        </is>
      </c>
      <c r="G30" s="29">
        <f>1/(1+$B$5)^1</f>
        <v/>
      </c>
      <c r="H30" s="29">
        <f>1/(1+$B$5)^2</f>
        <v/>
      </c>
      <c r="I30" s="29">
        <f>1/(1+$B$5)^3</f>
        <v/>
      </c>
      <c r="J30" s="29">
        <f>1/(1+$B$5)^4</f>
        <v/>
      </c>
      <c r="K30" s="29">
        <f>1/(1+$B$5)^5</f>
        <v/>
      </c>
      <c r="L30" s="29">
        <f>1/(1+$B$5)^6</f>
        <v/>
      </c>
      <c r="M30" s="29">
        <f>1/(1+$B$5)^7</f>
        <v/>
      </c>
      <c r="N30" s="29">
        <f>1/(1+$B$5)^8</f>
        <v/>
      </c>
      <c r="O30" s="29">
        <f>1/(1+$B$5)^9</f>
        <v/>
      </c>
      <c r="P30" s="29">
        <f>1/(1+$B$5)^10</f>
        <v/>
      </c>
    </row>
    <row r="31">
      <c r="A31" s="17" t="inlineStr">
        <is>
          <t>PV Abnormal Earnings</t>
        </is>
      </c>
      <c r="G31" s="20">
        <f>G29*G30</f>
        <v/>
      </c>
      <c r="H31" s="20">
        <f>H29*H30</f>
        <v/>
      </c>
      <c r="I31" s="20">
        <f>I29*I30</f>
        <v/>
      </c>
      <c r="J31" s="20">
        <f>J29*J30</f>
        <v/>
      </c>
      <c r="K31" s="20">
        <f>K29*K30</f>
        <v/>
      </c>
      <c r="L31" s="20">
        <f>L29*L30</f>
        <v/>
      </c>
      <c r="M31" s="20">
        <f>M29*M30</f>
        <v/>
      </c>
      <c r="N31" s="20">
        <f>N29*N30</f>
        <v/>
      </c>
      <c r="O31" s="20">
        <f>O29*O30</f>
        <v/>
      </c>
      <c r="P31" s="20">
        <f>P29*P30</f>
        <v/>
      </c>
    </row>
    <row r="35">
      <c r="A35" s="17" t="inlineStr">
        <is>
          <t>Sum PV Abnormal Earnings</t>
        </is>
      </c>
      <c r="G35" s="20">
        <f>SUM(G31:P31)</f>
        <v/>
      </c>
    </row>
    <row r="36">
      <c r="A36" s="17" t="inlineStr">
        <is>
          <t>Terminal Value</t>
        </is>
      </c>
      <c r="P36" s="20">
        <f>P29*(1+$B$9)/($B$5-$B$9)</f>
        <v/>
      </c>
    </row>
    <row r="37">
      <c r="A37" s="17" t="inlineStr">
        <is>
          <t>PV Terminal Value</t>
        </is>
      </c>
      <c r="G37" s="25" t="n"/>
    </row>
    <row r="38">
      <c r="A38" s="17" t="inlineStr">
        <is>
          <t>Intrinsic Value</t>
        </is>
      </c>
      <c r="G38" s="20">
        <f>G26+G35+G37</f>
        <v/>
      </c>
    </row>
    <row r="39">
      <c r="A39" s="17" t="inlineStr">
        <is>
          <t>Diluted Shares</t>
        </is>
      </c>
      <c r="G39" s="20" t="n">
        <v>1000</v>
      </c>
    </row>
    <row r="40">
      <c r="A40" s="17" t="inlineStr">
        <is>
          <t>Intrinsic Value per Share</t>
        </is>
      </c>
      <c r="G40" s="30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40"/>
  <sheetViews>
    <sheetView showGridLines="0" workbookViewId="0">
      <pane xSplit="1" topLeftCell="B1" activePane="topRight" state="frozen"/>
      <selection pane="topRight" activeCell="A1" sqref="A1"/>
    </sheetView>
  </sheetViews>
  <sheetFormatPr baseColWidth="8" defaultRowHeight="15"/>
  <cols>
    <col width="42" customWidth="1" min="1" max="1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>
      <c r="A1" s="16" t="inlineStr">
        <is>
          <t>Demo Holdings Limited — Bull Scenario</t>
        </is>
      </c>
    </row>
    <row r="5">
      <c r="A5" s="17" t="inlineStr">
        <is>
          <t>Cost of Equity (Ke)</t>
        </is>
      </c>
      <c r="B5" s="21" t="n">
        <v>0.0925</v>
      </c>
    </row>
    <row r="6">
      <c r="A6" s="17" t="inlineStr">
        <is>
          <t>Tax rate</t>
        </is>
      </c>
      <c r="B6" s="21" t="n">
        <v>0.165</v>
      </c>
    </row>
    <row r="7">
      <c r="A7" s="17" t="inlineStr">
        <is>
          <t>After-tax CoD</t>
        </is>
      </c>
      <c r="B7" s="21" t="n">
        <v>-0.2273251281748943</v>
      </c>
    </row>
    <row r="8">
      <c r="A8" s="17" t="inlineStr">
        <is>
          <t>Financial leverage</t>
        </is>
      </c>
      <c r="B8" s="21" t="n">
        <v>-0.09433962264150944</v>
      </c>
    </row>
    <row r="9">
      <c r="A9" s="17" t="inlineStr">
        <is>
          <t>Terminal growth (g)</t>
        </is>
      </c>
      <c r="B9" s="21" t="n">
        <v>0.03</v>
      </c>
    </row>
    <row r="20">
      <c r="A20" s="15" t="inlineStr">
        <is>
          <t>FORECAST BLOCK</t>
        </is>
      </c>
      <c r="G20" s="15" t="inlineStr">
        <is>
          <t>Y1</t>
        </is>
      </c>
      <c r="H20" s="15" t="inlineStr">
        <is>
          <t>Y2</t>
        </is>
      </c>
      <c r="I20" s="15" t="inlineStr">
        <is>
          <t>Y3</t>
        </is>
      </c>
      <c r="J20" s="15" t="inlineStr">
        <is>
          <t>Y4</t>
        </is>
      </c>
      <c r="K20" s="15" t="inlineStr">
        <is>
          <t>Y5</t>
        </is>
      </c>
      <c r="L20" s="15" t="inlineStr">
        <is>
          <t>Y6</t>
        </is>
      </c>
      <c r="M20" s="15" t="inlineStr">
        <is>
          <t>Y7</t>
        </is>
      </c>
      <c r="N20" s="15" t="inlineStr">
        <is>
          <t>Y8</t>
        </is>
      </c>
      <c r="O20" s="15" t="inlineStr">
        <is>
          <t>Y9</t>
        </is>
      </c>
      <c r="P20" s="15" t="inlineStr">
        <is>
          <t>Y10</t>
        </is>
      </c>
    </row>
    <row r="21">
      <c r="A21" s="14" t="inlineStr">
        <is>
          <t>Sales</t>
        </is>
      </c>
      <c r="G21" s="19">
        <f>'Income Statement'!F7*(1+0.1)</f>
        <v/>
      </c>
      <c r="H21" s="19">
        <f>G21*(1+0.1)</f>
        <v/>
      </c>
      <c r="I21" s="19">
        <f>H21*(1+0.1)</f>
        <v/>
      </c>
      <c r="J21" s="19">
        <f>I21*(1+0.1)</f>
        <v/>
      </c>
      <c r="K21" s="19">
        <f>J21*(1+0.1)</f>
        <v/>
      </c>
      <c r="L21" s="19">
        <f>K21*(1+0.1)</f>
        <v/>
      </c>
      <c r="M21" s="19">
        <f>L21*(1+0.1)</f>
        <v/>
      </c>
      <c r="N21" s="19">
        <f>M21*(1+0.1)</f>
        <v/>
      </c>
      <c r="O21" s="19">
        <f>N21*(1+0.1)</f>
        <v/>
      </c>
      <c r="P21" s="19">
        <f>O21*(1+0.1)</f>
        <v/>
      </c>
    </row>
    <row r="22">
      <c r="A22" s="17" t="inlineStr">
        <is>
          <t>NOPAT Margin</t>
        </is>
      </c>
      <c r="G22" s="21" t="n">
        <v>0.15</v>
      </c>
      <c r="H22" s="21" t="n">
        <v>0.15</v>
      </c>
      <c r="I22" s="21" t="n">
        <v>0.15</v>
      </c>
      <c r="J22" s="21" t="n">
        <v>0.15</v>
      </c>
      <c r="K22" s="21" t="n">
        <v>0.15</v>
      </c>
      <c r="L22" s="21" t="n">
        <v>0.15</v>
      </c>
      <c r="M22" s="21" t="n">
        <v>0.15</v>
      </c>
      <c r="N22" s="21" t="n">
        <v>0.15</v>
      </c>
      <c r="O22" s="21" t="n">
        <v>0.15</v>
      </c>
      <c r="P22" s="21" t="n">
        <v>0.15</v>
      </c>
    </row>
    <row r="23">
      <c r="A23" s="14" t="inlineStr">
        <is>
          <t>NOWC</t>
        </is>
      </c>
      <c r="G23" s="19">
        <f>'Condensed Financials'!F31</f>
        <v/>
      </c>
      <c r="H23" s="19">
        <f>H21*0.05</f>
        <v/>
      </c>
      <c r="I23" s="19">
        <f>I21*0.05</f>
        <v/>
      </c>
      <c r="J23" s="19">
        <f>J21*0.05</f>
        <v/>
      </c>
      <c r="K23" s="19">
        <f>K21*0.05</f>
        <v/>
      </c>
      <c r="L23" s="19">
        <f>L21*0.05</f>
        <v/>
      </c>
      <c r="M23" s="19">
        <f>M21*0.05</f>
        <v/>
      </c>
      <c r="N23" s="19">
        <f>N21*0.05</f>
        <v/>
      </c>
      <c r="O23" s="19">
        <f>O21*0.05</f>
        <v/>
      </c>
      <c r="P23" s="19">
        <f>P21*0.05</f>
        <v/>
      </c>
    </row>
    <row r="24">
      <c r="A24" s="14" t="inlineStr">
        <is>
          <t>NOLA</t>
        </is>
      </c>
      <c r="G24" s="19">
        <f>'Condensed Financials'!F35-'Condensed Financials'!F31</f>
        <v/>
      </c>
      <c r="H24" s="19">
        <f>H21*0.5</f>
        <v/>
      </c>
      <c r="I24" s="19">
        <f>I21*0.5</f>
        <v/>
      </c>
      <c r="J24" s="19">
        <f>J21*0.5</f>
        <v/>
      </c>
      <c r="K24" s="19">
        <f>K21*0.5</f>
        <v/>
      </c>
      <c r="L24" s="19">
        <f>L21*0.5</f>
        <v/>
      </c>
      <c r="M24" s="19">
        <f>M21*0.5</f>
        <v/>
      </c>
      <c r="N24" s="19">
        <f>N21*0.5</f>
        <v/>
      </c>
      <c r="O24" s="19">
        <f>O21*0.5</f>
        <v/>
      </c>
      <c r="P24" s="19">
        <f>P21*0.5</f>
        <v/>
      </c>
    </row>
    <row r="25">
      <c r="A25" s="17" t="inlineStr">
        <is>
          <t>Net Debt</t>
        </is>
      </c>
      <c r="G25" s="20">
        <f>'Condensed Financials'!F38</f>
        <v/>
      </c>
      <c r="H25" s="20">
        <f>($B$8)*(H23+H24)</f>
        <v/>
      </c>
      <c r="I25" s="20">
        <f>($B$8)*(I23+I24)</f>
        <v/>
      </c>
      <c r="J25" s="20">
        <f>($B$8)*(J23+J24)</f>
        <v/>
      </c>
      <c r="K25" s="20">
        <f>($B$8)*(K23+K24)</f>
        <v/>
      </c>
      <c r="L25" s="20">
        <f>($B$8)*(L23+L24)</f>
        <v/>
      </c>
      <c r="M25" s="20">
        <f>($B$8)*(M23+M24)</f>
        <v/>
      </c>
      <c r="N25" s="20">
        <f>($B$8)*(N23+N24)</f>
        <v/>
      </c>
      <c r="O25" s="20">
        <f>($B$8)*(O23+O24)</f>
        <v/>
      </c>
      <c r="P25" s="20">
        <f>($B$8)*(P23+P24)</f>
        <v/>
      </c>
    </row>
    <row r="26">
      <c r="A26" s="17" t="inlineStr">
        <is>
          <t>Book Equity</t>
        </is>
      </c>
      <c r="G26" s="20">
        <f>G23+G24-G25</f>
        <v/>
      </c>
      <c r="H26" s="20">
        <f>H23+H24-H25</f>
        <v/>
      </c>
      <c r="I26" s="20">
        <f>I23+I24-I25</f>
        <v/>
      </c>
      <c r="J26" s="20">
        <f>J23+J24-J25</f>
        <v/>
      </c>
      <c r="K26" s="20">
        <f>K23+K24-K25</f>
        <v/>
      </c>
      <c r="L26" s="20">
        <f>L23+L24-L25</f>
        <v/>
      </c>
      <c r="M26" s="20">
        <f>M23+M24-M25</f>
        <v/>
      </c>
      <c r="N26" s="20">
        <f>N23+N24-N25</f>
        <v/>
      </c>
      <c r="O26" s="20">
        <f>O23+O24-O25</f>
        <v/>
      </c>
      <c r="P26" s="20">
        <f>P23+P24-P25</f>
        <v/>
      </c>
    </row>
    <row r="27">
      <c r="A27" s="14" t="inlineStr">
        <is>
          <t>NOPAT</t>
        </is>
      </c>
      <c r="G27" s="19">
        <f>G21*G22</f>
        <v/>
      </c>
      <c r="H27" s="19">
        <f>H21*H22</f>
        <v/>
      </c>
      <c r="I27" s="19">
        <f>I21*I22</f>
        <v/>
      </c>
      <c r="J27" s="19">
        <f>J21*J22</f>
        <v/>
      </c>
      <c r="K27" s="19">
        <f>K21*K22</f>
        <v/>
      </c>
      <c r="L27" s="19">
        <f>L21*L22</f>
        <v/>
      </c>
      <c r="M27" s="19">
        <f>M21*M22</f>
        <v/>
      </c>
      <c r="N27" s="19">
        <f>N21*N22</f>
        <v/>
      </c>
      <c r="O27" s="19">
        <f>O21*O22</f>
        <v/>
      </c>
      <c r="P27" s="19">
        <f>P21*P22</f>
        <v/>
      </c>
    </row>
    <row r="28">
      <c r="A28" s="17" t="inlineStr">
        <is>
          <t>Net Income</t>
        </is>
      </c>
      <c r="G28" s="20">
        <f>G27-G25*$B$7</f>
        <v/>
      </c>
      <c r="H28" s="20">
        <f>H27-H25*$B$7</f>
        <v/>
      </c>
      <c r="I28" s="20">
        <f>I27-I25*$B$7</f>
        <v/>
      </c>
      <c r="J28" s="20">
        <f>J27-J25*$B$7</f>
        <v/>
      </c>
      <c r="K28" s="20">
        <f>K27-K25*$B$7</f>
        <v/>
      </c>
      <c r="L28" s="20">
        <f>L27-L25*$B$7</f>
        <v/>
      </c>
      <c r="M28" s="20">
        <f>M27-M25*$B$7</f>
        <v/>
      </c>
      <c r="N28" s="20">
        <f>N27-N25*$B$7</f>
        <v/>
      </c>
      <c r="O28" s="20">
        <f>O27-O25*$B$7</f>
        <v/>
      </c>
      <c r="P28" s="20">
        <f>P27-P25*$B$7</f>
        <v/>
      </c>
    </row>
    <row r="29">
      <c r="A29" s="17" t="inlineStr">
        <is>
          <t>Abnormal Earnings</t>
        </is>
      </c>
      <c r="G29" s="20">
        <f>G28-$B$5*G26</f>
        <v/>
      </c>
      <c r="H29" s="20">
        <f>H28-$B$5*H26</f>
        <v/>
      </c>
      <c r="I29" s="20">
        <f>I28-$B$5*I26</f>
        <v/>
      </c>
      <c r="J29" s="20">
        <f>J28-$B$5*J26</f>
        <v/>
      </c>
      <c r="K29" s="20">
        <f>K28-$B$5*K26</f>
        <v/>
      </c>
      <c r="L29" s="20">
        <f>L28-$B$5*L26</f>
        <v/>
      </c>
      <c r="M29" s="20">
        <f>M28-$B$5*M26</f>
        <v/>
      </c>
      <c r="N29" s="20">
        <f>N28-$B$5*N26</f>
        <v/>
      </c>
      <c r="O29" s="20">
        <f>O28-$B$5*O26</f>
        <v/>
      </c>
      <c r="P29" s="20">
        <f>P28-$B$5*P26</f>
        <v/>
      </c>
    </row>
    <row r="30">
      <c r="A30" s="17" t="inlineStr">
        <is>
          <t>Discount Factor</t>
        </is>
      </c>
      <c r="G30" s="29">
        <f>1/(1+$B$5)^1</f>
        <v/>
      </c>
      <c r="H30" s="29">
        <f>1/(1+$B$5)^2</f>
        <v/>
      </c>
      <c r="I30" s="29">
        <f>1/(1+$B$5)^3</f>
        <v/>
      </c>
      <c r="J30" s="29">
        <f>1/(1+$B$5)^4</f>
        <v/>
      </c>
      <c r="K30" s="29">
        <f>1/(1+$B$5)^5</f>
        <v/>
      </c>
      <c r="L30" s="29">
        <f>1/(1+$B$5)^6</f>
        <v/>
      </c>
      <c r="M30" s="29">
        <f>1/(1+$B$5)^7</f>
        <v/>
      </c>
      <c r="N30" s="29">
        <f>1/(1+$B$5)^8</f>
        <v/>
      </c>
      <c r="O30" s="29">
        <f>1/(1+$B$5)^9</f>
        <v/>
      </c>
      <c r="P30" s="29">
        <f>1/(1+$B$5)^10</f>
        <v/>
      </c>
    </row>
    <row r="31">
      <c r="A31" s="17" t="inlineStr">
        <is>
          <t>PV Abnormal Earnings</t>
        </is>
      </c>
      <c r="G31" s="20">
        <f>G29*G30</f>
        <v/>
      </c>
      <c r="H31" s="20">
        <f>H29*H30</f>
        <v/>
      </c>
      <c r="I31" s="20">
        <f>I29*I30</f>
        <v/>
      </c>
      <c r="J31" s="20">
        <f>J29*J30</f>
        <v/>
      </c>
      <c r="K31" s="20">
        <f>K29*K30</f>
        <v/>
      </c>
      <c r="L31" s="20">
        <f>L29*L30</f>
        <v/>
      </c>
      <c r="M31" s="20">
        <f>M29*M30</f>
        <v/>
      </c>
      <c r="N31" s="20">
        <f>N29*N30</f>
        <v/>
      </c>
      <c r="O31" s="20">
        <f>O29*O30</f>
        <v/>
      </c>
      <c r="P31" s="20">
        <f>P29*P30</f>
        <v/>
      </c>
    </row>
    <row r="35">
      <c r="A35" s="17" t="inlineStr">
        <is>
          <t>Sum PV Abnormal Earnings</t>
        </is>
      </c>
      <c r="G35" s="20">
        <f>SUM(G31:P31)</f>
        <v/>
      </c>
    </row>
    <row r="36">
      <c r="A36" s="17" t="inlineStr">
        <is>
          <t>Terminal Value</t>
        </is>
      </c>
      <c r="P36" s="20">
        <f>P29*(1+$B$9)/($B$5-$B$9)</f>
        <v/>
      </c>
    </row>
    <row r="37">
      <c r="A37" s="17" t="inlineStr">
        <is>
          <t>PV Terminal Value</t>
        </is>
      </c>
      <c r="G37" s="20">
        <f>P36*P30</f>
        <v/>
      </c>
    </row>
    <row r="38">
      <c r="A38" s="17" t="inlineStr">
        <is>
          <t>Intrinsic Value</t>
        </is>
      </c>
      <c r="G38" s="20">
        <f>G26+G35+G37</f>
        <v/>
      </c>
    </row>
    <row r="39">
      <c r="A39" s="17" t="inlineStr">
        <is>
          <t>Diluted Shares</t>
        </is>
      </c>
      <c r="G39" s="20" t="n">
        <v>1000</v>
      </c>
    </row>
    <row r="40">
      <c r="A40" s="17" t="inlineStr">
        <is>
          <t>Intrinsic Value per Share</t>
        </is>
      </c>
      <c r="G40" s="29">
        <f>G38/G39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selection activeCell="A1" sqref="A1"/>
    </sheetView>
  </sheetViews>
  <sheetFormatPr baseColWidth="8" defaultRowHeight="15"/>
  <sheetData>
    <row r="1">
      <c r="A1" s="16" t="inlineStr">
        <is>
          <t>Demo Holdings Limited — Scenario Summary</t>
        </is>
      </c>
    </row>
    <row r="3">
      <c r="A3" s="15" t="inlineStr">
        <is>
          <t>Scenario</t>
        </is>
      </c>
      <c r="B3" s="15" t="inlineStr">
        <is>
          <t>Probability</t>
        </is>
      </c>
      <c r="C3" s="15" t="inlineStr">
        <is>
          <t>IVPS</t>
        </is>
      </c>
      <c r="D3" s="31" t="n"/>
      <c r="E3" s="31" t="n"/>
    </row>
    <row r="4">
      <c r="A4" s="14" t="inlineStr">
        <is>
          <t>Bear</t>
        </is>
      </c>
      <c r="B4" s="32" t="n">
        <v>0.25</v>
      </c>
      <c r="C4" s="14">
        <f>'Model_Bear'!G40</f>
        <v/>
      </c>
    </row>
    <row r="5">
      <c r="A5" s="14" t="inlineStr">
        <is>
          <t>Base</t>
        </is>
      </c>
      <c r="B5" s="32" t="n">
        <v>0.5</v>
      </c>
      <c r="C5" s="14">
        <f>'Model_Base'!G40</f>
        <v/>
      </c>
    </row>
    <row r="6">
      <c r="A6" s="14" t="inlineStr">
        <is>
          <t>Bull</t>
        </is>
      </c>
      <c r="B6" s="32" t="n">
        <v>0.25</v>
      </c>
      <c r="C6" s="14">
        <f>'Model_Bull'!G40</f>
        <v/>
      </c>
    </row>
    <row r="8">
      <c r="A8" s="17" t="inlineStr">
        <is>
          <t>Weighted IVPS</t>
        </is>
      </c>
      <c r="E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2026-09-03T04:06:43Z</dcterms:created>
  <dcterms:modified xmlns:dcterms="http://purl.org/dc/terms/" xmlns:xsi="http://www.w3.org/2001/XMLSchema-instance" xsi:type="dcterms:W3CDTF">2026-09-03T04:06:43Z</dcterms:modified>
</cp:coreProperties>
</file>