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Condensed Financials" sheetId="4" state="visible" r:id="rId4"/>
    <sheet xmlns:r="http://schemas.openxmlformats.org/officeDocument/2006/relationships" name="ALT DuPont" sheetId="5" state="visible" r:id="rId5"/>
    <sheet xmlns:r="http://schemas.openxmlformats.org/officeDocument/2006/relationships" name="Model_Bear" sheetId="6" state="visible" r:id="rId6"/>
    <sheet xmlns:r="http://schemas.openxmlformats.org/officeDocument/2006/relationships" name="Model_Base" sheetId="7" state="visible" r:id="rId7"/>
    <sheet xmlns:r="http://schemas.openxmlformats.org/officeDocument/2006/relationships" name="Model_Bull" sheetId="8" state="visible" r:id="rId8"/>
    <sheet xmlns:r="http://schemas.openxmlformats.org/officeDocument/2006/relationships" name="Scenario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dd, yyyy"/>
    <numFmt numFmtId="166" formatCode="#,##0;(#,##0)"/>
    <numFmt numFmtId="167" formatCode="0.0%"/>
  </numFmts>
  <fonts count="5">
    <font>
      <name val="Calibri"/>
      <family val="2"/>
      <color theme="1"/>
      <sz val="11"/>
      <scheme val="minor"/>
    </font>
    <font>
      <b val="1"/>
    </font>
    <font/>
    <font>
      <color rgb="000000FF"/>
    </font>
    <font/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7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7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Demo Holdings Limited (DEMO)</t>
        </is>
      </c>
    </row>
    <row r="2">
      <c r="A2" t="inlineStr">
        <is>
          <t>Statement: Income Statement</t>
        </is>
      </c>
    </row>
    <row r="3">
      <c r="A3" t="inlineStr">
        <is>
          <t>Units: HKD in Millions</t>
        </is>
      </c>
    </row>
    <row r="4">
      <c r="A4" t="inlineStr">
        <is>
          <t>Source: HK manual ingestion (HK)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t="inlineStr">
        <is>
          <t>Revenue</t>
        </is>
      </c>
      <c r="B7" s="3" t="n">
        <v>8500</v>
      </c>
      <c r="C7" s="3" t="n">
        <v>9200</v>
      </c>
      <c r="D7" s="3" t="n">
        <v>10100</v>
      </c>
      <c r="E7" s="3" t="n">
        <v>11200</v>
      </c>
      <c r="F7" s="3" t="n">
        <v>12500</v>
      </c>
    </row>
    <row r="8">
      <c r="A8" t="inlineStr">
        <is>
          <t>Cost of sales</t>
        </is>
      </c>
      <c r="B8" s="3" t="n">
        <v>-3400</v>
      </c>
      <c r="C8" s="3" t="n">
        <v>-3680</v>
      </c>
      <c r="D8" s="3" t="n">
        <v>-4040</v>
      </c>
      <c r="E8" s="3" t="n">
        <v>-4480</v>
      </c>
      <c r="F8" s="3" t="n">
        <v>-5000</v>
      </c>
    </row>
    <row r="9">
      <c r="A9" t="inlineStr">
        <is>
          <t>Gross profit</t>
        </is>
      </c>
      <c r="B9" s="3" t="n">
        <v>5100</v>
      </c>
      <c r="C9" s="3" t="n">
        <v>5520</v>
      </c>
      <c r="D9" s="3" t="n">
        <v>6060</v>
      </c>
      <c r="E9" s="3" t="n">
        <v>6720</v>
      </c>
      <c r="F9" s="3" t="n">
        <v>7500</v>
      </c>
    </row>
    <row r="10">
      <c r="A10" t="inlineStr">
        <is>
          <t>Administrative expenses</t>
        </is>
      </c>
      <c r="B10" s="3" t="n">
        <v>-1700</v>
      </c>
      <c r="C10" s="3" t="n">
        <v>-1840</v>
      </c>
      <c r="D10" s="3" t="n">
        <v>-2020</v>
      </c>
      <c r="E10" s="3" t="n">
        <v>-2240</v>
      </c>
      <c r="F10" s="3" t="n">
        <v>-2500</v>
      </c>
    </row>
    <row r="11">
      <c r="A11" t="inlineStr">
        <is>
          <t>Operating profit</t>
        </is>
      </c>
      <c r="B11" s="3" t="n">
        <v>3400</v>
      </c>
      <c r="C11" s="3" t="n">
        <v>3680</v>
      </c>
      <c r="D11" s="3" t="n">
        <v>4040</v>
      </c>
      <c r="E11" s="3" t="n">
        <v>4480</v>
      </c>
      <c r="F11" s="3" t="n">
        <v>5000</v>
      </c>
    </row>
    <row r="12">
      <c r="A12" t="inlineStr">
        <is>
          <t>Finance costs</t>
        </is>
      </c>
      <c r="B12" s="3" t="n">
        <v>-120</v>
      </c>
      <c r="C12" s="3" t="n">
        <v>-130</v>
      </c>
      <c r="D12" s="3" t="n">
        <v>-140</v>
      </c>
      <c r="E12" s="3" t="n">
        <v>-150</v>
      </c>
      <c r="F12" s="3" t="n">
        <v>-160</v>
      </c>
    </row>
    <row r="13">
      <c r="A13" t="inlineStr">
        <is>
          <t>Finance income</t>
        </is>
      </c>
      <c r="B13" s="3" t="n">
        <v>45</v>
      </c>
      <c r="C13" s="3" t="n">
        <v>50</v>
      </c>
      <c r="D13" s="3" t="n">
        <v>55</v>
      </c>
      <c r="E13" s="3" t="n">
        <v>60</v>
      </c>
      <c r="F13" s="3" t="n">
        <v>65</v>
      </c>
    </row>
    <row r="14">
      <c r="A14" t="inlineStr">
        <is>
          <t>Profit before tax</t>
        </is>
      </c>
      <c r="B14" s="3" t="n">
        <v>3325</v>
      </c>
      <c r="C14" s="3" t="n">
        <v>3600</v>
      </c>
      <c r="D14" s="3" t="n">
        <v>3955</v>
      </c>
      <c r="E14" s="3" t="n">
        <v>4390</v>
      </c>
      <c r="F14" s="3" t="n">
        <v>4905</v>
      </c>
    </row>
    <row r="15">
      <c r="A15" t="inlineStr">
        <is>
          <t>Income tax expense</t>
        </is>
      </c>
      <c r="B15" s="3" t="n">
        <v>-565</v>
      </c>
      <c r="C15" s="3" t="n">
        <v>-612</v>
      </c>
      <c r="D15" s="3" t="n">
        <v>-672</v>
      </c>
      <c r="E15" s="3" t="n">
        <v>-746</v>
      </c>
      <c r="F15" s="3" t="n">
        <v>-833</v>
      </c>
    </row>
    <row r="16">
      <c r="A16" t="inlineStr">
        <is>
          <t>Profit for the year</t>
        </is>
      </c>
      <c r="B16" s="3" t="n">
        <v>2760</v>
      </c>
      <c r="C16" s="3" t="n">
        <v>2988</v>
      </c>
      <c r="D16" s="3" t="n">
        <v>3283</v>
      </c>
      <c r="E16" s="3" t="n">
        <v>3644</v>
      </c>
      <c r="F16" s="3" t="n">
        <v>4072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Demo Holdings Limited (DEMO)</t>
        </is>
      </c>
    </row>
    <row r="2">
      <c r="A2" t="inlineStr">
        <is>
          <t>Statement: Balance Sheet</t>
        </is>
      </c>
    </row>
    <row r="3">
      <c r="A3" t="inlineStr">
        <is>
          <t>Units: HKD in Millions</t>
        </is>
      </c>
    </row>
    <row r="4">
      <c r="A4" t="inlineStr">
        <is>
          <t>Source: HK manual ingestion (HK)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t="inlineStr">
        <is>
          <t>Cash and cash equivalents</t>
        </is>
      </c>
      <c r="B7" s="3" t="n">
        <v>1200</v>
      </c>
      <c r="C7" s="3" t="n">
        <v>1350</v>
      </c>
      <c r="D7" s="3" t="n">
        <v>1500</v>
      </c>
      <c r="E7" s="3" t="n">
        <v>1680</v>
      </c>
      <c r="F7" s="3" t="n">
        <v>1850</v>
      </c>
    </row>
    <row r="8">
      <c r="A8" t="inlineStr">
        <is>
          <t>Trade receivables</t>
        </is>
      </c>
      <c r="B8" s="3" t="n">
        <v>850</v>
      </c>
      <c r="C8" s="3" t="n">
        <v>920</v>
      </c>
      <c r="D8" s="3" t="n">
        <v>1010</v>
      </c>
      <c r="E8" s="3" t="n">
        <v>1120</v>
      </c>
      <c r="F8" s="3" t="n">
        <v>1250</v>
      </c>
    </row>
    <row r="9">
      <c r="A9" t="inlineStr">
        <is>
          <t>Inventories</t>
        </is>
      </c>
      <c r="B9" s="3" t="n">
        <v>680</v>
      </c>
      <c r="C9" s="3" t="n">
        <v>736</v>
      </c>
      <c r="D9" s="3" t="n">
        <v>808</v>
      </c>
      <c r="E9" s="3" t="n">
        <v>896</v>
      </c>
      <c r="F9" s="3" t="n">
        <v>1000</v>
      </c>
    </row>
    <row r="10">
      <c r="A10" t="inlineStr">
        <is>
          <t>Property, plant and equipment</t>
        </is>
      </c>
      <c r="B10" s="3" t="n">
        <v>3200</v>
      </c>
      <c r="C10" s="3" t="n">
        <v>3400</v>
      </c>
      <c r="D10" s="3" t="n">
        <v>3600</v>
      </c>
      <c r="E10" s="3" t="n">
        <v>3800</v>
      </c>
      <c r="F10" s="3" t="n">
        <v>4000</v>
      </c>
    </row>
    <row r="11">
      <c r="A11" t="inlineStr">
        <is>
          <t>Goodwill</t>
        </is>
      </c>
      <c r="B11" s="3" t="n">
        <v>900</v>
      </c>
      <c r="C11" s="3" t="n">
        <v>900</v>
      </c>
      <c r="D11" s="3" t="n">
        <v>900</v>
      </c>
      <c r="E11" s="3" t="n">
        <v>900</v>
      </c>
      <c r="F11" s="3" t="n">
        <v>900</v>
      </c>
    </row>
    <row r="12">
      <c r="A12" t="inlineStr">
        <is>
          <t>Total assets</t>
        </is>
      </c>
      <c r="B12" s="3" t="n">
        <v>8500</v>
      </c>
      <c r="C12" s="3" t="n">
        <v>9200</v>
      </c>
      <c r="D12" s="3" t="n">
        <v>10100</v>
      </c>
      <c r="E12" s="3" t="n">
        <v>11200</v>
      </c>
      <c r="F12" s="3" t="n">
        <v>12500</v>
      </c>
    </row>
    <row r="13">
      <c r="A13" t="inlineStr">
        <is>
          <t>Trade payables</t>
        </is>
      </c>
      <c r="B13" s="3" t="n">
        <v>595</v>
      </c>
      <c r="C13" s="3" t="n">
        <v>644</v>
      </c>
      <c r="D13" s="3" t="n">
        <v>707</v>
      </c>
      <c r="E13" s="3" t="n">
        <v>784</v>
      </c>
      <c r="F13" s="3" t="n">
        <v>875</v>
      </c>
    </row>
    <row r="14">
      <c r="A14" t="inlineStr">
        <is>
          <t>Bank borrowings</t>
        </is>
      </c>
      <c r="B14" s="3" t="n">
        <v>1500</v>
      </c>
      <c r="C14" s="3" t="n">
        <v>1400</v>
      </c>
      <c r="D14" s="3" t="n">
        <v>1300</v>
      </c>
      <c r="E14" s="3" t="n">
        <v>1200</v>
      </c>
      <c r="F14" s="3" t="n">
        <v>1100</v>
      </c>
    </row>
    <row r="15">
      <c r="A15" t="inlineStr">
        <is>
          <t>Total liabilities</t>
        </is>
      </c>
      <c r="B15" s="3" t="n">
        <v>3400</v>
      </c>
      <c r="C15" s="3" t="n">
        <v>3500</v>
      </c>
      <c r="D15" s="3" t="n">
        <v>3600</v>
      </c>
      <c r="E15" s="3" t="n">
        <v>3700</v>
      </c>
      <c r="F15" s="3" t="n">
        <v>3800</v>
      </c>
    </row>
    <row r="16">
      <c r="A16" t="inlineStr">
        <is>
          <t>Share capital and reserves</t>
        </is>
      </c>
      <c r="B16" s="3" t="n">
        <v>5100</v>
      </c>
      <c r="C16" s="3" t="n">
        <v>5700</v>
      </c>
      <c r="D16" s="3" t="n">
        <v>6500</v>
      </c>
      <c r="E16" s="3" t="n">
        <v>7500</v>
      </c>
      <c r="F16" s="3" t="n">
        <v>8700</v>
      </c>
    </row>
    <row r="17">
      <c r="A17" t="inlineStr">
        <is>
          <t>Total equity</t>
        </is>
      </c>
      <c r="B17" s="3" t="n">
        <v>5100</v>
      </c>
      <c r="C17" s="3" t="n">
        <v>5700</v>
      </c>
      <c r="D17" s="3" t="n">
        <v>6500</v>
      </c>
      <c r="E17" s="3" t="n">
        <v>7500</v>
      </c>
      <c r="F17" s="3" t="n">
        <v>8700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Demo Holdings Limited (DEMO)</t>
        </is>
      </c>
    </row>
    <row r="2">
      <c r="A2" t="inlineStr">
        <is>
          <t>Statement: Cash Flow Statement</t>
        </is>
      </c>
    </row>
    <row r="3">
      <c r="A3" t="inlineStr">
        <is>
          <t>Units: HKD in Millions</t>
        </is>
      </c>
    </row>
    <row r="4">
      <c r="A4" t="inlineStr">
        <is>
          <t>Source: HK manual ingestion (HK)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t="inlineStr">
        <is>
          <t>Profit for the year</t>
        </is>
      </c>
      <c r="B7" s="3" t="n">
        <v>2760</v>
      </c>
      <c r="C7" s="3" t="n">
        <v>2988</v>
      </c>
      <c r="D7" s="3" t="n">
        <v>3283</v>
      </c>
      <c r="E7" s="3" t="n">
        <v>3644</v>
      </c>
      <c r="F7" s="3" t="n">
        <v>4072</v>
      </c>
    </row>
    <row r="8">
      <c r="A8" t="inlineStr">
        <is>
          <t>Depreciation and amortisation</t>
        </is>
      </c>
      <c r="B8" s="3" t="n">
        <v>340</v>
      </c>
      <c r="C8" s="3" t="n">
        <v>368</v>
      </c>
      <c r="D8" s="3" t="n">
        <v>404</v>
      </c>
      <c r="E8" s="3" t="n">
        <v>448</v>
      </c>
      <c r="F8" s="3" t="n">
        <v>500</v>
      </c>
    </row>
    <row r="9">
      <c r="A9" t="inlineStr">
        <is>
          <t>Net cash from operating activities</t>
        </is>
      </c>
      <c r="B9" s="3" t="n">
        <v>3500</v>
      </c>
      <c r="C9" s="3" t="n">
        <v>3800</v>
      </c>
      <c r="D9" s="3" t="n">
        <v>4200</v>
      </c>
      <c r="E9" s="3" t="n">
        <v>4600</v>
      </c>
      <c r="F9" s="3" t="n">
        <v>5100</v>
      </c>
    </row>
    <row r="10">
      <c r="A10" t="inlineStr">
        <is>
          <t>Net cash used in investing activities</t>
        </is>
      </c>
      <c r="B10" s="3" t="n">
        <v>-800</v>
      </c>
      <c r="C10" s="3" t="n">
        <v>-850</v>
      </c>
      <c r="D10" s="3" t="n">
        <v>-900</v>
      </c>
      <c r="E10" s="3" t="n">
        <v>-950</v>
      </c>
      <c r="F10" s="3" t="n">
        <v>-1000</v>
      </c>
    </row>
    <row r="11">
      <c r="A11" t="inlineStr">
        <is>
          <t>Net cash from financing activities</t>
        </is>
      </c>
      <c r="B11" s="3" t="n">
        <v>-500</v>
      </c>
      <c r="C11" s="3" t="n">
        <v>-600</v>
      </c>
      <c r="D11" s="3" t="n">
        <v>-700</v>
      </c>
      <c r="E11" s="3" t="n">
        <v>-800</v>
      </c>
      <c r="F11" s="3" t="n">
        <v>-900</v>
      </c>
    </row>
    <row r="12">
      <c r="A12" t="inlineStr">
        <is>
          <t>Net change in cash and cash equivalents</t>
        </is>
      </c>
      <c r="B12" s="3" t="n">
        <v>150</v>
      </c>
      <c r="C12" s="3" t="n">
        <v>150</v>
      </c>
      <c r="D12" s="3" t="n">
        <v>150</v>
      </c>
      <c r="E12" s="3" t="n">
        <v>180</v>
      </c>
      <c r="F12" s="3" t="n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Demo Holdings Limited (DEMO) — Condensed Financials</t>
        </is>
      </c>
    </row>
    <row r="2">
      <c r="A2" t="inlineStr">
        <is>
          <t>ROE reformulation: classify balance sheet, compute NOPAT and NOA</t>
        </is>
      </c>
    </row>
    <row r="4">
      <c r="A4" s="1" t="inlineStr">
        <is>
          <t>BALANCE SHEET CLASSIFICATION</t>
        </is>
      </c>
      <c r="B4" s="1" t="inlineStr">
        <is>
          <t>Classification</t>
        </is>
      </c>
    </row>
    <row r="5">
      <c r="A5" t="inlineStr">
        <is>
          <t>Cash and cash equivalents</t>
        </is>
      </c>
      <c r="B5" t="inlineStr">
        <is>
          <t>Financial Asset</t>
        </is>
      </c>
    </row>
    <row r="6">
      <c r="A6" t="inlineStr">
        <is>
          <t>Trade receivables</t>
        </is>
      </c>
      <c r="B6" t="inlineStr">
        <is>
          <t>Ambiguous — Operating</t>
        </is>
      </c>
    </row>
    <row r="7">
      <c r="A7" t="inlineStr">
        <is>
          <t>Inventories</t>
        </is>
      </c>
      <c r="B7" t="inlineStr">
        <is>
          <t>Ambiguous — Operating</t>
        </is>
      </c>
    </row>
    <row r="8">
      <c r="A8" t="inlineStr">
        <is>
          <t>Property, plant and equipment</t>
        </is>
      </c>
      <c r="B8" t="inlineStr">
        <is>
          <t>Operating Long-Term Asset</t>
        </is>
      </c>
    </row>
    <row r="9">
      <c r="A9" t="inlineStr">
        <is>
          <t>Goodwill</t>
        </is>
      </c>
      <c r="B9" t="inlineStr">
        <is>
          <t>Operating Long-Term Asset</t>
        </is>
      </c>
    </row>
    <row r="10">
      <c r="A10" t="inlineStr">
        <is>
          <t>Trade payables</t>
        </is>
      </c>
      <c r="B10" t="inlineStr">
        <is>
          <t>Ambiguous — Operating</t>
        </is>
      </c>
    </row>
    <row r="11">
      <c r="A11" t="inlineStr">
        <is>
          <t>Bank borrowings</t>
        </is>
      </c>
      <c r="B11" t="inlineStr">
        <is>
          <t>Ambiguous — Operating</t>
        </is>
      </c>
    </row>
    <row r="12">
      <c r="A12" t="inlineStr">
        <is>
          <t>Share capital and reserves</t>
        </is>
      </c>
      <c r="B12" t="inlineStr">
        <is>
          <t>Ambiguous — Operating</t>
        </is>
      </c>
    </row>
    <row r="14">
      <c r="A14" s="1" t="inlineStr">
        <is>
          <t>CONDENSED INCOME STATEMENT</t>
        </is>
      </c>
      <c r="B14" s="2" t="n">
        <v>44561</v>
      </c>
      <c r="C14" s="2" t="n">
        <v>44926</v>
      </c>
      <c r="D14" s="2" t="n">
        <v>45291</v>
      </c>
      <c r="E14" s="2" t="n">
        <v>45657</v>
      </c>
      <c r="F14" s="2" t="n">
        <v>46022</v>
      </c>
    </row>
    <row r="15">
      <c r="A15" s="4" t="inlineStr">
        <is>
          <t>Net Income</t>
        </is>
      </c>
      <c r="B15">
        <f>'Income Statement'!B9</f>
        <v/>
      </c>
      <c r="C15">
        <f>'Income Statement'!C9</f>
        <v/>
      </c>
      <c r="D15">
        <f>'Income Statement'!D9</f>
        <v/>
      </c>
      <c r="E15">
        <f>'Income Statement'!E9</f>
        <v/>
      </c>
      <c r="F15">
        <f>'Income Statement'!F9</f>
        <v/>
      </c>
    </row>
    <row r="16">
      <c r="A16" s="4" t="inlineStr">
        <is>
          <t>Pretax Income</t>
        </is>
      </c>
      <c r="B16">
        <f>'Income Statement'!B14</f>
        <v/>
      </c>
      <c r="C16">
        <f>'Income Statement'!C14</f>
        <v/>
      </c>
      <c r="D16">
        <f>'Income Statement'!D14</f>
        <v/>
      </c>
      <c r="E16">
        <f>'Income Statement'!E14</f>
        <v/>
      </c>
      <c r="F16">
        <f>'Income Statement'!F14</f>
        <v/>
      </c>
    </row>
    <row r="17">
      <c r="A17" s="4" t="inlineStr">
        <is>
          <t>Tax Expense</t>
        </is>
      </c>
      <c r="B17">
        <f>'Income Statement'!B14</f>
        <v/>
      </c>
      <c r="C17">
        <f>'Income Statement'!C14</f>
        <v/>
      </c>
      <c r="D17">
        <f>'Income Statement'!D14</f>
        <v/>
      </c>
      <c r="E17">
        <f>'Income Statement'!E14</f>
        <v/>
      </c>
      <c r="F17">
        <f>'Income Statement'!F14</f>
        <v/>
      </c>
    </row>
    <row r="18">
      <c r="A18" t="inlineStr">
        <is>
          <t>Effective Tax Rate</t>
        </is>
      </c>
      <c r="B18" s="5">
        <f>-B17/B16</f>
        <v/>
      </c>
      <c r="C18" s="5">
        <f>-C17/C16</f>
        <v/>
      </c>
      <c r="D18" s="5">
        <f>-D17/D16</f>
        <v/>
      </c>
      <c r="E18" s="5">
        <f>-E17/E16</f>
        <v/>
      </c>
      <c r="F18" s="5">
        <f>-F17/F16</f>
        <v/>
      </c>
    </row>
    <row r="19">
      <c r="A19" s="1" t="inlineStr">
        <is>
          <t>NOPAT</t>
        </is>
      </c>
      <c r="B19" s="6">
        <f>B15</f>
        <v/>
      </c>
      <c r="C19" s="6">
        <f>C15</f>
        <v/>
      </c>
      <c r="D19" s="6">
        <f>D15</f>
        <v/>
      </c>
      <c r="E19" s="6">
        <f>E15</f>
        <v/>
      </c>
      <c r="F19" s="6">
        <f>F15</f>
        <v/>
      </c>
    </row>
    <row r="21">
      <c r="A21" s="1" t="inlineStr">
        <is>
          <t>CONDENSED BALANCE SHEET</t>
        </is>
      </c>
    </row>
    <row r="22">
      <c r="A22" s="1" t="inlineStr">
        <is>
          <t>NOWC</t>
        </is>
      </c>
      <c r="B22">
        <f>SUMIF($B$5:$B$12,"Operating Working Capital Asset",'Balance Sheet'!B5:'Balance Sheet'!B12)-SUMIF($B$5:$B$12,"Operating Working Capital Liability",'Balance Sheet'!B5:'Balance Sheet'!B12)</f>
        <v/>
      </c>
      <c r="C22">
        <f>SUMIF($B$5:$B$12,"Operating Working Capital Asset",'Balance Sheet'!C5:'Balance Sheet'!C12)-SUMIF($B$5:$B$12,"Operating Working Capital Liability",'Balance Sheet'!C5:'Balance Sheet'!C12)</f>
        <v/>
      </c>
      <c r="D22">
        <f>SUMIF($B$5:$B$12,"Operating Working Capital Asset",'Balance Sheet'!D5:'Balance Sheet'!D12)-SUMIF($B$5:$B$12,"Operating Working Capital Liability",'Balance Sheet'!D5:'Balance Sheet'!D12)</f>
        <v/>
      </c>
      <c r="E22">
        <f>SUMIF($B$5:$B$12,"Operating Working Capital Asset",'Balance Sheet'!E5:'Balance Sheet'!E12)-SUMIF($B$5:$B$12,"Operating Working Capital Liability",'Balance Sheet'!E5:'Balance Sheet'!E12)</f>
        <v/>
      </c>
      <c r="F22">
        <f>SUMIF($B$5:$B$12,"Operating Working Capital Asset",'Balance Sheet'!F5:'Balance Sheet'!F12)-SUMIF($B$5:$B$12,"Operating Working Capital Liability",'Balance Sheet'!F5:'Balance Sheet'!F12)</f>
        <v/>
      </c>
    </row>
    <row r="23">
      <c r="A23" s="1" t="inlineStr">
        <is>
          <t>NOA</t>
        </is>
      </c>
      <c r="B23">
        <f>B22+SUMIF($B$5:$B$12,"Operating Long-Term Asset",'Balance Sheet'!B5:'Balance Sheet'!B12)-SUMIF($B$5:$B$12,"Operating Long-Term Liability",'Balance Sheet'!B5:'Balance Sheet'!B12)</f>
        <v/>
      </c>
      <c r="C23">
        <f>C22+SUMIF($B$5:$B$12,"Operating Long-Term Asset",'Balance Sheet'!C5:'Balance Sheet'!C12)-SUMIF($B$5:$B$12,"Operating Long-Term Liability",'Balance Sheet'!C5:'Balance Sheet'!C12)</f>
        <v/>
      </c>
      <c r="D23">
        <f>D22+SUMIF($B$5:$B$12,"Operating Long-Term Asset",'Balance Sheet'!D5:'Balance Sheet'!D12)-SUMIF($B$5:$B$12,"Operating Long-Term Liability",'Balance Sheet'!D5:'Balance Sheet'!D12)</f>
        <v/>
      </c>
      <c r="E23">
        <f>E22+SUMIF($B$5:$B$12,"Operating Long-Term Asset",'Balance Sheet'!E5:'Balance Sheet'!E12)-SUMIF($B$5:$B$12,"Operating Long-Term Liability",'Balance Sheet'!E5:'Balance Sheet'!E12)</f>
        <v/>
      </c>
      <c r="F23">
        <f>F22+SUMIF($B$5:$B$12,"Operating Long-Term Asset",'Balance Sheet'!F5:'Balance Sheet'!F12)-SUMIF($B$5:$B$12,"Operating Long-Term Liability",'Balance Sheet'!F5:'Balance Sheet'!F12)</f>
        <v/>
      </c>
    </row>
    <row r="24">
      <c r="A24" s="1" t="inlineStr">
        <is>
          <t>Net Debt</t>
        </is>
      </c>
      <c r="B24">
        <f>SUMIF($B$5:$B$12,"Financial Liability",'Balance Sheet'!B5:'Balance Sheet'!B12)-SUMIF($B$5:$B$12,"Financial Asset",'Balance Sheet'!B5:'Balance Sheet'!B12)</f>
        <v/>
      </c>
      <c r="C24">
        <f>SUMIF($B$5:$B$12,"Financial Liability",'Balance Sheet'!C5:'Balance Sheet'!C12)-SUMIF($B$5:$B$12,"Financial Asset",'Balance Sheet'!C5:'Balance Sheet'!C12)</f>
        <v/>
      </c>
      <c r="D24">
        <f>SUMIF($B$5:$B$12,"Financial Liability",'Balance Sheet'!D5:'Balance Sheet'!D12)-SUMIF($B$5:$B$12,"Financial Asset",'Balance Sheet'!D5:'Balance Sheet'!D12)</f>
        <v/>
      </c>
      <c r="E24">
        <f>SUMIF($B$5:$B$12,"Financial Liability",'Balance Sheet'!E5:'Balance Sheet'!E12)-SUMIF($B$5:$B$12,"Financial Asset",'Balance Sheet'!E5:'Balance Sheet'!E12)</f>
        <v/>
      </c>
      <c r="F24">
        <f>SUMIF($B$5:$B$12,"Financial Liability",'Balance Sheet'!F5:'Balance Sheet'!F12)-SUMIF($B$5:$B$12,"Financial Asset",'Balance Sheet'!F5:'Balance Sheet'!F12)</f>
        <v/>
      </c>
    </row>
  </sheetData>
  <dataValidations count="1">
    <dataValidation sqref="B5 B6 B7 B8 B9 B10 B11 B12" showDropDown="0" showInputMessage="0" showErrorMessage="0" allowBlank="1" type="list">
      <formula1>"Operating Working Capital Asset,Operating Working Capital Liability,Operating Long-Term Asset,Operating Long-Term Liability,Financial Asset,Financial Liability,Ambiguous — Operating,Ambiguous — Financial"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Demo Holdings Limited — DuPont Decomposition</t>
        </is>
      </c>
    </row>
    <row r="2">
      <c r="A2" t="inlineStr">
        <is>
          <t>ROE = RNOA + FLEV × Spread</t>
        </is>
      </c>
    </row>
    <row r="4">
      <c r="A4" s="1" t="inlineStr">
        <is>
          <t>Metric</t>
        </is>
      </c>
      <c r="B4" s="2" t="n">
        <v>44926</v>
      </c>
      <c r="C4" s="2" t="n">
        <v>45291</v>
      </c>
      <c r="D4" s="2" t="n">
        <v>45657</v>
      </c>
      <c r="E4" s="2" t="n">
        <v>46022</v>
      </c>
    </row>
    <row r="5">
      <c r="A5" t="inlineStr">
        <is>
          <t>RNOA</t>
        </is>
      </c>
      <c r="B5" s="7">
        <f>'Condensed Financials'!C19/(('Condensed Financials'!C23+'Condensed Financials'!B23)/2)</f>
        <v/>
      </c>
    </row>
    <row r="6">
      <c r="A6" t="inlineStr">
        <is>
          <t>Spread</t>
        </is>
      </c>
      <c r="B6">
        <f>C5-0.04</f>
        <v/>
      </c>
    </row>
    <row r="7">
      <c r="A7" t="inlineStr">
        <is>
          <t>ROE (decomposed)</t>
        </is>
      </c>
      <c r="B7" s="7">
        <f>C5+1.5*(C6)</f>
        <v/>
      </c>
    </row>
    <row r="8">
      <c r="A8" t="inlineStr">
        <is>
          <t>Actual ROE</t>
        </is>
      </c>
      <c r="B8">
        <f>'Income Statement'!C13/(('Balance Sheet'!C7+'Balance Sheet'!B7)/2)</f>
        <v/>
      </c>
    </row>
    <row r="9">
      <c r="A9" t="inlineStr">
        <is>
          <t>RNOA</t>
        </is>
      </c>
      <c r="C9" s="7">
        <f>'Condensed Financials'!D19/(('Condensed Financials'!D23+'Condensed Financials'!C23)/2)</f>
        <v/>
      </c>
    </row>
    <row r="10">
      <c r="A10" t="inlineStr">
        <is>
          <t>Spread</t>
        </is>
      </c>
      <c r="C10">
        <f>D9-0.04</f>
        <v/>
      </c>
    </row>
    <row r="11">
      <c r="A11" t="inlineStr">
        <is>
          <t>ROE (decomposed)</t>
        </is>
      </c>
      <c r="C11" s="7">
        <f>D9+1.5*(D10)</f>
        <v/>
      </c>
    </row>
    <row r="12">
      <c r="A12" t="inlineStr">
        <is>
          <t>Actual ROE</t>
        </is>
      </c>
      <c r="C12">
        <f>'Income Statement'!D13/(('Balance Sheet'!D7+'Balance Sheet'!C7)/2)</f>
        <v/>
      </c>
    </row>
    <row r="13">
      <c r="A13" t="inlineStr">
        <is>
          <t>RNOA</t>
        </is>
      </c>
      <c r="D13" s="7">
        <f>'Condensed Financials'!E19/(('Condensed Financials'!E23+'Condensed Financials'!D23)/2)</f>
        <v/>
      </c>
    </row>
    <row r="14">
      <c r="A14" t="inlineStr">
        <is>
          <t>Spread</t>
        </is>
      </c>
      <c r="D14">
        <f>E13-0.04</f>
        <v/>
      </c>
    </row>
    <row r="15">
      <c r="A15" t="inlineStr">
        <is>
          <t>ROE (decomposed)</t>
        </is>
      </c>
      <c r="D15" s="7">
        <f>E13+1.5*(E14)</f>
        <v/>
      </c>
    </row>
    <row r="16">
      <c r="A16" t="inlineStr">
        <is>
          <t>Actual ROE</t>
        </is>
      </c>
      <c r="D16">
        <f>'Income Statement'!E13/(('Balance Sheet'!E7+'Balance Sheet'!D7)/2)</f>
        <v/>
      </c>
    </row>
    <row r="17">
      <c r="A17" t="inlineStr">
        <is>
          <t>RNOA</t>
        </is>
      </c>
      <c r="E17" s="7">
        <f>'Condensed Financials'!F19/(('Condensed Financials'!F23+'Condensed Financials'!E23)/2)</f>
        <v/>
      </c>
    </row>
    <row r="18">
      <c r="A18" t="inlineStr">
        <is>
          <t>Spread</t>
        </is>
      </c>
      <c r="E18">
        <f>F17-0.04</f>
        <v/>
      </c>
    </row>
    <row r="19">
      <c r="A19" t="inlineStr">
        <is>
          <t>ROE (decomposed)</t>
        </is>
      </c>
      <c r="E19" s="7">
        <f>F17+1.5*(F18)</f>
        <v/>
      </c>
    </row>
    <row r="20">
      <c r="A20" t="inlineStr">
        <is>
          <t>Actual ROE</t>
        </is>
      </c>
      <c r="E20">
        <f>'Income Statement'!F13/(('Balance Sheet'!F7+'Balance Sheet'!E7)/2)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Demo Holdings Limited — Bear Scenario</t>
        </is>
      </c>
    </row>
    <row r="2">
      <c r="A2" t="inlineStr">
        <is>
          <t>10-year residual income (abnormal earnings) model</t>
        </is>
      </c>
    </row>
    <row r="5">
      <c r="A5" t="inlineStr">
        <is>
          <t>Cost of Equity (Ke)</t>
        </is>
      </c>
      <c r="B5" s="8" t="n">
        <v>0.105</v>
      </c>
    </row>
    <row r="6">
      <c r="A6" t="inlineStr">
        <is>
          <t>Terminal Growth (g)</t>
        </is>
      </c>
      <c r="B6" s="8" t="n">
        <v>0.03</v>
      </c>
    </row>
    <row r="10">
      <c r="A10" s="1" t="inlineStr">
        <is>
          <t>Metric</t>
        </is>
      </c>
      <c r="B10" s="1" t="inlineStr">
        <is>
          <t>Y1</t>
        </is>
      </c>
      <c r="C10" s="1" t="inlineStr">
        <is>
          <t>Y2</t>
        </is>
      </c>
      <c r="D10" s="1" t="inlineStr">
        <is>
          <t>Y3</t>
        </is>
      </c>
      <c r="E10" s="1" t="inlineStr">
        <is>
          <t>Y4</t>
        </is>
      </c>
      <c r="F10" s="1" t="inlineStr">
        <is>
          <t>Y5</t>
        </is>
      </c>
      <c r="G10" s="1" t="inlineStr">
        <is>
          <t>Y6</t>
        </is>
      </c>
      <c r="H10" s="1" t="inlineStr">
        <is>
          <t>Y7</t>
        </is>
      </c>
      <c r="I10" s="1" t="inlineStr">
        <is>
          <t>Y8</t>
        </is>
      </c>
      <c r="J10" s="1" t="inlineStr">
        <is>
          <t>Y9</t>
        </is>
      </c>
      <c r="K10" s="1" t="inlineStr">
        <is>
          <t>Y10</t>
        </is>
      </c>
    </row>
    <row r="11">
      <c r="A11" t="inlineStr">
        <is>
          <t>Sales</t>
        </is>
      </c>
      <c r="B11" s="9">
        <f>'Income Statement'!F7*(1+0.1)</f>
        <v/>
      </c>
    </row>
    <row r="12">
      <c r="A12" t="inlineStr">
        <is>
          <t>NOPAT Margin</t>
        </is>
      </c>
      <c r="B12" s="8" t="n">
        <v>0.15</v>
      </c>
    </row>
    <row r="14">
      <c r="A14" t="inlineStr">
        <is>
          <t>NOPAT</t>
        </is>
      </c>
      <c r="B14">
        <f>B11*B12</f>
        <v/>
      </c>
    </row>
    <row r="18">
      <c r="A18" t="inlineStr">
        <is>
          <t>Book Equity</t>
        </is>
      </c>
    </row>
    <row r="20">
      <c r="A20" t="inlineStr">
        <is>
          <t>Abnormal Earnings</t>
        </is>
      </c>
    </row>
    <row r="22">
      <c r="A22" t="inlineStr">
        <is>
          <t>PV Abnormal Earnings</t>
        </is>
      </c>
    </row>
    <row r="38">
      <c r="A38" t="inlineStr">
        <is>
          <t>Intrinsic Value per Share</t>
        </is>
      </c>
      <c r="B38">
        <f>B18+SUM(B22:K22)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Demo Holdings Limited — Base Scenario</t>
        </is>
      </c>
    </row>
    <row r="2">
      <c r="A2" t="inlineStr">
        <is>
          <t>10-year residual income (abnormal earnings) model</t>
        </is>
      </c>
    </row>
    <row r="5">
      <c r="A5" t="inlineStr">
        <is>
          <t>Cost of Equity (Ke)</t>
        </is>
      </c>
      <c r="B5" s="8" t="n">
        <v>0.0975</v>
      </c>
    </row>
    <row r="6">
      <c r="A6" t="inlineStr">
        <is>
          <t>Terminal Growth (g)</t>
        </is>
      </c>
      <c r="B6" s="8" t="n">
        <v>0.03</v>
      </c>
    </row>
    <row r="10">
      <c r="A10" s="1" t="inlineStr">
        <is>
          <t>Metric</t>
        </is>
      </c>
      <c r="B10" s="1" t="inlineStr">
        <is>
          <t>Y1</t>
        </is>
      </c>
      <c r="C10" s="1" t="inlineStr">
        <is>
          <t>Y2</t>
        </is>
      </c>
      <c r="D10" s="1" t="inlineStr">
        <is>
          <t>Y3</t>
        </is>
      </c>
      <c r="E10" s="1" t="inlineStr">
        <is>
          <t>Y4</t>
        </is>
      </c>
      <c r="F10" s="1" t="inlineStr">
        <is>
          <t>Y5</t>
        </is>
      </c>
      <c r="G10" s="1" t="inlineStr">
        <is>
          <t>Y6</t>
        </is>
      </c>
      <c r="H10" s="1" t="inlineStr">
        <is>
          <t>Y7</t>
        </is>
      </c>
      <c r="I10" s="1" t="inlineStr">
        <is>
          <t>Y8</t>
        </is>
      </c>
      <c r="J10" s="1" t="inlineStr">
        <is>
          <t>Y9</t>
        </is>
      </c>
      <c r="K10" s="1" t="inlineStr">
        <is>
          <t>Y10</t>
        </is>
      </c>
    </row>
    <row r="11">
      <c r="A11" t="inlineStr">
        <is>
          <t>Sales</t>
        </is>
      </c>
      <c r="B11" s="10">
        <f>'Income Statement'!F7*(1+0.1)</f>
        <v/>
      </c>
    </row>
    <row r="12">
      <c r="A12" t="inlineStr">
        <is>
          <t>NOPAT Margin</t>
        </is>
      </c>
      <c r="B12" s="8" t="n">
        <v>0.15</v>
      </c>
    </row>
    <row r="14">
      <c r="A14" t="inlineStr">
        <is>
          <t>NOPAT</t>
        </is>
      </c>
      <c r="B14" s="6">
        <f>B11*B12</f>
        <v/>
      </c>
    </row>
    <row r="18">
      <c r="A18" t="inlineStr">
        <is>
          <t>Book Equity</t>
        </is>
      </c>
    </row>
    <row r="20">
      <c r="A20" t="inlineStr">
        <is>
          <t>Abnormal Earnings</t>
        </is>
      </c>
    </row>
    <row r="22">
      <c r="A22" t="inlineStr">
        <is>
          <t>PV Abnormal Earnings</t>
        </is>
      </c>
    </row>
    <row r="38">
      <c r="A38" t="inlineStr">
        <is>
          <t>Intrinsic Value per Share</t>
        </is>
      </c>
      <c r="B38" s="6">
        <f>B18+SUM(B22:K22)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Demo Holdings Limited — Bull Scenario</t>
        </is>
      </c>
    </row>
    <row r="2">
      <c r="A2" t="inlineStr">
        <is>
          <t>10-year residual income (abnormal earnings) model</t>
        </is>
      </c>
    </row>
    <row r="5">
      <c r="A5" t="inlineStr">
        <is>
          <t>Cost of Equity (Ke)</t>
        </is>
      </c>
      <c r="B5" s="8" t="n">
        <v>0.0925</v>
      </c>
    </row>
    <row r="6">
      <c r="A6" t="inlineStr">
        <is>
          <t>Terminal Growth (g)</t>
        </is>
      </c>
      <c r="B6" s="8" t="n">
        <v>0.03</v>
      </c>
    </row>
    <row r="10">
      <c r="A10" s="1" t="inlineStr">
        <is>
          <t>Metric</t>
        </is>
      </c>
      <c r="B10" s="1" t="inlineStr">
        <is>
          <t>Y1</t>
        </is>
      </c>
      <c r="C10" s="1" t="inlineStr">
        <is>
          <t>Y2</t>
        </is>
      </c>
      <c r="D10" s="1" t="inlineStr">
        <is>
          <t>Y3</t>
        </is>
      </c>
      <c r="E10" s="1" t="inlineStr">
        <is>
          <t>Y4</t>
        </is>
      </c>
      <c r="F10" s="1" t="inlineStr">
        <is>
          <t>Y5</t>
        </is>
      </c>
      <c r="G10" s="1" t="inlineStr">
        <is>
          <t>Y6</t>
        </is>
      </c>
      <c r="H10" s="1" t="inlineStr">
        <is>
          <t>Y7</t>
        </is>
      </c>
      <c r="I10" s="1" t="inlineStr">
        <is>
          <t>Y8</t>
        </is>
      </c>
      <c r="J10" s="1" t="inlineStr">
        <is>
          <t>Y9</t>
        </is>
      </c>
      <c r="K10" s="1" t="inlineStr">
        <is>
          <t>Y10</t>
        </is>
      </c>
    </row>
    <row r="11">
      <c r="A11" t="inlineStr">
        <is>
          <t>Sales</t>
        </is>
      </c>
      <c r="B11" s="9">
        <f>'Income Statement'!F7*(1+0.1)</f>
        <v/>
      </c>
    </row>
    <row r="12">
      <c r="A12" t="inlineStr">
        <is>
          <t>NOPAT Margin</t>
        </is>
      </c>
      <c r="B12" s="8" t="n">
        <v>0.15</v>
      </c>
    </row>
    <row r="14">
      <c r="A14" t="inlineStr">
        <is>
          <t>NOPAT</t>
        </is>
      </c>
      <c r="B14">
        <f>B11*B12</f>
        <v/>
      </c>
    </row>
    <row r="18">
      <c r="A18" t="inlineStr">
        <is>
          <t>Book Equity</t>
        </is>
      </c>
    </row>
    <row r="20">
      <c r="A20" t="inlineStr">
        <is>
          <t>Abnormal Earnings</t>
        </is>
      </c>
    </row>
    <row r="22">
      <c r="A22" t="inlineStr">
        <is>
          <t>PV Abnormal Earnings</t>
        </is>
      </c>
    </row>
    <row r="38">
      <c r="A38" t="inlineStr">
        <is>
          <t>Intrinsic Value per Share</t>
        </is>
      </c>
      <c r="B38">
        <f>B18+SUM(B22:K22)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Holdings Limited — Scenario Summary</t>
        </is>
      </c>
    </row>
    <row r="3">
      <c r="A3" s="1" t="inlineStr">
        <is>
          <t>Scenario</t>
        </is>
      </c>
      <c r="B3" s="1" t="inlineStr">
        <is>
          <t>Probability</t>
        </is>
      </c>
      <c r="C3" s="1" t="inlineStr">
        <is>
          <t>IVPS</t>
        </is>
      </c>
      <c r="D3" t="inlineStr">
        <is>
          <t>Terminal RNOA</t>
        </is>
      </c>
    </row>
    <row r="4">
      <c r="A4" t="inlineStr">
        <is>
          <t>Bear</t>
        </is>
      </c>
      <c r="B4" s="8" t="n">
        <v>0.25</v>
      </c>
      <c r="C4">
        <f>'Model_Bear'!B38</f>
        <v/>
      </c>
    </row>
    <row r="5">
      <c r="A5" t="inlineStr">
        <is>
          <t>Base</t>
        </is>
      </c>
      <c r="B5" s="8" t="n">
        <v>0.5</v>
      </c>
      <c r="C5">
        <f>'Model_Base'!B38</f>
        <v/>
      </c>
    </row>
    <row r="6">
      <c r="A6" t="inlineStr">
        <is>
          <t>Bull</t>
        </is>
      </c>
      <c r="B6" s="8" t="n">
        <v>0.25</v>
      </c>
      <c r="C6">
        <f>'Model_Bull'!B38</f>
        <v/>
      </c>
    </row>
    <row r="8">
      <c r="A8" t="inlineStr">
        <is>
          <t>Weighted IVPS</t>
        </is>
      </c>
      <c r="E8" s="6">
        <f>SUMPRODUCT(B4:B6,C4:C6)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2026-08-31T03:33:31Z</dcterms:created>
  <dcterms:modified xmlns:dcterms="http://purl.org/dc/terms/" xmlns:xsi="http://www.w3.org/2001/XMLSchema-instance" xsi:type="dcterms:W3CDTF">2026-08-31T03:33:31Z</dcterms:modified>
</cp:coreProperties>
</file>