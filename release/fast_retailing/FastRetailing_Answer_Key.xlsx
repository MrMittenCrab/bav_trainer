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Presented as −reported cash repayments of lease liabilities. Not total lease cost, ROU amortization, or liability movement.</t>
      </text>
    </comment>
    <comment ref="C82" authorId="0" shapeId="0">
      <text>
        <t>Presented as −reported cash repayments of lease liabilities. Not total lease cost, ROU amortization, or liability movement.</t>
      </text>
    </comment>
    <comment ref="D82" authorId="0" shapeId="0">
      <text>
        <t>Presented as −reported cash repayments of lease liabilities. Not total lease cost, ROU amortization, or liability movement.</t>
      </text>
    </comment>
    <comment ref="E82" authorId="0" shapeId="0">
      <text>
        <t>Presented as −reported cash repayments of lease liabilities. Not total lease cost, ROU amortization, or liability movement.</t>
      </text>
    </comment>
    <comment ref="F82" authorId="0" shapeId="0">
      <text>
        <t>Presented as −reported cash repayments of lease liabilities. Not total lease cost, ROU amortization, or liability movement.</t>
      </text>
    </comment>
    <comment ref="B83" authorId="0" shapeId="0">
      <text>
        <t>Presented lease repayments divided by same-period Revenue. Cash intensity only — not liability stock or ROU amortization.</t>
      </text>
    </comment>
    <comment ref="C83" authorId="0" shapeId="0">
      <text>
        <t>Presented lease repayments divided by same-period Revenue. Cash intensity only — not liability stock or ROU amortization.</t>
      </text>
    </comment>
    <comment ref="D83" authorId="0" shapeId="0">
      <text>
        <t>Presented lease repayments divided by same-period Revenue. Cash intensity only — not liability stock or ROU amortization.</t>
      </text>
    </comment>
    <comment ref="E83" authorId="0" shapeId="0">
      <text>
        <t>Presented lease repayments divided by same-period Revenue. Cash intensity only — not liability stock or ROU amortization.</t>
      </text>
    </comment>
    <comment ref="F83" authorId="0" shapeId="0">
      <text>
        <t>Presented lease repayments divided by same-period Revenue. Cash intensity only — not liability stock or ROU amortization.</t>
      </text>
    </comment>
    <comment ref="C87" authorId="0" shapeId="0">
      <text>
        <t>Current goodwill − prior goodwill. Flat goodwill does not establish absence of impairment disclosed elsewhere.</t>
      </text>
    </comment>
    <comment ref="D87" authorId="0" shapeId="0">
      <text>
        <t>Current goodwill − prior goodwill. Flat goodwill does not establish absence of impairment disclosed elsewhere.</t>
      </text>
    </comment>
    <comment ref="E87" authorId="0" shapeId="0">
      <text>
        <t>Current goodwill − prior goodwill. Flat goodwill does not establish absence of impairment disclosed elsewhere.</t>
      </text>
    </comment>
    <comment ref="F87" authorId="0" shapeId="0">
      <text>
        <t>Current goodwill − prior goodwill. Flat goodwill does not establish absence of impairment disclosed elsewhere.</t>
      </text>
    </comment>
    <comment ref="C88" authorId="0" shapeId="0">
      <text>
        <t>Percentage change in reported goodwill.</t>
      </text>
    </comment>
    <comment ref="D88" authorId="0" shapeId="0">
      <text>
        <t>Percentage change in reported goodwill.</t>
      </text>
    </comment>
    <comment ref="E88" authorId="0" shapeId="0">
      <text>
        <t>Percentage change in reported goodwill.</t>
      </text>
    </comment>
    <comment ref="F88" authorId="0" shapeId="0">
      <text>
        <t>Percentage change in reported goodwill.</t>
      </text>
    </comment>
    <comment ref="C89" authorId="0" shapeId="0">
      <text>
        <t>Average beginning and ending goodwill.</t>
      </text>
    </comment>
    <comment ref="D89" authorId="0" shapeId="0">
      <text>
        <t>Average beginning and ending goodwill.</t>
      </text>
    </comment>
    <comment ref="E89" authorId="0" shapeId="0">
      <text>
        <t>Average beginning and ending goodwill.</t>
      </text>
    </comment>
    <comment ref="F89" authorId="0" shapeId="0">
      <text>
        <t>Average beginning and ending goodwill.</t>
      </text>
    </comment>
    <comment ref="C90" authorId="0" shapeId="0">
      <text>
        <t>Average goodwill divided by Revenue (average-balance intensity).</t>
      </text>
    </comment>
    <comment ref="D90" authorId="0" shapeId="0">
      <text>
        <t>Average goodwill divided by Revenue (average-balance intensity).</t>
      </text>
    </comment>
    <comment ref="E90" authorId="0" shapeId="0">
      <text>
        <t>Average goodwill divided by Revenue (average-balance intensity).</t>
      </text>
    </comment>
    <comment ref="F90" authorId="0" shapeId="0">
      <text>
        <t>Average goodwill divided by Revenue (average-balance intensity).</t>
      </text>
    </comment>
    <comment ref="C92" authorId="0" shapeId="0">
      <text>
        <t>Current intangible assets − prior intangible assets.</t>
      </text>
    </comment>
    <comment ref="D92" authorId="0" shapeId="0">
      <text>
        <t>Current intangible assets − prior intangible assets.</t>
      </text>
    </comment>
    <comment ref="E92" authorId="0" shapeId="0">
      <text>
        <t>Current intangible assets − prior intangible assets.</t>
      </text>
    </comment>
    <comment ref="F92" authorId="0" shapeId="0">
      <text>
        <t>Current intangible assets − prior intangible assets.</t>
      </text>
    </comment>
    <comment ref="C93" authorId="0" shapeId="0">
      <text>
        <t>Percentage change in reported intangible assets.</t>
      </text>
    </comment>
    <comment ref="D93" authorId="0" shapeId="0">
      <text>
        <t>Percentage change in reported intangible assets.</t>
      </text>
    </comment>
    <comment ref="E93" authorId="0" shapeId="0">
      <text>
        <t>Percentage change in reported intangible assets.</t>
      </text>
    </comment>
    <comment ref="F93" authorId="0" shapeId="0">
      <text>
        <t>Percentage change in reported intangible assets.</t>
      </text>
    </comment>
    <comment ref="C94" authorId="0" shapeId="0">
      <text>
        <t>Average beginning and ending intangible assets.</t>
      </text>
    </comment>
    <comment ref="D94" authorId="0" shapeId="0">
      <text>
        <t>Average beginning and ending intangible assets.</t>
      </text>
    </comment>
    <comment ref="E94" authorId="0" shapeId="0">
      <text>
        <t>Average beginning and ending intangible assets.</t>
      </text>
    </comment>
    <comment ref="F94" authorId="0" shapeId="0">
      <text>
        <t>Average beginning and ending intangible assets.</t>
      </text>
    </comment>
    <comment ref="C95" authorId="0" shapeId="0">
      <text>
        <t>Average intangible assets divided by Revenue (average-balance intensity).</t>
      </text>
    </comment>
    <comment ref="D95" authorId="0" shapeId="0">
      <text>
        <t>Average intangible assets divided by Revenue (average-balance intensity).</t>
      </text>
    </comment>
    <comment ref="E95" authorId="0" shapeId="0">
      <text>
        <t>Average intangible assets divided by Revenue (average-balance intensity).</t>
      </text>
    </comment>
    <comment ref="F95" authorId="0" shapeId="0">
      <text>
        <t>Average intangible assets divided by Revenue (average-balance intensity).</t>
      </text>
    </comment>
    <comment ref="C97" authorId="0" shapeId="0">
      <text>
        <t>Current combined total − prior combined total.</t>
      </text>
    </comment>
    <comment ref="D97" authorId="0" shapeId="0">
      <text>
        <t>Current combined total − prior combined total.</t>
      </text>
    </comment>
    <comment ref="E97" authorId="0" shapeId="0">
      <text>
        <t>Current combined total − prior combined total.</t>
      </text>
    </comment>
    <comment ref="F97" authorId="0" shapeId="0">
      <text>
        <t>Current combined total − prior combined total.</t>
      </text>
    </comment>
    <comment ref="C98" authorId="0" shapeId="0">
      <text>
        <t>Percentage change in the combined goodwill and intangibles total.</t>
      </text>
    </comment>
    <comment ref="D98" authorId="0" shapeId="0">
      <text>
        <t>Percentage change in the combined goodwill and intangibles total.</t>
      </text>
    </comment>
    <comment ref="E98" authorId="0" shapeId="0">
      <text>
        <t>Percentage change in the combined goodwill and intangibles total.</t>
      </text>
    </comment>
    <comment ref="F98" authorId="0" shapeId="0">
      <text>
        <t>Percentage change in the combined goodwill and intangibles total.</t>
      </text>
    </comment>
    <comment ref="C99" authorId="0" shapeId="0">
      <text>
        <t>Average beginning and ending combined goodwill and intangibles.</t>
      </text>
    </comment>
    <comment ref="D99" authorId="0" shapeId="0">
      <text>
        <t>Average beginning and ending combined goodwill and intangibles.</t>
      </text>
    </comment>
    <comment ref="E99" authorId="0" shapeId="0">
      <text>
        <t>Average beginning and ending combined goodwill and intangibles.</t>
      </text>
    </comment>
    <comment ref="F99" authorId="0" shapeId="0">
      <text>
        <t>Average beginning and ending combined goodwill and intangibles.</t>
      </text>
    </comment>
    <comment ref="C100" authorId="0" shapeId="0">
      <text>
        <t>Average combined goodwill and intangibles divided by Revenue.</t>
      </text>
    </comment>
    <comment ref="D100" authorId="0" shapeId="0">
      <text>
        <t>Average combined goodwill and intangibles divided by Revenue.</t>
      </text>
    </comment>
    <comment ref="E100" authorId="0" shapeId="0">
      <text>
        <t>Average combined goodwill and intangibles divided by Revenue.</t>
      </text>
    </comment>
    <comment ref="F100" authorId="0" shapeId="0">
      <text>
        <t>Average combined goodwill and intangibles divided by Revenue.</t>
      </text>
    </comment>
    <comment ref="B102" authorId="0" shapeId="0">
      <text>
        <t>Presented as −reported payments for intangible assets. Intangible payments are not business acquisitions.</t>
      </text>
    </comment>
    <comment ref="C102" authorId="0" shapeId="0">
      <text>
        <t>Presented as −reported payments for intangible assets. Intangible payments are not business acquisitions.</t>
      </text>
    </comment>
    <comment ref="D102" authorId="0" shapeId="0">
      <text>
        <t>Presented as −reported payments for intangible assets. Intangible payments are not business acquisitions.</t>
      </text>
    </comment>
    <comment ref="E102" authorId="0" shapeId="0">
      <text>
        <t>Presented as −reported payments for intangible assets. Intangible payments are not business acquisitions.</t>
      </text>
    </comment>
    <comment ref="F102" authorId="0" shapeId="0">
      <text>
        <t>Presented as −reported payments for intangible assets. Intangible payments are not business acquisitions.</t>
      </text>
    </comment>
    <comment ref="B103" authorId="0" shapeId="0">
      <text>
        <t>Presented intangible payments divided by Revenue. Intangible payments are not business acquisitions.</t>
      </text>
    </comment>
    <comment ref="C103" authorId="0" shapeId="0">
      <text>
        <t>Presented intangible payments divided by Revenue. Intangible payments are not business acquisitions.</t>
      </text>
    </comment>
    <comment ref="D103" authorId="0" shapeId="0">
      <text>
        <t>Presented intangible payments divided by Revenue. Intangible payments are not business acquisitions.</t>
      </text>
    </comment>
    <comment ref="E103" authorId="0" shapeId="0">
      <text>
        <t>Presented intangible payments divided by Revenue. Intangible payments are not business acquisitions.</t>
      </text>
    </comment>
    <comment ref="F103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>
        <f>-B81</f>
        <v/>
      </c>
      <c r="C82" s="16">
        <f>-C81</f>
        <v/>
      </c>
      <c r="D82" s="16">
        <f>-D81</f>
        <v/>
      </c>
      <c r="E82" s="16">
        <f>-E81</f>
        <v/>
      </c>
      <c r="F82" s="16">
        <f>-F81</f>
        <v/>
      </c>
    </row>
    <row r="83">
      <c r="A83" s="11" t="inlineStr">
        <is>
          <t>Lease Repayments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>
        <f>C86-B86</f>
        <v/>
      </c>
      <c r="D87" s="16">
        <f>D86-C86</f>
        <v/>
      </c>
      <c r="E87" s="16">
        <f>E86-D86</f>
        <v/>
      </c>
      <c r="F87" s="16">
        <f>F86-E86</f>
        <v/>
      </c>
    </row>
    <row r="88">
      <c r="A88" s="11" t="inlineStr">
        <is>
          <t>Goodwill Growth</t>
        </is>
      </c>
      <c r="C88" s="15">
        <f>IF(B86=0,NA(),C86/B86-1)</f>
        <v/>
      </c>
      <c r="D88" s="15">
        <f>IF(C86=0,NA(),D86/C86-1)</f>
        <v/>
      </c>
      <c r="E88" s="15">
        <f>IF(D86=0,NA(),E86/D86-1)</f>
        <v/>
      </c>
      <c r="F88" s="15">
        <f>IF(E86=0,NA(),F86/E86-1)</f>
        <v/>
      </c>
    </row>
    <row r="89">
      <c r="A89" s="11" t="inlineStr">
        <is>
          <t>Average Goodwill</t>
        </is>
      </c>
      <c r="C89" s="16">
        <f>(B86+C86)/2</f>
        <v/>
      </c>
      <c r="D89" s="16">
        <f>(C86+D86)/2</f>
        <v/>
      </c>
      <c r="E89" s="16">
        <f>(D86+E86)/2</f>
        <v/>
      </c>
      <c r="F89" s="16">
        <f>(E86+F86)/2</f>
        <v/>
      </c>
    </row>
    <row r="90">
      <c r="A90" s="11" t="inlineStr">
        <is>
          <t>Average Goodwill / Revenue</t>
        </is>
      </c>
      <c r="C90" s="15">
        <f>IF('Condensed Financials'!C44=0,NA(),C89/'Condensed Financials'!C44)</f>
        <v/>
      </c>
      <c r="D90" s="15">
        <f>IF('Condensed Financials'!D44=0,NA(),D89/'Condensed Financials'!D44)</f>
        <v/>
      </c>
      <c r="E90" s="15">
        <f>IF('Condensed Financials'!E44=0,NA(),E89/'Condensed Financials'!E44)</f>
        <v/>
      </c>
      <c r="F90" s="15">
        <f>IF('Condensed Financials'!F44=0,NA(),F89/'Condensed Financials'!F44)</f>
        <v/>
      </c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>
        <f>C91-B91</f>
        <v/>
      </c>
      <c r="D92" s="16">
        <f>D91-C91</f>
        <v/>
      </c>
      <c r="E92" s="16">
        <f>E91-D91</f>
        <v/>
      </c>
      <c r="F92" s="16">
        <f>F91-E91</f>
        <v/>
      </c>
    </row>
    <row r="93">
      <c r="A93" s="11" t="inlineStr">
        <is>
          <t>Intangible Assets Growth</t>
        </is>
      </c>
      <c r="C93" s="15">
        <f>IF(B91=0,NA(),C91/B91-1)</f>
        <v/>
      </c>
      <c r="D93" s="15">
        <f>IF(C91=0,NA(),D91/C91-1)</f>
        <v/>
      </c>
      <c r="E93" s="15">
        <f>IF(D91=0,NA(),E91/D91-1)</f>
        <v/>
      </c>
      <c r="F93" s="15">
        <f>IF(E91=0,NA(),F91/E91-1)</f>
        <v/>
      </c>
    </row>
    <row r="94">
      <c r="A94" s="11" t="inlineStr">
        <is>
          <t>Average Intangible Assets</t>
        </is>
      </c>
      <c r="C94" s="16">
        <f>(B91+C91)/2</f>
        <v/>
      </c>
      <c r="D94" s="16">
        <f>(C91+D91)/2</f>
        <v/>
      </c>
      <c r="E94" s="16">
        <f>(D91+E91)/2</f>
        <v/>
      </c>
      <c r="F94" s="16">
        <f>(E91+F91)/2</f>
        <v/>
      </c>
    </row>
    <row r="95">
      <c r="A95" s="11" t="inlineStr">
        <is>
          <t>Average Intangible Assets / Revenue</t>
        </is>
      </c>
      <c r="C95" s="15">
        <f>IF('Condensed Financials'!C44=0,NA(),C94/'Condensed Financials'!C44)</f>
        <v/>
      </c>
      <c r="D95" s="15">
        <f>IF('Condensed Financials'!D44=0,NA(),D94/'Condensed Financials'!D44)</f>
        <v/>
      </c>
      <c r="E95" s="15">
        <f>IF('Condensed Financials'!E44=0,NA(),E94/'Condensed Financials'!E44)</f>
        <v/>
      </c>
      <c r="F95" s="15">
        <f>IF('Condensed Financials'!F44=0,NA(),F94/'Condensed Financials'!F44)</f>
        <v/>
      </c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>
        <f>C96-B96</f>
        <v/>
      </c>
      <c r="D97" s="16">
        <f>D96-C96</f>
        <v/>
      </c>
      <c r="E97" s="16">
        <f>E96-D96</f>
        <v/>
      </c>
      <c r="F97" s="16">
        <f>F96-E96</f>
        <v/>
      </c>
    </row>
    <row r="98">
      <c r="A98" s="11" t="inlineStr">
        <is>
          <t>Goodwill &amp; Intangibles Growth</t>
        </is>
      </c>
      <c r="C98" s="15">
        <f>IF(B96=0,NA(),C96/B96-1)</f>
        <v/>
      </c>
      <c r="D98" s="15">
        <f>IF(C96=0,NA(),D96/C96-1)</f>
        <v/>
      </c>
      <c r="E98" s="15">
        <f>IF(D96=0,NA(),E96/D96-1)</f>
        <v/>
      </c>
      <c r="F98" s="15">
        <f>IF(E96=0,NA(),F96/E96-1)</f>
        <v/>
      </c>
    </row>
    <row r="99">
      <c r="A99" s="11" t="inlineStr">
        <is>
          <t>Average Goodwill &amp; Intangibles</t>
        </is>
      </c>
      <c r="C99" s="16">
        <f>(B96+C96)/2</f>
        <v/>
      </c>
      <c r="D99" s="16">
        <f>(C96+D96)/2</f>
        <v/>
      </c>
      <c r="E99" s="16">
        <f>(D96+E96)/2</f>
        <v/>
      </c>
      <c r="F99" s="16">
        <f>(E96+F96)/2</f>
        <v/>
      </c>
    </row>
    <row r="100">
      <c r="A100" s="11" t="inlineStr">
        <is>
          <t>Average Goodwill &amp; Intangibles / Revenue</t>
        </is>
      </c>
      <c r="C100" s="15">
        <f>IF('Condensed Financials'!C44=0,NA(),C99/'Condensed Financials'!C44)</f>
        <v/>
      </c>
      <c r="D100" s="15">
        <f>IF('Condensed Financials'!D44=0,NA(),D99/'Condensed Financials'!D44)</f>
        <v/>
      </c>
      <c r="E100" s="15">
        <f>IF('Condensed Financials'!E44=0,NA(),E99/'Condensed Financials'!E44)</f>
        <v/>
      </c>
      <c r="F100" s="15">
        <f>IF('Condensed Financials'!F44=0,NA(),F99/'Condensed Financials'!F44)</f>
        <v/>
      </c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>
        <f>-B101</f>
        <v/>
      </c>
      <c r="C102" s="16">
        <f>-C101</f>
        <v/>
      </c>
      <c r="D102" s="16">
        <f>-D101</f>
        <v/>
      </c>
      <c r="E102" s="16">
        <f>-E101</f>
        <v/>
      </c>
      <c r="F102" s="16">
        <f>-F101</f>
        <v/>
      </c>
    </row>
    <row r="103">
      <c r="A103" s="11" t="inlineStr">
        <is>
          <t>Intangible Payments / Revenue</t>
        </is>
      </c>
      <c r="B103" s="15">
        <f>IF('Condensed Financials'!B44=0,NA(),B102/'Condensed Financials'!B44)</f>
        <v/>
      </c>
      <c r="C103" s="15">
        <f>IF('Condensed Financials'!C44=0,NA(),C102/'Condensed Financials'!C44)</f>
        <v/>
      </c>
      <c r="D103" s="15">
        <f>IF('Condensed Financials'!D44=0,NA(),D102/'Condensed Financials'!D44)</f>
        <v/>
      </c>
      <c r="E103" s="15">
        <f>IF('Condensed Financials'!E44=0,NA(),E102/'Condensed Financials'!E44)</f>
        <v/>
      </c>
      <c r="F103" s="15">
        <f>IF('Condensed Financials'!F44=0,NA(),F102/'Condensed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4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C87</t>
        </is>
      </c>
      <c r="I382">
        <f>C86-B86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D87</t>
        </is>
      </c>
      <c r="I383">
        <f>D86-C86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E87</t>
        </is>
      </c>
      <c r="I384">
        <f>E86-D86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F87</t>
        </is>
      </c>
      <c r="I385">
        <f>F86-E86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C88</t>
        </is>
      </c>
      <c r="I386">
        <f>IF(B86=0,NA(),C86/B86-1)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D88</t>
        </is>
      </c>
      <c r="I387">
        <f>IF(C86=0,NA(),D86/C86-1)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E88</t>
        </is>
      </c>
      <c r="I388">
        <f>IF(D86=0,NA(),E86/D86-1)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F88</t>
        </is>
      </c>
      <c r="I389">
        <f>IF(E86=0,NA(),F86/E86-1)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C89</t>
        </is>
      </c>
      <c r="I390">
        <f>(B86+C86)/2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D89</t>
        </is>
      </c>
      <c r="I391">
        <f>(C86+D86)/2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E89</t>
        </is>
      </c>
      <c r="I392">
        <f>(D86+E86)/2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F89</t>
        </is>
      </c>
      <c r="I393">
        <f>(E86+F86)/2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C90</t>
        </is>
      </c>
      <c r="I394">
        <f>IF('Condensed Financials'!C44=0,NA(),C89/'Condensed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D90</t>
        </is>
      </c>
      <c r="I395">
        <f>IF('Condensed Financials'!D44=0,NA(),D89/'Condensed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E90</t>
        </is>
      </c>
      <c r="I396">
        <f>IF('Condensed Financials'!E44=0,NA(),E89/'Condensed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F90</t>
        </is>
      </c>
      <c r="I397">
        <f>IF('Condensed Financials'!F44=0,NA(),F89/'Condensed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C92</t>
        </is>
      </c>
      <c r="I398">
        <f>C91-B91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D92</t>
        </is>
      </c>
      <c r="I399">
        <f>D91-C91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E92</t>
        </is>
      </c>
      <c r="I400">
        <f>E91-D91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F92</t>
        </is>
      </c>
      <c r="I401">
        <f>F91-E91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C93</t>
        </is>
      </c>
      <c r="I402">
        <f>IF(B91=0,NA(),C91/B91-1)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D93</t>
        </is>
      </c>
      <c r="I403">
        <f>IF(C91=0,NA(),D91/C91-1)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E93</t>
        </is>
      </c>
      <c r="I404">
        <f>IF(D91=0,NA(),E91/D91-1)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F93</t>
        </is>
      </c>
      <c r="I405">
        <f>IF(E91=0,NA(),F91/E91-1)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C94</t>
        </is>
      </c>
      <c r="I406">
        <f>(B91+C91)/2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D94</t>
        </is>
      </c>
      <c r="I407">
        <f>(C91+D91)/2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E94</t>
        </is>
      </c>
      <c r="I408">
        <f>(D91+E91)/2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F94</t>
        </is>
      </c>
      <c r="I409">
        <f>(E91+F91)/2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C95</t>
        </is>
      </c>
      <c r="I410">
        <f>IF('Condensed Financials'!C44=0,NA(),C94/'Condensed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D95</t>
        </is>
      </c>
      <c r="I411">
        <f>IF('Condensed Financials'!D44=0,NA(),D94/'Condensed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E95</t>
        </is>
      </c>
      <c r="I412">
        <f>IF('Condensed Financials'!E44=0,NA(),E94/'Condensed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F95</t>
        </is>
      </c>
      <c r="I413">
        <f>IF('Condensed Financials'!F44=0,NA(),F94/'Condensed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C97</t>
        </is>
      </c>
      <c r="I414">
        <f>C96-B96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D97</t>
        </is>
      </c>
      <c r="I415">
        <f>D96-C96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E97</t>
        </is>
      </c>
      <c r="I416">
        <f>E96-D96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F97</t>
        </is>
      </c>
      <c r="I417">
        <f>F96-E96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C98</t>
        </is>
      </c>
      <c r="I418">
        <f>IF(B96=0,NA(),C96/B96-1)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D98</t>
        </is>
      </c>
      <c r="I419">
        <f>IF(C96=0,NA(),D96/C96-1)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E98</t>
        </is>
      </c>
      <c r="I420">
        <f>IF(D96=0,NA(),E96/D96-1)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F98</t>
        </is>
      </c>
      <c r="I421">
        <f>IF(E96=0,NA(),F96/E96-1)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C99</t>
        </is>
      </c>
      <c r="I422">
        <f>(B96+C96)/2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D99</t>
        </is>
      </c>
      <c r="I423">
        <f>(C96+D96)/2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E99</t>
        </is>
      </c>
      <c r="I424">
        <f>(D96+E96)/2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F99</t>
        </is>
      </c>
      <c r="I425">
        <f>(E96+F96)/2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C100</t>
        </is>
      </c>
      <c r="I426">
        <f>IF('Condensed Financials'!C44=0,NA(),C99/'Condensed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D100</t>
        </is>
      </c>
      <c r="I427">
        <f>IF('Condensed Financials'!D44=0,NA(),D99/'Condensed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E100</t>
        </is>
      </c>
      <c r="I428">
        <f>IF('Condensed Financials'!E44=0,NA(),E99/'Condensed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F100</t>
        </is>
      </c>
      <c r="I429">
        <f>IF('Condensed Financials'!F44=0,NA(),F99/'Condensed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B102</t>
        </is>
      </c>
      <c r="I430">
        <f>-B101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C102</t>
        </is>
      </c>
      <c r="I431">
        <f>-C101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D102</t>
        </is>
      </c>
      <c r="I432">
        <f>-D101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E102</t>
        </is>
      </c>
      <c r="I433">
        <f>-E101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F102</t>
        </is>
      </c>
      <c r="I434">
        <f>-F101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B103</t>
        </is>
      </c>
      <c r="I435">
        <f>IF('Condensed Financials'!B44=0,NA(),B102/'Condensed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C103</t>
        </is>
      </c>
      <c r="I436">
        <f>IF('Condensed Financials'!C44=0,NA(),C102/'Condensed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D103</t>
        </is>
      </c>
      <c r="I437">
        <f>IF('Condensed Financials'!D44=0,NA(),D102/'Condensed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E103</t>
        </is>
      </c>
      <c r="I438">
        <f>IF('Condensed Financials'!E44=0,NA(),E102/'Condensed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F103</t>
        </is>
      </c>
      <c r="I439">
        <f>IF('Condensed Financials'!F44=0,NA(),F102/'Condensed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lease_repayments__20210831</t>
        </is>
      </c>
      <c r="B483" t="n">
        <v>482</v>
      </c>
      <c r="C483" t="inlineStr">
        <is>
          <t>Lease Repayments (−reported)</t>
        </is>
      </c>
      <c r="D483" t="inlineStr">
        <is>
          <t>Presented as −reported cash repayments of lease liabilities. Not total lease cost, ROU amortization, or liability movement.</t>
        </is>
      </c>
      <c r="E483" t="inlineStr">
        <is>
          <t>lease_repayment.lease_repayments.2021-08-31</t>
        </is>
      </c>
      <c r="F483" t="inlineStr">
        <is>
          <t>lease_repayment</t>
        </is>
      </c>
      <c r="G483" t="inlineStr">
        <is>
          <t>ALT DuPont</t>
        </is>
      </c>
      <c r="H483" t="inlineStr">
        <is>
          <t>B82</t>
        </is>
      </c>
      <c r="I483">
        <f>-B81</f>
        <v/>
      </c>
      <c r="J483" t="n">
        <v>148248</v>
      </c>
      <c r="K483" t="n">
        <v>0.01</v>
      </c>
      <c r="M48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3" t="inlineStr">
        <is>
          <t>pending</t>
        </is>
      </c>
      <c r="P483" t="inlineStr">
        <is>
          <t>lease_repayments</t>
        </is>
      </c>
      <c r="Q483" t="n">
        <v>122</v>
      </c>
      <c r="R483" t="n">
        <v>0</v>
      </c>
      <c r="S483" t="inlineStr">
        <is>
          <t>2021-08-31</t>
        </is>
      </c>
    </row>
    <row r="484">
      <c r="A484" t="inlineStr">
        <is>
          <t>lease_repayments__20220831</t>
        </is>
      </c>
      <c r="B484" t="n">
        <v>483</v>
      </c>
      <c r="C484" t="inlineStr">
        <is>
          <t>Lease Repayments (−reported)</t>
        </is>
      </c>
      <c r="D484" t="inlineStr">
        <is>
          <t>Presented as −reported cash repayments of lease liabilities. Not total lease cost, ROU amortization, or liability movement.</t>
        </is>
      </c>
      <c r="E484" t="inlineStr">
        <is>
          <t>lease_repayment.lease_repayments.2022-08-31</t>
        </is>
      </c>
      <c r="F484" t="inlineStr">
        <is>
          <t>lease_repayment</t>
        </is>
      </c>
      <c r="G484" t="inlineStr">
        <is>
          <t>ALT DuPont</t>
        </is>
      </c>
      <c r="H484" t="inlineStr">
        <is>
          <t>C82</t>
        </is>
      </c>
      <c r="I484">
        <f>-C81</f>
        <v/>
      </c>
      <c r="J484" t="n">
        <v>136889</v>
      </c>
      <c r="K484" t="n">
        <v>0.01</v>
      </c>
      <c r="M48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4" t="inlineStr">
        <is>
          <t>pending</t>
        </is>
      </c>
      <c r="P484" t="inlineStr">
        <is>
          <t>lease_repayments</t>
        </is>
      </c>
      <c r="Q484" t="n">
        <v>122</v>
      </c>
      <c r="R484" t="n">
        <v>1</v>
      </c>
      <c r="S484" t="inlineStr">
        <is>
          <t>2022-08-31</t>
        </is>
      </c>
    </row>
    <row r="485">
      <c r="A485" t="inlineStr">
        <is>
          <t>lease_repayments__20230831</t>
        </is>
      </c>
      <c r="B485" t="n">
        <v>484</v>
      </c>
      <c r="C485" t="inlineStr">
        <is>
          <t>Lease Repayments (−reported)</t>
        </is>
      </c>
      <c r="D485" t="inlineStr">
        <is>
          <t>Presented as −reported cash repayments of lease liabilities. Not total lease cost, ROU amortization, or liability movement.</t>
        </is>
      </c>
      <c r="E485" t="inlineStr">
        <is>
          <t>lease_repayment.lease_repayments.2023-08-31</t>
        </is>
      </c>
      <c r="F485" t="inlineStr">
        <is>
          <t>lease_repayment</t>
        </is>
      </c>
      <c r="G485" t="inlineStr">
        <is>
          <t>ALT DuPont</t>
        </is>
      </c>
      <c r="H485" t="inlineStr">
        <is>
          <t>D82</t>
        </is>
      </c>
      <c r="I485">
        <f>-D81</f>
        <v/>
      </c>
      <c r="J485" t="n">
        <v>140646</v>
      </c>
      <c r="K485" t="n">
        <v>0.01</v>
      </c>
      <c r="M48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5" t="inlineStr">
        <is>
          <t>pending</t>
        </is>
      </c>
      <c r="P485" t="inlineStr">
        <is>
          <t>lease_repayments</t>
        </is>
      </c>
      <c r="Q485" t="n">
        <v>122</v>
      </c>
      <c r="R485" t="n">
        <v>2</v>
      </c>
      <c r="S485" t="inlineStr">
        <is>
          <t>2023-08-31</t>
        </is>
      </c>
    </row>
    <row r="486">
      <c r="A486" t="inlineStr">
        <is>
          <t>lease_repayments__20240831</t>
        </is>
      </c>
      <c r="B486" t="n">
        <v>485</v>
      </c>
      <c r="C486" t="inlineStr">
        <is>
          <t>Lease Repayments (−reported)</t>
        </is>
      </c>
      <c r="D486" t="inlineStr">
        <is>
          <t>Presented as −reported cash repayments of lease liabilities. Not total lease cost, ROU amortization, or liability movement.</t>
        </is>
      </c>
      <c r="E486" t="inlineStr">
        <is>
          <t>lease_repayment.lease_repayments.2024-08-31</t>
        </is>
      </c>
      <c r="F486" t="inlineStr">
        <is>
          <t>lease_repayment</t>
        </is>
      </c>
      <c r="G486" t="inlineStr">
        <is>
          <t>ALT DuPont</t>
        </is>
      </c>
      <c r="H486" t="inlineStr">
        <is>
          <t>E82</t>
        </is>
      </c>
      <c r="I486">
        <f>-E81</f>
        <v/>
      </c>
      <c r="J486" t="n">
        <v>146403</v>
      </c>
      <c r="K486" t="n">
        <v>0.01</v>
      </c>
      <c r="M48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6" t="inlineStr">
        <is>
          <t>pending</t>
        </is>
      </c>
      <c r="P486" t="inlineStr">
        <is>
          <t>lease_repayments</t>
        </is>
      </c>
      <c r="Q486" t="n">
        <v>122</v>
      </c>
      <c r="R486" t="n">
        <v>3</v>
      </c>
      <c r="S486" t="inlineStr">
        <is>
          <t>2024-08-31</t>
        </is>
      </c>
    </row>
    <row r="487">
      <c r="A487" t="inlineStr">
        <is>
          <t>lease_repayments__20250831</t>
        </is>
      </c>
      <c r="B487" t="n">
        <v>486</v>
      </c>
      <c r="C487" t="inlineStr">
        <is>
          <t>Lease Repayments (−reported)</t>
        </is>
      </c>
      <c r="D487" t="inlineStr">
        <is>
          <t>Presented as −reported cash repayments of lease liabilities. Not total lease cost, ROU amortization, or liability movement.</t>
        </is>
      </c>
      <c r="E487" t="inlineStr">
        <is>
          <t>lease_repayment.lease_repayments.2025-08-31</t>
        </is>
      </c>
      <c r="F487" t="inlineStr">
        <is>
          <t>lease_repayment</t>
        </is>
      </c>
      <c r="G487" t="inlineStr">
        <is>
          <t>ALT DuPont</t>
        </is>
      </c>
      <c r="H487" t="inlineStr">
        <is>
          <t>F82</t>
        </is>
      </c>
      <c r="I487">
        <f>-F81</f>
        <v/>
      </c>
      <c r="J487" t="n">
        <v>140483</v>
      </c>
      <c r="K487" t="n">
        <v>0.01</v>
      </c>
      <c r="M48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7" t="inlineStr">
        <is>
          <t>pending</t>
        </is>
      </c>
      <c r="P487" t="inlineStr">
        <is>
          <t>lease_repayments</t>
        </is>
      </c>
      <c r="Q487" t="n">
        <v>122</v>
      </c>
      <c r="R487" t="n">
        <v>4</v>
      </c>
      <c r="S487" t="inlineStr">
        <is>
          <t>2025-08-31</t>
        </is>
      </c>
    </row>
    <row r="488">
      <c r="A488" t="inlineStr">
        <is>
          <t>lease_repayments_to_revenue__20210831</t>
        </is>
      </c>
      <c r="B488" t="n">
        <v>487</v>
      </c>
      <c r="C488" t="inlineStr">
        <is>
          <t>Lease Repayments / Revenue</t>
        </is>
      </c>
      <c r="D488" t="inlineStr">
        <is>
          <t>Presented lease repayments divided by same-period Revenue. Cash intensity only — not liability stock or ROU amortization.</t>
        </is>
      </c>
      <c r="E488" t="inlineStr">
        <is>
          <t>lease_repayment.lease_repayments_to_revenue.2021-08-31</t>
        </is>
      </c>
      <c r="F488" t="inlineStr">
        <is>
          <t>lease_repayment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0.06950237037926069</v>
      </c>
      <c r="K488" t="n">
        <v>0.01</v>
      </c>
      <c r="L488" t="inlineStr">
        <is>
          <t>lease_repayments__20210831,revenue_link__20210831</t>
        </is>
      </c>
      <c r="M48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88" t="inlineStr">
        <is>
          <t>pending</t>
        </is>
      </c>
      <c r="P488" t="inlineStr">
        <is>
          <t>lease_repayments_to_revenue</t>
        </is>
      </c>
      <c r="Q488" t="n">
        <v>123</v>
      </c>
      <c r="R488" t="n">
        <v>0</v>
      </c>
      <c r="S488" t="inlineStr">
        <is>
          <t>2021-08-31</t>
        </is>
      </c>
    </row>
    <row r="489">
      <c r="A489" t="inlineStr">
        <is>
          <t>lease_repayments_to_revenue__20220831</t>
        </is>
      </c>
      <c r="B489" t="n">
        <v>488</v>
      </c>
      <c r="C489" t="inlineStr">
        <is>
          <t>Lease Repayments / Revenue</t>
        </is>
      </c>
      <c r="D489" t="inlineStr">
        <is>
          <t>Presented lease repayments divided by same-period Revenue. Cash intensity only — not liability stock or ROU amortization.</t>
        </is>
      </c>
      <c r="E489" t="inlineStr">
        <is>
          <t>lease_repayment.lease_repayments_to_revenue.2022-08-31</t>
        </is>
      </c>
      <c r="F489" t="inlineStr">
        <is>
          <t>lease_repayment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0.05948793675433115</v>
      </c>
      <c r="K489" t="n">
        <v>0.01</v>
      </c>
      <c r="L489" t="inlineStr">
        <is>
          <t>lease_repayments__20220831,revenue_link__20220831</t>
        </is>
      </c>
      <c r="M48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89" t="inlineStr">
        <is>
          <t>pending</t>
        </is>
      </c>
      <c r="P489" t="inlineStr">
        <is>
          <t>lease_repayments_to_revenue</t>
        </is>
      </c>
      <c r="Q489" t="n">
        <v>123</v>
      </c>
      <c r="R489" t="n">
        <v>1</v>
      </c>
      <c r="S489" t="inlineStr">
        <is>
          <t>2022-08-31</t>
        </is>
      </c>
    </row>
    <row r="490">
      <c r="A490" t="inlineStr">
        <is>
          <t>lease_repayments_to_revenue__20230831</t>
        </is>
      </c>
      <c r="B490" t="n">
        <v>489</v>
      </c>
      <c r="C490" t="inlineStr">
        <is>
          <t>Lease Repayments / Revenue</t>
        </is>
      </c>
      <c r="D490" t="inlineStr">
        <is>
          <t>Presented lease repayments divided by same-period Revenue. Cash intensity only — not liability stock or ROU amortization.</t>
        </is>
      </c>
      <c r="E490" t="inlineStr">
        <is>
          <t>lease_repayment.lease_repayments_to_revenue.2023-08-31</t>
        </is>
      </c>
      <c r="F490" t="inlineStr">
        <is>
          <t>lease_repayment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0.05083791875605671</v>
      </c>
      <c r="K490" t="n">
        <v>0.01</v>
      </c>
      <c r="L490" t="inlineStr">
        <is>
          <t>lease_repayments__20230831,revenue_link__20230831</t>
        </is>
      </c>
      <c r="M49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0" t="inlineStr">
        <is>
          <t>pending</t>
        </is>
      </c>
      <c r="P490" t="inlineStr">
        <is>
          <t>lease_repayments_to_revenue</t>
        </is>
      </c>
      <c r="Q490" t="n">
        <v>123</v>
      </c>
      <c r="R490" t="n">
        <v>2</v>
      </c>
      <c r="S490" t="inlineStr">
        <is>
          <t>2023-08-31</t>
        </is>
      </c>
    </row>
    <row r="491">
      <c r="A491" t="inlineStr">
        <is>
          <t>lease_repayments_to_revenue__20240831</t>
        </is>
      </c>
      <c r="B491" t="n">
        <v>490</v>
      </c>
      <c r="C491" t="inlineStr">
        <is>
          <t>Lease Repayments / Revenue</t>
        </is>
      </c>
      <c r="D491" t="inlineStr">
        <is>
          <t>Presented lease repayments divided by same-period Revenue. Cash intensity only — not liability stock or ROU amortization.</t>
        </is>
      </c>
      <c r="E491" t="inlineStr">
        <is>
          <t>lease_repayment.lease_repayments_to_revenue.2024-08-31</t>
        </is>
      </c>
      <c r="F491" t="inlineStr">
        <is>
          <t>lease_repayment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0.04716840709367377</v>
      </c>
      <c r="K491" t="n">
        <v>0.01</v>
      </c>
      <c r="L491" t="inlineStr">
        <is>
          <t>lease_repayments__20240831,revenue_link__20240831</t>
        </is>
      </c>
      <c r="M49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1" t="inlineStr">
        <is>
          <t>pending</t>
        </is>
      </c>
      <c r="P491" t="inlineStr">
        <is>
          <t>lease_repayments_to_revenue</t>
        </is>
      </c>
      <c r="Q491" t="n">
        <v>123</v>
      </c>
      <c r="R491" t="n">
        <v>3</v>
      </c>
      <c r="S491" t="inlineStr">
        <is>
          <t>2024-08-31</t>
        </is>
      </c>
    </row>
    <row r="492">
      <c r="A492" t="inlineStr">
        <is>
          <t>lease_repayments_to_revenue__20250831</t>
        </is>
      </c>
      <c r="B492" t="n">
        <v>491</v>
      </c>
      <c r="C492" t="inlineStr">
        <is>
          <t>Lease Repayments / Revenue</t>
        </is>
      </c>
      <c r="D492" t="inlineStr">
        <is>
          <t>Presented lease repayments divided by same-period Revenue. Cash intensity only — not liability stock or ROU amortization.</t>
        </is>
      </c>
      <c r="E492" t="inlineStr">
        <is>
          <t>lease_repayment.lease_repayments_to_revenue.2025-08-31</t>
        </is>
      </c>
      <c r="F492" t="inlineStr">
        <is>
          <t>lease_repayment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0.04131198024783718</v>
      </c>
      <c r="K492" t="n">
        <v>0.01</v>
      </c>
      <c r="L492" t="inlineStr">
        <is>
          <t>lease_repayments__20250831,revenue_link__20250831</t>
        </is>
      </c>
      <c r="M49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2" t="inlineStr">
        <is>
          <t>pending</t>
        </is>
      </c>
      <c r="P492" t="inlineStr">
        <is>
          <t>lease_repayments_to_revenue</t>
        </is>
      </c>
      <c r="Q492" t="n">
        <v>123</v>
      </c>
      <c r="R492" t="n">
        <v>4</v>
      </c>
      <c r="S49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2026-09-14T05:51:45Z</dcterms:created>
  <dcterms:modified xsi:type="dcterms:W3CDTF">2026-09-14T05:51:45Z</dcterms:modified>
</cp:coreProperties>
</file>