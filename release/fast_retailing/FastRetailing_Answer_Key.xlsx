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B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F95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F97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F99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F101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05" authorId="0" shapeId="0">
      <text>
        <t>Current goodwill − prior goodwill. Flat goodwill does not establish absence of impairment disclosed elsewhere.</t>
      </text>
    </comment>
    <comment ref="D105" authorId="0" shapeId="0">
      <text>
        <t>Current goodwill − prior goodwill. Flat goodwill does not establish absence of impairment disclosed elsewhere.</t>
      </text>
    </comment>
    <comment ref="E105" authorId="0" shapeId="0">
      <text>
        <t>Current goodwill − prior goodwill. Flat goodwill does not establish absence of impairment disclosed elsewhere.</t>
      </text>
    </comment>
    <comment ref="F105" authorId="0" shapeId="0">
      <text>
        <t>Current goodwill − prior goodwill. Flat goodwill does not establish absence of impairment disclosed elsewhere.</t>
      </text>
    </comment>
    <comment ref="C106" authorId="0" shapeId="0">
      <text>
        <t>Percentage change in reported goodwill.</t>
      </text>
    </comment>
    <comment ref="D106" authorId="0" shapeId="0">
      <text>
        <t>Percentage change in reported goodwill.</t>
      </text>
    </comment>
    <comment ref="E106" authorId="0" shapeId="0">
      <text>
        <t>Percentage change in reported goodwill.</t>
      </text>
    </comment>
    <comment ref="F106" authorId="0" shapeId="0">
      <text>
        <t>Percentage change in reported goodwill.</t>
      </text>
    </comment>
    <comment ref="C107" authorId="0" shapeId="0">
      <text>
        <t>Average beginning and ending goodwill.</t>
      </text>
    </comment>
    <comment ref="D107" authorId="0" shapeId="0">
      <text>
        <t>Average beginning and ending goodwill.</t>
      </text>
    </comment>
    <comment ref="E107" authorId="0" shapeId="0">
      <text>
        <t>Average beginning and ending goodwill.</t>
      </text>
    </comment>
    <comment ref="F107" authorId="0" shapeId="0">
      <text>
        <t>Average beginning and ending goodwill.</t>
      </text>
    </comment>
    <comment ref="C108" authorId="0" shapeId="0">
      <text>
        <t>Average goodwill divided by Revenue (average-balance intensity).</t>
      </text>
    </comment>
    <comment ref="D108" authorId="0" shapeId="0">
      <text>
        <t>Average goodwill divided by Revenue (average-balance intensity).</t>
      </text>
    </comment>
    <comment ref="E108" authorId="0" shapeId="0">
      <text>
        <t>Average goodwill divided by Revenue (average-balance intensity).</t>
      </text>
    </comment>
    <comment ref="F108" authorId="0" shapeId="0">
      <text>
        <t>Average goodwill divided by Revenue (average-balance intensity).</t>
      </text>
    </comment>
    <comment ref="C110" authorId="0" shapeId="0">
      <text>
        <t>Current intangible assets − prior intangible assets.</t>
      </text>
    </comment>
    <comment ref="D110" authorId="0" shapeId="0">
      <text>
        <t>Current intangible assets − prior intangible assets.</t>
      </text>
    </comment>
    <comment ref="E110" authorId="0" shapeId="0">
      <text>
        <t>Current intangible assets − prior intangible assets.</t>
      </text>
    </comment>
    <comment ref="F110" authorId="0" shapeId="0">
      <text>
        <t>Current intangible assets − prior intangible assets.</t>
      </text>
    </comment>
    <comment ref="C111" authorId="0" shapeId="0">
      <text>
        <t>Percentage change in reported intangible assets.</t>
      </text>
    </comment>
    <comment ref="D111" authorId="0" shapeId="0">
      <text>
        <t>Percentage change in reported intangible assets.</t>
      </text>
    </comment>
    <comment ref="E111" authorId="0" shapeId="0">
      <text>
        <t>Percentage change in reported intangible assets.</t>
      </text>
    </comment>
    <comment ref="F111" authorId="0" shapeId="0">
      <text>
        <t>Percentage change in reported intangible assets.</t>
      </text>
    </comment>
    <comment ref="C112" authorId="0" shapeId="0">
      <text>
        <t>Average beginning and ending intangible assets.</t>
      </text>
    </comment>
    <comment ref="D112" authorId="0" shapeId="0">
      <text>
        <t>Average beginning and ending intangible assets.</t>
      </text>
    </comment>
    <comment ref="E112" authorId="0" shapeId="0">
      <text>
        <t>Average beginning and ending intangible assets.</t>
      </text>
    </comment>
    <comment ref="F112" authorId="0" shapeId="0">
      <text>
        <t>Average beginning and ending intangible assets.</t>
      </text>
    </comment>
    <comment ref="C113" authorId="0" shapeId="0">
      <text>
        <t>Average intangible assets divided by Revenue (average-balance intensity).</t>
      </text>
    </comment>
    <comment ref="D113" authorId="0" shapeId="0">
      <text>
        <t>Average intangible assets divided by Revenue (average-balance intensity).</t>
      </text>
    </comment>
    <comment ref="E113" authorId="0" shapeId="0">
      <text>
        <t>Average intangible assets divided by Revenue (average-balance intensity).</t>
      </text>
    </comment>
    <comment ref="F113" authorId="0" shapeId="0">
      <text>
        <t>Average intangible assets divided by Revenue (average-balance intensity).</t>
      </text>
    </comment>
    <comment ref="C115" authorId="0" shapeId="0">
      <text>
        <t>Current combined total − prior combined total.</t>
      </text>
    </comment>
    <comment ref="D115" authorId="0" shapeId="0">
      <text>
        <t>Current combined total − prior combined total.</t>
      </text>
    </comment>
    <comment ref="E115" authorId="0" shapeId="0">
      <text>
        <t>Current combined total − prior combined total.</t>
      </text>
    </comment>
    <comment ref="F115" authorId="0" shapeId="0">
      <text>
        <t>Current combined total − prior combined total.</t>
      </text>
    </comment>
    <comment ref="C116" authorId="0" shapeId="0">
      <text>
        <t>Percentage change in the combined goodwill and intangibles total.</t>
      </text>
    </comment>
    <comment ref="D116" authorId="0" shapeId="0">
      <text>
        <t>Percentage change in the combined goodwill and intangibles total.</t>
      </text>
    </comment>
    <comment ref="E116" authorId="0" shapeId="0">
      <text>
        <t>Percentage change in the combined goodwill and intangibles total.</t>
      </text>
    </comment>
    <comment ref="F116" authorId="0" shapeId="0">
      <text>
        <t>Percentage change in the combined goodwill and intangibles total.</t>
      </text>
    </comment>
    <comment ref="C117" authorId="0" shapeId="0">
      <text>
        <t>Average beginning and ending combined goodwill and intangibles.</t>
      </text>
    </comment>
    <comment ref="D117" authorId="0" shapeId="0">
      <text>
        <t>Average beginning and ending combined goodwill and intangibles.</t>
      </text>
    </comment>
    <comment ref="E117" authorId="0" shapeId="0">
      <text>
        <t>Average beginning and ending combined goodwill and intangibles.</t>
      </text>
    </comment>
    <comment ref="F117" authorId="0" shapeId="0">
      <text>
        <t>Average beginning and ending combined goodwill and intangibles.</t>
      </text>
    </comment>
    <comment ref="C118" authorId="0" shapeId="0">
      <text>
        <t>Average combined goodwill and intangibles divided by Revenue.</t>
      </text>
    </comment>
    <comment ref="D118" authorId="0" shapeId="0">
      <text>
        <t>Average combined goodwill and intangibles divided by Revenue.</t>
      </text>
    </comment>
    <comment ref="E118" authorId="0" shapeId="0">
      <text>
        <t>Average combined goodwill and intangibles divided by Revenue.</t>
      </text>
    </comment>
    <comment ref="F118" authorId="0" shapeId="0">
      <text>
        <t>Average combined goodwill and intangibles divided by Revenue.</t>
      </text>
    </comment>
    <comment ref="B120" authorId="0" shapeId="0">
      <text>
        <t>Presented as −reported payments for intangible assets. Intangible payments are not business acquisitions.</t>
      </text>
    </comment>
    <comment ref="C120" authorId="0" shapeId="0">
      <text>
        <t>Presented as −reported payments for intangible assets. Intangible payments are not business acquisitions.</t>
      </text>
    </comment>
    <comment ref="D120" authorId="0" shapeId="0">
      <text>
        <t>Presented as −reported payments for intangible assets. Intangible payments are not business acquisitions.</t>
      </text>
    </comment>
    <comment ref="E120" authorId="0" shapeId="0">
      <text>
        <t>Presented as −reported payments for intangible assets. Intangible payments are not business acquisitions.</t>
      </text>
    </comment>
    <comment ref="F120" authorId="0" shapeId="0">
      <text>
        <t>Presented as −reported payments for intangible assets. Intangible payments are not business acquisitions.</t>
      </text>
    </comment>
    <comment ref="B121" authorId="0" shapeId="0">
      <text>
        <t>Presented intangible payments divided by Revenue. Intangible payments are not business acquisitions.</t>
      </text>
    </comment>
    <comment ref="C121" authorId="0" shapeId="0">
      <text>
        <t>Presented intangible payments divided by Revenue. Intangible payments are not business acquisitions.</t>
      </text>
    </comment>
    <comment ref="D121" authorId="0" shapeId="0">
      <text>
        <t>Presented intangible payments divided by Revenue. Intangible payments are not business acquisitions.</t>
      </text>
    </comment>
    <comment ref="E121" authorId="0" shapeId="0">
      <text>
        <t>Presented intangible payments divided by Revenue. Intangible payments are not business acquisitions.</t>
      </text>
    </comment>
    <comment ref="F121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C105:F105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C106:F106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C107:F107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C108:F108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C110:F110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C111:F111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C112:F112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C113:F113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C115:F115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C116:F116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C117:F117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C118:F118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B120:F120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B121:F121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>
        <f>B91+B92+B93+B94</f>
        <v/>
      </c>
      <c r="C95" s="16">
        <f>C91+C92+C93+C94</f>
        <v/>
      </c>
      <c r="D95" s="16">
        <f>D91+D92+D93+D94</f>
        <v/>
      </c>
      <c r="E95" s="16">
        <f>E91+E92+E93+E94</f>
        <v/>
      </c>
      <c r="F95" s="16">
        <f>F91+F92+F93+F94</f>
        <v/>
      </c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>
        <f>B95-B96</f>
        <v/>
      </c>
      <c r="C97" s="16">
        <f>C95-C96</f>
        <v/>
      </c>
      <c r="D97" s="16">
        <f>D95-D96</f>
        <v/>
      </c>
      <c r="E97" s="16">
        <f>E95-E96</f>
        <v/>
      </c>
      <c r="F97" s="16">
        <f>F95-F96</f>
        <v/>
      </c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>
        <f>B98+B95</f>
        <v/>
      </c>
      <c r="C99" s="16">
        <f>C98+C95</f>
        <v/>
      </c>
      <c r="D99" s="16">
        <f>D98+D95</f>
        <v/>
      </c>
      <c r="E99" s="16">
        <f>E98+E95</f>
        <v/>
      </c>
      <c r="F99" s="16">
        <f>F98+F95</f>
        <v/>
      </c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>
        <f>B99-B100</f>
        <v/>
      </c>
      <c r="C101" s="16">
        <f>C99-C100</f>
        <v/>
      </c>
      <c r="D101" s="16">
        <f>D99-D100</f>
        <v/>
      </c>
      <c r="E101" s="16">
        <f>E99-E100</f>
        <v/>
      </c>
      <c r="F101" s="16">
        <f>F99-F100</f>
        <v/>
      </c>
    </row>
    <row r="102"/>
    <row r="103">
      <c r="A103" s="11" t="inlineStr">
        <is>
          <t>GOODWILL &amp; INTANGIBLES CONTEXT</t>
        </is>
      </c>
    </row>
    <row r="104">
      <c r="A104" s="11" t="inlineStr">
        <is>
          <t>Goodwill</t>
        </is>
      </c>
      <c r="B104" s="13">
        <f>'Balance Sheet'!B37</f>
        <v/>
      </c>
      <c r="C104" s="13">
        <f>'Balance Sheet'!C37</f>
        <v/>
      </c>
      <c r="D104" s="13">
        <f>'Balance Sheet'!D37</f>
        <v/>
      </c>
      <c r="E104" s="13">
        <f>'Balance Sheet'!E37</f>
        <v/>
      </c>
      <c r="F104" s="13">
        <f>'Balance Sheet'!F37</f>
        <v/>
      </c>
    </row>
    <row r="105">
      <c r="A105" s="11" t="inlineStr">
        <is>
          <t>Change in Goodwill</t>
        </is>
      </c>
      <c r="C105" s="16">
        <f>C104-B104</f>
        <v/>
      </c>
      <c r="D105" s="16">
        <f>D104-C104</f>
        <v/>
      </c>
      <c r="E105" s="16">
        <f>E104-D104</f>
        <v/>
      </c>
      <c r="F105" s="16">
        <f>F104-E104</f>
        <v/>
      </c>
    </row>
    <row r="106">
      <c r="A106" s="11" t="inlineStr">
        <is>
          <t>Goodwill Growth</t>
        </is>
      </c>
      <c r="C106" s="15">
        <f>IF(B104=0,NA(),C104/B104-1)</f>
        <v/>
      </c>
      <c r="D106" s="15">
        <f>IF(C104=0,NA(),D104/C104-1)</f>
        <v/>
      </c>
      <c r="E106" s="15">
        <f>IF(D104=0,NA(),E104/D104-1)</f>
        <v/>
      </c>
      <c r="F106" s="15">
        <f>IF(E104=0,NA(),F104/E104-1)</f>
        <v/>
      </c>
    </row>
    <row r="107">
      <c r="A107" s="11" t="inlineStr">
        <is>
          <t>Average Goodwill</t>
        </is>
      </c>
      <c r="C107" s="16">
        <f>(B104+C104)/2</f>
        <v/>
      </c>
      <c r="D107" s="16">
        <f>(C104+D104)/2</f>
        <v/>
      </c>
      <c r="E107" s="16">
        <f>(D104+E104)/2</f>
        <v/>
      </c>
      <c r="F107" s="16">
        <f>(E104+F104)/2</f>
        <v/>
      </c>
    </row>
    <row r="108">
      <c r="A108" s="11" t="inlineStr">
        <is>
          <t>Average Goodwill / Revenue</t>
        </is>
      </c>
      <c r="C108" s="15">
        <f>IF('Condensed Financials'!C44=0,NA(),C107/'Condensed Financials'!C44)</f>
        <v/>
      </c>
      <c r="D108" s="15">
        <f>IF('Condensed Financials'!D44=0,NA(),D107/'Condensed Financials'!D44)</f>
        <v/>
      </c>
      <c r="E108" s="15">
        <f>IF('Condensed Financials'!E44=0,NA(),E107/'Condensed Financials'!E44)</f>
        <v/>
      </c>
      <c r="F108" s="15">
        <f>IF('Condensed Financials'!F44=0,NA(),F107/'Condensed Financials'!F44)</f>
        <v/>
      </c>
    </row>
    <row r="109">
      <c r="A109" s="11" t="inlineStr">
        <is>
          <t>Intangible Assets</t>
        </is>
      </c>
      <c r="B109" s="13">
        <f>'Balance Sheet'!B38</f>
        <v/>
      </c>
      <c r="C109" s="13">
        <f>'Balance Sheet'!C38</f>
        <v/>
      </c>
      <c r="D109" s="13">
        <f>'Balance Sheet'!D38</f>
        <v/>
      </c>
      <c r="E109" s="13">
        <f>'Balance Sheet'!E38</f>
        <v/>
      </c>
      <c r="F109" s="13">
        <f>'Balance Sheet'!F38</f>
        <v/>
      </c>
    </row>
    <row r="110">
      <c r="A110" s="11" t="inlineStr">
        <is>
          <t>Change in Intangible Assets</t>
        </is>
      </c>
      <c r="C110" s="16">
        <f>C109-B109</f>
        <v/>
      </c>
      <c r="D110" s="16">
        <f>D109-C109</f>
        <v/>
      </c>
      <c r="E110" s="16">
        <f>E109-D109</f>
        <v/>
      </c>
      <c r="F110" s="16">
        <f>F109-E109</f>
        <v/>
      </c>
    </row>
    <row r="111">
      <c r="A111" s="11" t="inlineStr">
        <is>
          <t>Intangible Assets Growth</t>
        </is>
      </c>
      <c r="C111" s="15">
        <f>IF(B109=0,NA(),C109/B109-1)</f>
        <v/>
      </c>
      <c r="D111" s="15">
        <f>IF(C109=0,NA(),D109/C109-1)</f>
        <v/>
      </c>
      <c r="E111" s="15">
        <f>IF(D109=0,NA(),E109/D109-1)</f>
        <v/>
      </c>
      <c r="F111" s="15">
        <f>IF(E109=0,NA(),F109/E109-1)</f>
        <v/>
      </c>
    </row>
    <row r="112">
      <c r="A112" s="11" t="inlineStr">
        <is>
          <t>Average Intangible Assets</t>
        </is>
      </c>
      <c r="C112" s="16">
        <f>(B109+C109)/2</f>
        <v/>
      </c>
      <c r="D112" s="16">
        <f>(C109+D109)/2</f>
        <v/>
      </c>
      <c r="E112" s="16">
        <f>(D109+E109)/2</f>
        <v/>
      </c>
      <c r="F112" s="16">
        <f>(E109+F109)/2</f>
        <v/>
      </c>
    </row>
    <row r="113">
      <c r="A113" s="11" t="inlineStr">
        <is>
          <t>Average Intangible Assets / Revenue</t>
        </is>
      </c>
      <c r="C113" s="15">
        <f>IF('Condensed Financials'!C44=0,NA(),C112/'Condensed Financials'!C44)</f>
        <v/>
      </c>
      <c r="D113" s="15">
        <f>IF('Condensed Financials'!D44=0,NA(),D112/'Condensed Financials'!D44)</f>
        <v/>
      </c>
      <c r="E113" s="15">
        <f>IF('Condensed Financials'!E44=0,NA(),E112/'Condensed Financials'!E44)</f>
        <v/>
      </c>
      <c r="F113" s="15">
        <f>IF('Condensed Financials'!F44=0,NA(),F112/'Condensed Financials'!F44)</f>
        <v/>
      </c>
    </row>
    <row r="114">
      <c r="A114" s="11" t="inlineStr">
        <is>
          <t>Goodwill &amp; Intangibles</t>
        </is>
      </c>
      <c r="B114" s="13">
        <f>B104+B109</f>
        <v/>
      </c>
      <c r="C114" s="13">
        <f>C104+C109</f>
        <v/>
      </c>
      <c r="D114" s="13">
        <f>D104+D109</f>
        <v/>
      </c>
      <c r="E114" s="13">
        <f>E104+E109</f>
        <v/>
      </c>
      <c r="F114" s="13">
        <f>F104+F109</f>
        <v/>
      </c>
    </row>
    <row r="115">
      <c r="A115" s="11" t="inlineStr">
        <is>
          <t>Change in Goodwill &amp; Intangibles</t>
        </is>
      </c>
      <c r="C115" s="16">
        <f>C114-B114</f>
        <v/>
      </c>
      <c r="D115" s="16">
        <f>D114-C114</f>
        <v/>
      </c>
      <c r="E115" s="16">
        <f>E114-D114</f>
        <v/>
      </c>
      <c r="F115" s="16">
        <f>F114-E114</f>
        <v/>
      </c>
    </row>
    <row r="116">
      <c r="A116" s="11" t="inlineStr">
        <is>
          <t>Goodwill &amp; Intangibles Growth</t>
        </is>
      </c>
      <c r="C116" s="15">
        <f>IF(B114=0,NA(),C114/B114-1)</f>
        <v/>
      </c>
      <c r="D116" s="15">
        <f>IF(C114=0,NA(),D114/C114-1)</f>
        <v/>
      </c>
      <c r="E116" s="15">
        <f>IF(D114=0,NA(),E114/D114-1)</f>
        <v/>
      </c>
      <c r="F116" s="15">
        <f>IF(E114=0,NA(),F114/E114-1)</f>
        <v/>
      </c>
    </row>
    <row r="117">
      <c r="A117" s="11" t="inlineStr">
        <is>
          <t>Average Goodwill &amp; Intangibles</t>
        </is>
      </c>
      <c r="C117" s="16">
        <f>(B114+C114)/2</f>
        <v/>
      </c>
      <c r="D117" s="16">
        <f>(C114+D114)/2</f>
        <v/>
      </c>
      <c r="E117" s="16">
        <f>(D114+E114)/2</f>
        <v/>
      </c>
      <c r="F117" s="16">
        <f>(E114+F114)/2</f>
        <v/>
      </c>
    </row>
    <row r="118">
      <c r="A118" s="11" t="inlineStr">
        <is>
          <t>Average Goodwill &amp; Intangibles / Revenue</t>
        </is>
      </c>
      <c r="C118" s="15">
        <f>IF('Condensed Financials'!C44=0,NA(),C117/'Condensed Financials'!C44)</f>
        <v/>
      </c>
      <c r="D118" s="15">
        <f>IF('Condensed Financials'!D44=0,NA(),D117/'Condensed Financials'!D44)</f>
        <v/>
      </c>
      <c r="E118" s="15">
        <f>IF('Condensed Financials'!E44=0,NA(),E117/'Condensed Financials'!E44)</f>
        <v/>
      </c>
      <c r="F118" s="15">
        <f>IF('Condensed Financials'!F44=0,NA(),F117/'Condensed Financials'!F44)</f>
        <v/>
      </c>
    </row>
    <row r="119">
      <c r="A119" s="11" t="inlineStr">
        <is>
          <t>Payments for Intangible Assets (reported)</t>
        </is>
      </c>
      <c r="B119" s="13">
        <f>'Cash Flow Statement'!B38</f>
        <v/>
      </c>
      <c r="C119" s="13">
        <f>'Cash Flow Statement'!C38</f>
        <v/>
      </c>
      <c r="D119" s="13">
        <f>'Cash Flow Statement'!D38</f>
        <v/>
      </c>
      <c r="E119" s="13">
        <f>'Cash Flow Statement'!E38</f>
        <v/>
      </c>
      <c r="F119" s="13">
        <f>'Cash Flow Statement'!F38</f>
        <v/>
      </c>
    </row>
    <row r="120">
      <c r="A120" s="11" t="inlineStr">
        <is>
          <t>Intangible Payments (−reported)</t>
        </is>
      </c>
      <c r="B120" s="16">
        <f>-B119</f>
        <v/>
      </c>
      <c r="C120" s="16">
        <f>-C119</f>
        <v/>
      </c>
      <c r="D120" s="16">
        <f>-D119</f>
        <v/>
      </c>
      <c r="E120" s="16">
        <f>-E119</f>
        <v/>
      </c>
      <c r="F120" s="16">
        <f>-F119</f>
        <v/>
      </c>
    </row>
    <row r="121">
      <c r="A121" s="11" t="inlineStr">
        <is>
          <t>Intangible Payments / Revenue</t>
        </is>
      </c>
      <c r="B121" s="15">
        <f>IF('Condensed Financials'!B44=0,NA(),B120/'Condensed Financials'!B44)</f>
        <v/>
      </c>
      <c r="C121" s="15">
        <f>IF('Condensed Financials'!C44=0,NA(),C120/'Condensed Financials'!C44)</f>
        <v/>
      </c>
      <c r="D121" s="15">
        <f>IF('Condensed Financials'!D44=0,NA(),D120/'Condensed Financials'!D44)</f>
        <v/>
      </c>
      <c r="E121" s="15">
        <f>IF('Condensed Financials'!E44=0,NA(),E120/'Condensed Financials'!E44)</f>
        <v/>
      </c>
      <c r="F121" s="15">
        <f>IF('Condensed Financials'!F44=0,NA(),F120/'Condensed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C105</t>
        </is>
      </c>
      <c r="I382">
        <f>C104-B104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D105</t>
        </is>
      </c>
      <c r="I383">
        <f>D104-C104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E105</t>
        </is>
      </c>
      <c r="I384">
        <f>E104-D104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F105</t>
        </is>
      </c>
      <c r="I385">
        <f>F104-E104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C106</t>
        </is>
      </c>
      <c r="I386">
        <f>IF(B104=0,NA(),C104/B104-1)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D106</t>
        </is>
      </c>
      <c r="I387">
        <f>IF(C104=0,NA(),D104/C104-1)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E106</t>
        </is>
      </c>
      <c r="I388">
        <f>IF(D104=0,NA(),E104/D104-1)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F106</t>
        </is>
      </c>
      <c r="I389">
        <f>IF(E104=0,NA(),F104/E104-1)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C107</t>
        </is>
      </c>
      <c r="I390">
        <f>(B104+C104)/2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D107</t>
        </is>
      </c>
      <c r="I391">
        <f>(C104+D104)/2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E107</t>
        </is>
      </c>
      <c r="I392">
        <f>(D104+E104)/2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F107</t>
        </is>
      </c>
      <c r="I393">
        <f>(E104+F104)/2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C108</t>
        </is>
      </c>
      <c r="I394">
        <f>IF('Condensed Financials'!C44=0,NA(),C107/'Condensed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D108</t>
        </is>
      </c>
      <c r="I395">
        <f>IF('Condensed Financials'!D44=0,NA(),D107/'Condensed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E108</t>
        </is>
      </c>
      <c r="I396">
        <f>IF('Condensed Financials'!E44=0,NA(),E107/'Condensed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F108</t>
        </is>
      </c>
      <c r="I397">
        <f>IF('Condensed Financials'!F44=0,NA(),F107/'Condensed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C110</t>
        </is>
      </c>
      <c r="I398">
        <f>C109-B109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D110</t>
        </is>
      </c>
      <c r="I399">
        <f>D109-C109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E110</t>
        </is>
      </c>
      <c r="I400">
        <f>E109-D109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F110</t>
        </is>
      </c>
      <c r="I401">
        <f>F109-E109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C111</t>
        </is>
      </c>
      <c r="I402">
        <f>IF(B109=0,NA(),C109/B109-1)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D111</t>
        </is>
      </c>
      <c r="I403">
        <f>IF(C109=0,NA(),D109/C109-1)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E111</t>
        </is>
      </c>
      <c r="I404">
        <f>IF(D109=0,NA(),E109/D109-1)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F111</t>
        </is>
      </c>
      <c r="I405">
        <f>IF(E109=0,NA(),F109/E109-1)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C112</t>
        </is>
      </c>
      <c r="I406">
        <f>(B109+C109)/2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D112</t>
        </is>
      </c>
      <c r="I407">
        <f>(C109+D109)/2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E112</t>
        </is>
      </c>
      <c r="I408">
        <f>(D109+E109)/2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F112</t>
        </is>
      </c>
      <c r="I409">
        <f>(E109+F109)/2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C113</t>
        </is>
      </c>
      <c r="I410">
        <f>IF('Condensed Financials'!C44=0,NA(),C112/'Condensed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D113</t>
        </is>
      </c>
      <c r="I411">
        <f>IF('Condensed Financials'!D44=0,NA(),D112/'Condensed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E113</t>
        </is>
      </c>
      <c r="I412">
        <f>IF('Condensed Financials'!E44=0,NA(),E112/'Condensed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F113</t>
        </is>
      </c>
      <c r="I413">
        <f>IF('Condensed Financials'!F44=0,NA(),F112/'Condensed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C115</t>
        </is>
      </c>
      <c r="I414">
        <f>C114-B114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D115</t>
        </is>
      </c>
      <c r="I415">
        <f>D114-C114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E115</t>
        </is>
      </c>
      <c r="I416">
        <f>E114-D114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F115</t>
        </is>
      </c>
      <c r="I417">
        <f>F114-E114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C116</t>
        </is>
      </c>
      <c r="I418">
        <f>IF(B114=0,NA(),C114/B114-1)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D116</t>
        </is>
      </c>
      <c r="I419">
        <f>IF(C114=0,NA(),D114/C114-1)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E116</t>
        </is>
      </c>
      <c r="I420">
        <f>IF(D114=0,NA(),E114/D114-1)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F116</t>
        </is>
      </c>
      <c r="I421">
        <f>IF(E114=0,NA(),F114/E114-1)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C117</t>
        </is>
      </c>
      <c r="I422">
        <f>(B114+C114)/2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D117</t>
        </is>
      </c>
      <c r="I423">
        <f>(C114+D114)/2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E117</t>
        </is>
      </c>
      <c r="I424">
        <f>(D114+E114)/2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F117</t>
        </is>
      </c>
      <c r="I425">
        <f>(E114+F114)/2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C118</t>
        </is>
      </c>
      <c r="I426">
        <f>IF('Condensed Financials'!C44=0,NA(),C117/'Condensed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D118</t>
        </is>
      </c>
      <c r="I427">
        <f>IF('Condensed Financials'!D44=0,NA(),D117/'Condensed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E118</t>
        </is>
      </c>
      <c r="I428">
        <f>IF('Condensed Financials'!E44=0,NA(),E117/'Condensed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F118</t>
        </is>
      </c>
      <c r="I429">
        <f>IF('Condensed Financials'!F44=0,NA(),F117/'Condensed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B120</t>
        </is>
      </c>
      <c r="I430">
        <f>-B119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C120</t>
        </is>
      </c>
      <c r="I431">
        <f>-C119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D120</t>
        </is>
      </c>
      <c r="I432">
        <f>-D119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E120</t>
        </is>
      </c>
      <c r="I433">
        <f>-E119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F120</t>
        </is>
      </c>
      <c r="I434">
        <f>-F119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B121</t>
        </is>
      </c>
      <c r="I435">
        <f>IF('Condensed Financials'!B44=0,NA(),B120/'Condensed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C121</t>
        </is>
      </c>
      <c r="I436">
        <f>IF('Condensed Financials'!C44=0,NA(),C120/'Condensed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D121</t>
        </is>
      </c>
      <c r="I437">
        <f>IF('Condensed Financials'!D44=0,NA(),D120/'Condensed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E121</t>
        </is>
      </c>
      <c r="I438">
        <f>IF('Condensed Financials'!E44=0,NA(),E120/'Condensed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F121</t>
        </is>
      </c>
      <c r="I439">
        <f>IF('Condensed Financials'!F44=0,NA(),F120/'Condensed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  <row r="503">
      <c r="A503" t="inlineStr">
        <is>
          <t>cash_movement_from_flows__20210831</t>
        </is>
      </c>
      <c r="B503" t="n">
        <v>502</v>
      </c>
      <c r="C503" t="inlineStr">
        <is>
          <t>Cash movement from flows</t>
        </is>
      </c>
      <c r="D503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3" t="inlineStr">
        <is>
          <t>cash_rollforward.cash_movement_from_flows.2021-08-31</t>
        </is>
      </c>
      <c r="F503" t="inlineStr">
        <is>
          <t>cash_rollforward</t>
        </is>
      </c>
      <c r="G503" t="inlineStr">
        <is>
          <t>ALT DuPont</t>
        </is>
      </c>
      <c r="H503" t="inlineStr">
        <is>
          <t>B95</t>
        </is>
      </c>
      <c r="I503">
        <f>B91+B92+B93+B94</f>
        <v/>
      </c>
      <c r="J503" t="n">
        <v>84204</v>
      </c>
      <c r="K503" t="n">
        <v>0.01</v>
      </c>
      <c r="M503" t="inlineStr">
        <is>
          <t>Cash movement from flows = reported CFO + CFI + CFF + FX.|Use signed statement-unit totals, including FX.|Do not substitute balance-sheet cash, insert a balancing plug, or infer debt funding.</t>
        </is>
      </c>
      <c r="O503" t="inlineStr">
        <is>
          <t>pending</t>
        </is>
      </c>
      <c r="P503" t="inlineStr">
        <is>
          <t>cash_movement_from_flows</t>
        </is>
      </c>
      <c r="Q503" t="n">
        <v>135</v>
      </c>
      <c r="R503" t="n">
        <v>0</v>
      </c>
      <c r="S503" t="inlineStr">
        <is>
          <t>2021-08-31</t>
        </is>
      </c>
    </row>
    <row r="504">
      <c r="A504" t="inlineStr">
        <is>
          <t>cash_movement_from_flows__20220831</t>
        </is>
      </c>
      <c r="B504" t="n">
        <v>503</v>
      </c>
      <c r="C504" t="inlineStr">
        <is>
          <t>Cash movement from flows</t>
        </is>
      </c>
      <c r="D504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4" t="inlineStr">
        <is>
          <t>cash_rollforward.cash_movement_from_flows.2022-08-31</t>
        </is>
      </c>
      <c r="F504" t="inlineStr">
        <is>
          <t>cash_rollforward</t>
        </is>
      </c>
      <c r="G504" t="inlineStr">
        <is>
          <t>ALT DuPont</t>
        </is>
      </c>
      <c r="H504" t="inlineStr">
        <is>
          <t>C95</t>
        </is>
      </c>
      <c r="I504">
        <f>C91+C92+C93+C94</f>
        <v/>
      </c>
      <c r="J504" t="n">
        <v>180556</v>
      </c>
      <c r="K504" t="n">
        <v>0.01</v>
      </c>
      <c r="M504" t="inlineStr">
        <is>
          <t>Cash movement from flows = reported CFO + CFI + CFF + FX.|Use signed statement-unit totals, including FX.|Do not substitute balance-sheet cash, insert a balancing plug, or infer debt funding.</t>
        </is>
      </c>
      <c r="O504" t="inlineStr">
        <is>
          <t>pending</t>
        </is>
      </c>
      <c r="P504" t="inlineStr">
        <is>
          <t>cash_movement_from_flows</t>
        </is>
      </c>
      <c r="Q504" t="n">
        <v>135</v>
      </c>
      <c r="R504" t="n">
        <v>1</v>
      </c>
      <c r="S504" t="inlineStr">
        <is>
          <t>2022-08-31</t>
        </is>
      </c>
    </row>
    <row r="505">
      <c r="A505" t="inlineStr">
        <is>
          <t>cash_movement_from_flows__20230831</t>
        </is>
      </c>
      <c r="B505" t="n">
        <v>504</v>
      </c>
      <c r="C505" t="inlineStr">
        <is>
          <t>Cash movement from flows</t>
        </is>
      </c>
      <c r="D505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5" t="inlineStr">
        <is>
          <t>cash_rollforward.cash_movement_from_flows.2023-08-31</t>
        </is>
      </c>
      <c r="F505" t="inlineStr">
        <is>
          <t>cash_rollforward</t>
        </is>
      </c>
      <c r="G505" t="inlineStr">
        <is>
          <t>ALT DuPont</t>
        </is>
      </c>
      <c r="H505" t="inlineStr">
        <is>
          <t>D95</t>
        </is>
      </c>
      <c r="I505">
        <f>D91+D92+D93+D94</f>
        <v/>
      </c>
      <c r="J505" t="n">
        <v>-455013</v>
      </c>
      <c r="K505" t="n">
        <v>0.01</v>
      </c>
      <c r="M505" t="inlineStr">
        <is>
          <t>Cash movement from flows = reported CFO + CFI + CFF + FX.|Use signed statement-unit totals, including FX.|Do not substitute balance-sheet cash, insert a balancing plug, or infer debt funding.</t>
        </is>
      </c>
      <c r="O505" t="inlineStr">
        <is>
          <t>pending</t>
        </is>
      </c>
      <c r="P505" t="inlineStr">
        <is>
          <t>cash_movement_from_flows</t>
        </is>
      </c>
      <c r="Q505" t="n">
        <v>135</v>
      </c>
      <c r="R505" t="n">
        <v>2</v>
      </c>
      <c r="S505" t="inlineStr">
        <is>
          <t>2023-08-31</t>
        </is>
      </c>
    </row>
    <row r="506">
      <c r="A506" t="inlineStr">
        <is>
          <t>cash_movement_from_flows__20240831</t>
        </is>
      </c>
      <c r="B506" t="n">
        <v>505</v>
      </c>
      <c r="C506" t="inlineStr">
        <is>
          <t>Cash movement from flows</t>
        </is>
      </c>
      <c r="D506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6" t="inlineStr">
        <is>
          <t>cash_rollforward.cash_movement_from_flows.2024-08-31</t>
        </is>
      </c>
      <c r="F506" t="inlineStr">
        <is>
          <t>cash_rollforward</t>
        </is>
      </c>
      <c r="G506" t="inlineStr">
        <is>
          <t>ALT DuPont</t>
        </is>
      </c>
      <c r="H506" t="inlineStr">
        <is>
          <t>E95</t>
        </is>
      </c>
      <c r="I506">
        <f>E91+E92+E93+E94</f>
        <v/>
      </c>
      <c r="J506" t="n">
        <v>290280</v>
      </c>
      <c r="K506" t="n">
        <v>0.01</v>
      </c>
      <c r="M506" t="inlineStr">
        <is>
          <t>Cash movement from flows = reported CFO + CFI + CFF + FX.|Use signed statement-unit totals, including FX.|Do not substitute balance-sheet cash, insert a balancing plug, or infer debt funding.</t>
        </is>
      </c>
      <c r="O506" t="inlineStr">
        <is>
          <t>pending</t>
        </is>
      </c>
      <c r="P506" t="inlineStr">
        <is>
          <t>cash_movement_from_flows</t>
        </is>
      </c>
      <c r="Q506" t="n">
        <v>135</v>
      </c>
      <c r="R506" t="n">
        <v>3</v>
      </c>
      <c r="S506" t="inlineStr">
        <is>
          <t>2024-08-31</t>
        </is>
      </c>
    </row>
    <row r="507">
      <c r="A507" t="inlineStr">
        <is>
          <t>cash_movement_from_flows__20250831</t>
        </is>
      </c>
      <c r="B507" t="n">
        <v>506</v>
      </c>
      <c r="C507" t="inlineStr">
        <is>
          <t>Cash movement from flows</t>
        </is>
      </c>
      <c r="D507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507" t="inlineStr">
        <is>
          <t>cash_rollforward.cash_movement_from_flows.2025-08-31</t>
        </is>
      </c>
      <c r="F507" t="inlineStr">
        <is>
          <t>cash_rollforward</t>
        </is>
      </c>
      <c r="G507" t="inlineStr">
        <is>
          <t>ALT DuPont</t>
        </is>
      </c>
      <c r="H507" t="inlineStr">
        <is>
          <t>F95</t>
        </is>
      </c>
      <c r="I507">
        <f>F91+F92+F93+F94</f>
        <v/>
      </c>
      <c r="J507" t="n">
        <v>-300321</v>
      </c>
      <c r="K507" t="n">
        <v>0.01</v>
      </c>
      <c r="M507" t="inlineStr">
        <is>
          <t>Cash movement from flows = reported CFO + CFI + CFF + FX.|Use signed statement-unit totals, including FX.|Do not substitute balance-sheet cash, insert a balancing plug, or infer debt funding.</t>
        </is>
      </c>
      <c r="O507" t="inlineStr">
        <is>
          <t>pending</t>
        </is>
      </c>
      <c r="P507" t="inlineStr">
        <is>
          <t>cash_movement_from_flows</t>
        </is>
      </c>
      <c r="Q507" t="n">
        <v>135</v>
      </c>
      <c r="R507" t="n">
        <v>4</v>
      </c>
      <c r="S507" t="inlineStr">
        <is>
          <t>2025-08-31</t>
        </is>
      </c>
    </row>
    <row r="508">
      <c r="A508" t="inlineStr">
        <is>
          <t>cash_movement_difference__20210831</t>
        </is>
      </c>
      <c r="B508" t="n">
        <v>507</v>
      </c>
      <c r="C508" t="inlineStr">
        <is>
          <t>Cash movement difference</t>
        </is>
      </c>
      <c r="D508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8" t="inlineStr">
        <is>
          <t>cash_rollforward.cash_movement_difference.2021-08-31</t>
        </is>
      </c>
      <c r="F508" t="inlineStr">
        <is>
          <t>cash_rollforward</t>
        </is>
      </c>
      <c r="G508" t="inlineStr">
        <is>
          <t>ALT DuPont</t>
        </is>
      </c>
      <c r="H508" t="inlineStr">
        <is>
          <t>B97</t>
        </is>
      </c>
      <c r="I508">
        <f>B95-B96</f>
        <v/>
      </c>
      <c r="J508" t="n">
        <v>0</v>
      </c>
      <c r="K508" t="n">
        <v>0.01</v>
      </c>
      <c r="L508" t="inlineStr">
        <is>
          <t>cash_movement_from_flows__20210831</t>
        </is>
      </c>
      <c r="M508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8" t="inlineStr">
        <is>
          <t>pending</t>
        </is>
      </c>
      <c r="P508" t="inlineStr">
        <is>
          <t>cash_movement_difference</t>
        </is>
      </c>
      <c r="Q508" t="n">
        <v>136</v>
      </c>
      <c r="R508" t="n">
        <v>0</v>
      </c>
      <c r="S508" t="inlineStr">
        <is>
          <t>2021-08-31</t>
        </is>
      </c>
    </row>
    <row r="509">
      <c r="A509" t="inlineStr">
        <is>
          <t>cash_movement_difference__20220831</t>
        </is>
      </c>
      <c r="B509" t="n">
        <v>508</v>
      </c>
      <c r="C509" t="inlineStr">
        <is>
          <t>Cash movement difference</t>
        </is>
      </c>
      <c r="D509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09" t="inlineStr">
        <is>
          <t>cash_rollforward.cash_movement_difference.2022-08-31</t>
        </is>
      </c>
      <c r="F509" t="inlineStr">
        <is>
          <t>cash_rollforward</t>
        </is>
      </c>
      <c r="G509" t="inlineStr">
        <is>
          <t>ALT DuPont</t>
        </is>
      </c>
      <c r="H509" t="inlineStr">
        <is>
          <t>C97</t>
        </is>
      </c>
      <c r="I509">
        <f>C95-C96</f>
        <v/>
      </c>
      <c r="J509" t="n">
        <v>0</v>
      </c>
      <c r="K509" t="n">
        <v>0.01</v>
      </c>
      <c r="L509" t="inlineStr">
        <is>
          <t>cash_movement_from_flows__20220831</t>
        </is>
      </c>
      <c r="M509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09" t="inlineStr">
        <is>
          <t>pending</t>
        </is>
      </c>
      <c r="P509" t="inlineStr">
        <is>
          <t>cash_movement_difference</t>
        </is>
      </c>
      <c r="Q509" t="n">
        <v>136</v>
      </c>
      <c r="R509" t="n">
        <v>1</v>
      </c>
      <c r="S509" t="inlineStr">
        <is>
          <t>2022-08-31</t>
        </is>
      </c>
    </row>
    <row r="510">
      <c r="A510" t="inlineStr">
        <is>
          <t>cash_movement_difference__20230831</t>
        </is>
      </c>
      <c r="B510" t="n">
        <v>509</v>
      </c>
      <c r="C510" t="inlineStr">
        <is>
          <t>Cash movement difference</t>
        </is>
      </c>
      <c r="D510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0" t="inlineStr">
        <is>
          <t>cash_rollforward.cash_movement_difference.2023-08-31</t>
        </is>
      </c>
      <c r="F510" t="inlineStr">
        <is>
          <t>cash_rollforward</t>
        </is>
      </c>
      <c r="G510" t="inlineStr">
        <is>
          <t>ALT DuPont</t>
        </is>
      </c>
      <c r="H510" t="inlineStr">
        <is>
          <t>D97</t>
        </is>
      </c>
      <c r="I510">
        <f>D95-D96</f>
        <v/>
      </c>
      <c r="J510" t="n">
        <v>-2</v>
      </c>
      <c r="K510" t="n">
        <v>0.01</v>
      </c>
      <c r="L510" t="inlineStr">
        <is>
          <t>cash_movement_from_flows__20230831</t>
        </is>
      </c>
      <c r="M510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0" t="inlineStr">
        <is>
          <t>pending</t>
        </is>
      </c>
      <c r="P510" t="inlineStr">
        <is>
          <t>cash_movement_difference</t>
        </is>
      </c>
      <c r="Q510" t="n">
        <v>136</v>
      </c>
      <c r="R510" t="n">
        <v>2</v>
      </c>
      <c r="S510" t="inlineStr">
        <is>
          <t>2023-08-31</t>
        </is>
      </c>
    </row>
    <row r="511">
      <c r="A511" t="inlineStr">
        <is>
          <t>cash_movement_difference__20240831</t>
        </is>
      </c>
      <c r="B511" t="n">
        <v>510</v>
      </c>
      <c r="C511" t="inlineStr">
        <is>
          <t>Cash movement difference</t>
        </is>
      </c>
      <c r="D511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1" t="inlineStr">
        <is>
          <t>cash_rollforward.cash_movement_difference.2024-08-31</t>
        </is>
      </c>
      <c r="F511" t="inlineStr">
        <is>
          <t>cash_rollforward</t>
        </is>
      </c>
      <c r="G511" t="inlineStr">
        <is>
          <t>ALT DuPont</t>
        </is>
      </c>
      <c r="H511" t="inlineStr">
        <is>
          <t>E97</t>
        </is>
      </c>
      <c r="I511">
        <f>E95-E96</f>
        <v/>
      </c>
      <c r="J511" t="n">
        <v>1</v>
      </c>
      <c r="K511" t="n">
        <v>0.01</v>
      </c>
      <c r="L511" t="inlineStr">
        <is>
          <t>cash_movement_from_flows__20240831</t>
        </is>
      </c>
      <c r="M511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1" t="inlineStr">
        <is>
          <t>pending</t>
        </is>
      </c>
      <c r="P511" t="inlineStr">
        <is>
          <t>cash_movement_difference</t>
        </is>
      </c>
      <c r="Q511" t="n">
        <v>136</v>
      </c>
      <c r="R511" t="n">
        <v>3</v>
      </c>
      <c r="S511" t="inlineStr">
        <is>
          <t>2024-08-31</t>
        </is>
      </c>
    </row>
    <row r="512">
      <c r="A512" t="inlineStr">
        <is>
          <t>cash_movement_difference__20250831</t>
        </is>
      </c>
      <c r="B512" t="n">
        <v>511</v>
      </c>
      <c r="C512" t="inlineStr">
        <is>
          <t>Cash movement difference</t>
        </is>
      </c>
      <c r="D512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512" t="inlineStr">
        <is>
          <t>cash_rollforward.cash_movement_difference.2025-08-31</t>
        </is>
      </c>
      <c r="F512" t="inlineStr">
        <is>
          <t>cash_rollforward</t>
        </is>
      </c>
      <c r="G512" t="inlineStr">
        <is>
          <t>ALT DuPont</t>
        </is>
      </c>
      <c r="H512" t="inlineStr">
        <is>
          <t>F97</t>
        </is>
      </c>
      <c r="I512">
        <f>F95-F96</f>
        <v/>
      </c>
      <c r="J512" t="n">
        <v>-1</v>
      </c>
      <c r="K512" t="n">
        <v>0.01</v>
      </c>
      <c r="L512" t="inlineStr">
        <is>
          <t>cash_movement_from_flows__20250831</t>
        </is>
      </c>
      <c r="M512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512" t="inlineStr">
        <is>
          <t>pending</t>
        </is>
      </c>
      <c r="P512" t="inlineStr">
        <is>
          <t>cash_movement_difference</t>
        </is>
      </c>
      <c r="Q512" t="n">
        <v>136</v>
      </c>
      <c r="R512" t="n">
        <v>4</v>
      </c>
      <c r="S512" t="inlineStr">
        <is>
          <t>2025-08-31</t>
        </is>
      </c>
    </row>
    <row r="513">
      <c r="A513" t="inlineStr">
        <is>
          <t>cash_ending_from_flows__20210831</t>
        </is>
      </c>
      <c r="B513" t="n">
        <v>512</v>
      </c>
      <c r="C513" t="inlineStr">
        <is>
          <t>Cash ending from flows</t>
        </is>
      </c>
      <c r="D513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3" t="inlineStr">
        <is>
          <t>cash_rollforward.cash_ending_from_flows.2021-08-31</t>
        </is>
      </c>
      <c r="F513" t="inlineStr">
        <is>
          <t>cash_rollforward</t>
        </is>
      </c>
      <c r="G513" t="inlineStr">
        <is>
          <t>ALT DuPont</t>
        </is>
      </c>
      <c r="H513" t="inlineStr">
        <is>
          <t>B99</t>
        </is>
      </c>
      <c r="I513">
        <f>B98+B95</f>
        <v/>
      </c>
      <c r="J513" t="n">
        <v>1177735</v>
      </c>
      <c r="K513" t="n">
        <v>0.01</v>
      </c>
      <c r="L513" t="inlineStr">
        <is>
          <t>cash_movement_from_flows__20210831</t>
        </is>
      </c>
      <c r="M513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3" t="inlineStr">
        <is>
          <t>pending</t>
        </is>
      </c>
      <c r="P513" t="inlineStr">
        <is>
          <t>cash_ending_from_flows</t>
        </is>
      </c>
      <c r="Q513" t="n">
        <v>137</v>
      </c>
      <c r="R513" t="n">
        <v>0</v>
      </c>
      <c r="S513" t="inlineStr">
        <is>
          <t>2021-08-31</t>
        </is>
      </c>
    </row>
    <row r="514">
      <c r="A514" t="inlineStr">
        <is>
          <t>cash_ending_from_flows__20220831</t>
        </is>
      </c>
      <c r="B514" t="n">
        <v>513</v>
      </c>
      <c r="C514" t="inlineStr">
        <is>
          <t>Cash ending from flows</t>
        </is>
      </c>
      <c r="D514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4" t="inlineStr">
        <is>
          <t>cash_rollforward.cash_ending_from_flows.2022-08-31</t>
        </is>
      </c>
      <c r="F514" t="inlineStr">
        <is>
          <t>cash_rollforward</t>
        </is>
      </c>
      <c r="G514" t="inlineStr">
        <is>
          <t>ALT DuPont</t>
        </is>
      </c>
      <c r="H514" t="inlineStr">
        <is>
          <t>C99</t>
        </is>
      </c>
      <c r="I514">
        <f>C98+C95</f>
        <v/>
      </c>
      <c r="J514" t="n">
        <v>1358292</v>
      </c>
      <c r="K514" t="n">
        <v>0.01</v>
      </c>
      <c r="L514" t="inlineStr">
        <is>
          <t>cash_movement_from_flows__20220831</t>
        </is>
      </c>
      <c r="M514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4" t="inlineStr">
        <is>
          <t>pending</t>
        </is>
      </c>
      <c r="P514" t="inlineStr">
        <is>
          <t>cash_ending_from_flows</t>
        </is>
      </c>
      <c r="Q514" t="n">
        <v>137</v>
      </c>
      <c r="R514" t="n">
        <v>1</v>
      </c>
      <c r="S514" t="inlineStr">
        <is>
          <t>2022-08-31</t>
        </is>
      </c>
    </row>
    <row r="515">
      <c r="A515" t="inlineStr">
        <is>
          <t>cash_ending_from_flows__20230831</t>
        </is>
      </c>
      <c r="B515" t="n">
        <v>514</v>
      </c>
      <c r="C515" t="inlineStr">
        <is>
          <t>Cash ending from flows</t>
        </is>
      </c>
      <c r="D515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5" t="inlineStr">
        <is>
          <t>cash_rollforward.cash_ending_from_flows.2023-08-31</t>
        </is>
      </c>
      <c r="F515" t="inlineStr">
        <is>
          <t>cash_rollforward</t>
        </is>
      </c>
      <c r="G515" t="inlineStr">
        <is>
          <t>ALT DuPont</t>
        </is>
      </c>
      <c r="H515" t="inlineStr">
        <is>
          <t>D99</t>
        </is>
      </c>
      <c r="I515">
        <f>D98+D95</f>
        <v/>
      </c>
      <c r="J515" t="n">
        <v>903279</v>
      </c>
      <c r="K515" t="n">
        <v>0.01</v>
      </c>
      <c r="L515" t="inlineStr">
        <is>
          <t>cash_movement_from_flows__20230831</t>
        </is>
      </c>
      <c r="M515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5" t="inlineStr">
        <is>
          <t>pending</t>
        </is>
      </c>
      <c r="P515" t="inlineStr">
        <is>
          <t>cash_ending_from_flows</t>
        </is>
      </c>
      <c r="Q515" t="n">
        <v>137</v>
      </c>
      <c r="R515" t="n">
        <v>2</v>
      </c>
      <c r="S515" t="inlineStr">
        <is>
          <t>2023-08-31</t>
        </is>
      </c>
    </row>
    <row r="516">
      <c r="A516" t="inlineStr">
        <is>
          <t>cash_ending_from_flows__20240831</t>
        </is>
      </c>
      <c r="B516" t="n">
        <v>515</v>
      </c>
      <c r="C516" t="inlineStr">
        <is>
          <t>Cash ending from flows</t>
        </is>
      </c>
      <c r="D516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6" t="inlineStr">
        <is>
          <t>cash_rollforward.cash_ending_from_flows.2024-08-31</t>
        </is>
      </c>
      <c r="F516" t="inlineStr">
        <is>
          <t>cash_rollforward</t>
        </is>
      </c>
      <c r="G516" t="inlineStr">
        <is>
          <t>ALT DuPont</t>
        </is>
      </c>
      <c r="H516" t="inlineStr">
        <is>
          <t>E99</t>
        </is>
      </c>
      <c r="I516">
        <f>E98+E95</f>
        <v/>
      </c>
      <c r="J516" t="n">
        <v>1193560</v>
      </c>
      <c r="K516" t="n">
        <v>0.01</v>
      </c>
      <c r="L516" t="inlineStr">
        <is>
          <t>cash_movement_from_flows__20240831</t>
        </is>
      </c>
      <c r="M516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6" t="inlineStr">
        <is>
          <t>pending</t>
        </is>
      </c>
      <c r="P516" t="inlineStr">
        <is>
          <t>cash_ending_from_flows</t>
        </is>
      </c>
      <c r="Q516" t="n">
        <v>137</v>
      </c>
      <c r="R516" t="n">
        <v>3</v>
      </c>
      <c r="S516" t="inlineStr">
        <is>
          <t>2024-08-31</t>
        </is>
      </c>
    </row>
    <row r="517">
      <c r="A517" t="inlineStr">
        <is>
          <t>cash_ending_from_flows__20250831</t>
        </is>
      </c>
      <c r="B517" t="n">
        <v>516</v>
      </c>
      <c r="C517" t="inlineStr">
        <is>
          <t>Cash ending from flows</t>
        </is>
      </c>
      <c r="D51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517" t="inlineStr">
        <is>
          <t>cash_rollforward.cash_ending_from_flows.2025-08-31</t>
        </is>
      </c>
      <c r="F517" t="inlineStr">
        <is>
          <t>cash_rollforward</t>
        </is>
      </c>
      <c r="G517" t="inlineStr">
        <is>
          <t>ALT DuPont</t>
        </is>
      </c>
      <c r="H517" t="inlineStr">
        <is>
          <t>F99</t>
        </is>
      </c>
      <c r="I517">
        <f>F98+F95</f>
        <v/>
      </c>
      <c r="J517" t="n">
        <v>893239</v>
      </c>
      <c r="K517" t="n">
        <v>0.01</v>
      </c>
      <c r="L517" t="inlineStr">
        <is>
          <t>cash_movement_from_flows__20250831</t>
        </is>
      </c>
      <c r="M51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517" t="inlineStr">
        <is>
          <t>pending</t>
        </is>
      </c>
      <c r="P517" t="inlineStr">
        <is>
          <t>cash_ending_from_flows</t>
        </is>
      </c>
      <c r="Q517" t="n">
        <v>137</v>
      </c>
      <c r="R517" t="n">
        <v>4</v>
      </c>
      <c r="S517" t="inlineStr">
        <is>
          <t>2025-08-31</t>
        </is>
      </c>
    </row>
    <row r="518">
      <c r="A518" t="inlineStr">
        <is>
          <t>cash_ending_difference__20210831</t>
        </is>
      </c>
      <c r="B518" t="n">
        <v>517</v>
      </c>
      <c r="C518" t="inlineStr">
        <is>
          <t>Cash ending difference</t>
        </is>
      </c>
      <c r="D518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8" t="inlineStr">
        <is>
          <t>cash_rollforward.cash_ending_difference.2021-08-31</t>
        </is>
      </c>
      <c r="F518" t="inlineStr">
        <is>
          <t>cash_rollforward</t>
        </is>
      </c>
      <c r="G518" t="inlineStr">
        <is>
          <t>ALT DuPont</t>
        </is>
      </c>
      <c r="H518" t="inlineStr">
        <is>
          <t>B101</t>
        </is>
      </c>
      <c r="I518">
        <f>B99-B100</f>
        <v/>
      </c>
      <c r="J518" t="n">
        <v>-1</v>
      </c>
      <c r="K518" t="n">
        <v>0.01</v>
      </c>
      <c r="L518" t="inlineStr">
        <is>
          <t>cash_ending_from_flows__20210831</t>
        </is>
      </c>
      <c r="M518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8" t="inlineStr">
        <is>
          <t>pending</t>
        </is>
      </c>
      <c r="P518" t="inlineStr">
        <is>
          <t>cash_ending_difference</t>
        </is>
      </c>
      <c r="Q518" t="n">
        <v>138</v>
      </c>
      <c r="R518" t="n">
        <v>0</v>
      </c>
      <c r="S518" t="inlineStr">
        <is>
          <t>2021-08-31</t>
        </is>
      </c>
    </row>
    <row r="519">
      <c r="A519" t="inlineStr">
        <is>
          <t>cash_ending_difference__20220831</t>
        </is>
      </c>
      <c r="B519" t="n">
        <v>518</v>
      </c>
      <c r="C519" t="inlineStr">
        <is>
          <t>Cash ending difference</t>
        </is>
      </c>
      <c r="D519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19" t="inlineStr">
        <is>
          <t>cash_rollforward.cash_ending_difference.2022-08-31</t>
        </is>
      </c>
      <c r="F519" t="inlineStr">
        <is>
          <t>cash_rollforward</t>
        </is>
      </c>
      <c r="G519" t="inlineStr">
        <is>
          <t>ALT DuPont</t>
        </is>
      </c>
      <c r="H519" t="inlineStr">
        <is>
          <t>C101</t>
        </is>
      </c>
      <c r="I519">
        <f>C99-C100</f>
        <v/>
      </c>
      <c r="J519" t="n">
        <v>0</v>
      </c>
      <c r="K519" t="n">
        <v>0.01</v>
      </c>
      <c r="L519" t="inlineStr">
        <is>
          <t>cash_ending_from_flows__20220831</t>
        </is>
      </c>
      <c r="M519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19" t="inlineStr">
        <is>
          <t>pending</t>
        </is>
      </c>
      <c r="P519" t="inlineStr">
        <is>
          <t>cash_ending_difference</t>
        </is>
      </c>
      <c r="Q519" t="n">
        <v>138</v>
      </c>
      <c r="R519" t="n">
        <v>1</v>
      </c>
      <c r="S519" t="inlineStr">
        <is>
          <t>2022-08-31</t>
        </is>
      </c>
    </row>
    <row r="520">
      <c r="A520" t="inlineStr">
        <is>
          <t>cash_ending_difference__20230831</t>
        </is>
      </c>
      <c r="B520" t="n">
        <v>519</v>
      </c>
      <c r="C520" t="inlineStr">
        <is>
          <t>Cash ending difference</t>
        </is>
      </c>
      <c r="D520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0" t="inlineStr">
        <is>
          <t>cash_rollforward.cash_ending_difference.2023-08-31</t>
        </is>
      </c>
      <c r="F520" t="inlineStr">
        <is>
          <t>cash_rollforward</t>
        </is>
      </c>
      <c r="G520" t="inlineStr">
        <is>
          <t>ALT DuPont</t>
        </is>
      </c>
      <c r="H520" t="inlineStr">
        <is>
          <t>D101</t>
        </is>
      </c>
      <c r="I520">
        <f>D99-D100</f>
        <v/>
      </c>
      <c r="J520" t="n">
        <v>-1</v>
      </c>
      <c r="K520" t="n">
        <v>0.01</v>
      </c>
      <c r="L520" t="inlineStr">
        <is>
          <t>cash_ending_from_flows__20230831</t>
        </is>
      </c>
      <c r="M520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0" t="inlineStr">
        <is>
          <t>pending</t>
        </is>
      </c>
      <c r="P520" t="inlineStr">
        <is>
          <t>cash_ending_difference</t>
        </is>
      </c>
      <c r="Q520" t="n">
        <v>138</v>
      </c>
      <c r="R520" t="n">
        <v>2</v>
      </c>
      <c r="S520" t="inlineStr">
        <is>
          <t>2023-08-31</t>
        </is>
      </c>
    </row>
    <row r="521">
      <c r="A521" t="inlineStr">
        <is>
          <t>cash_ending_difference__20240831</t>
        </is>
      </c>
      <c r="B521" t="n">
        <v>520</v>
      </c>
      <c r="C521" t="inlineStr">
        <is>
          <t>Cash ending difference</t>
        </is>
      </c>
      <c r="D52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1" t="inlineStr">
        <is>
          <t>cash_rollforward.cash_ending_difference.2024-08-31</t>
        </is>
      </c>
      <c r="F521" t="inlineStr">
        <is>
          <t>cash_rollforward</t>
        </is>
      </c>
      <c r="G521" t="inlineStr">
        <is>
          <t>ALT DuPont</t>
        </is>
      </c>
      <c r="H521" t="inlineStr">
        <is>
          <t>E101</t>
        </is>
      </c>
      <c r="I521">
        <f>E99-E100</f>
        <v/>
      </c>
      <c r="J521" t="n">
        <v>0</v>
      </c>
      <c r="K521" t="n">
        <v>0.01</v>
      </c>
      <c r="L521" t="inlineStr">
        <is>
          <t>cash_ending_from_flows__20240831</t>
        </is>
      </c>
      <c r="M52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1" t="inlineStr">
        <is>
          <t>pending</t>
        </is>
      </c>
      <c r="P521" t="inlineStr">
        <is>
          <t>cash_ending_difference</t>
        </is>
      </c>
      <c r="Q521" t="n">
        <v>138</v>
      </c>
      <c r="R521" t="n">
        <v>3</v>
      </c>
      <c r="S521" t="inlineStr">
        <is>
          <t>2024-08-31</t>
        </is>
      </c>
    </row>
    <row r="522">
      <c r="A522" t="inlineStr">
        <is>
          <t>cash_ending_difference__20250831</t>
        </is>
      </c>
      <c r="B522" t="n">
        <v>521</v>
      </c>
      <c r="C522" t="inlineStr">
        <is>
          <t>Cash ending difference</t>
        </is>
      </c>
      <c r="D52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522" t="inlineStr">
        <is>
          <t>cash_rollforward.cash_ending_difference.2025-08-31</t>
        </is>
      </c>
      <c r="F522" t="inlineStr">
        <is>
          <t>cash_rollforward</t>
        </is>
      </c>
      <c r="G522" t="inlineStr">
        <is>
          <t>ALT DuPont</t>
        </is>
      </c>
      <c r="H522" t="inlineStr">
        <is>
          <t>F101</t>
        </is>
      </c>
      <c r="I522">
        <f>F99-F100</f>
        <v/>
      </c>
      <c r="J522" t="n">
        <v>0</v>
      </c>
      <c r="K522" t="n">
        <v>0.01</v>
      </c>
      <c r="L522" t="inlineStr">
        <is>
          <t>cash_ending_from_flows__20250831</t>
        </is>
      </c>
      <c r="M52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522" t="inlineStr">
        <is>
          <t>pending</t>
        </is>
      </c>
      <c r="P522" t="inlineStr">
        <is>
          <t>cash_ending_difference</t>
        </is>
      </c>
      <c r="Q522" t="n">
        <v>138</v>
      </c>
      <c r="R522" t="n">
        <v>4</v>
      </c>
      <c r="S52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2026-09-15T08:27:32Z</dcterms:created>
  <dcterms:modified xsi:type="dcterms:W3CDTF">2026-09-15T08:27:32Z</dcterms:modified>
</cp:coreProperties>
</file>