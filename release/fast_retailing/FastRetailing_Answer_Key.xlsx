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er" sheetId="1" state="visible" r:id="rId1"/>
    <sheet name="Income Statement" sheetId="2" state="visible" r:id="rId2"/>
    <sheet name="Balance Sheet" sheetId="3" state="visible" r:id="rId3"/>
    <sheet name="Cash Flow Statement" sheetId="4" state="visible" r:id="rId4"/>
    <sheet name="Condensed Financials" sheetId="5" state="visible" r:id="rId5"/>
    <sheet name="ALT DuPont" sheetId="6" state="visible" r:id="rId6"/>
    <sheet name="Accounting Judgment" sheetId="7" state="visible" r:id="rId7"/>
    <sheet name="Ownership Attribution" sheetId="8" state="visible" r:id="rId8"/>
    <sheet name="Earnings Quality" sheetId="9" state="visible" r:id="rId9"/>
    <sheet name="Working Capital Analysis" sheetId="10" state="visible" r:id="rId10"/>
    <sheet name="Per Share Analysis" sheetId="11" state="visible" r:id="rId11"/>
    <sheet name="Model_Bear" sheetId="12" state="hidden" r:id="rId12"/>
    <sheet name="Model_Base" sheetId="13" state="hidden" r:id="rId13"/>
    <sheet name="Model_Bull" sheetId="14" state="hidden" r:id="rId14"/>
    <sheet name="Scenario_Summary" sheetId="15" state="hidden" r:id="rId15"/>
    <sheet name="_ComponentMap" sheetId="16" state="hidden" r:id="rId16"/>
    <sheet name="_CheckContext" sheetId="17" state="hidden" r:id="rId1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mm dd, yyyy"/>
    <numFmt numFmtId="165" formatCode="#,##0;(#,##0)"/>
    <numFmt numFmtId="166" formatCode="0.0%"/>
    <numFmt numFmtId="167" formatCode="0.00x"/>
    <numFmt numFmtId="168" formatCode="#,##0.0;(#,##0.0)"/>
    <numFmt numFmtId="169" formatCode="0.000"/>
  </numFmts>
  <fonts count="4">
    <font>
      <name val="Calibri"/>
      <family val="2"/>
      <color theme="1"/>
      <sz val="11"/>
      <scheme val="minor"/>
    </font>
    <font>
      <b val="1"/>
    </font>
    <font/>
    <font>
      <name val="Aptos Narrow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F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5" fontId="0" fillId="2" borderId="0" pivotButton="0" quotePrefix="0" xfId="0"/>
    <xf numFmtId="167" fontId="0" fillId="0" borderId="0" pivotButton="0" quotePrefix="0" xfId="0"/>
    <xf numFmtId="0" fontId="0" fillId="3" borderId="0" applyAlignment="1" pivotButton="0" quotePrefix="0" xfId="0">
      <alignment vertical="top" wrapText="1"/>
    </xf>
    <xf numFmtId="168" fontId="0" fillId="0" borderId="0" pivotButton="0" quotePrefix="0" xfId="0"/>
    <xf numFmtId="169" fontId="0" fillId="0" borderId="0" pivotButton="0" quotePrefix="0" xfId="0"/>
    <xf numFmtId="0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0" fontId="3" fillId="3" borderId="1" pivotButton="0" quotePrefix="0" xfId="0"/>
    <xf numFmtId="166" fontId="3" fillId="3" borderId="1" pivotButton="0" quotePrefix="0" xfId="0"/>
    <xf numFmtId="165" fontId="3" fillId="3" borderId="1" pivotButton="0" quotePrefix="0" xfId="0"/>
    <xf numFmtId="167" fontId="3" fillId="3" borderId="1" pivotButton="0" quotePrefix="0" xfId="0"/>
    <xf numFmtId="0" fontId="3" fillId="3" borderId="1" applyAlignment="1" pivotButton="0" quotePrefix="0" xfId="0">
      <alignment vertical="top" wrapText="1"/>
    </xf>
    <xf numFmtId="168" fontId="3" fillId="4" borderId="1" pivotButton="0" quotePrefix="0" xfId="0"/>
    <xf numFmtId="169" fontId="3" fillId="3" borderId="1" pivotButton="0" quotePrefix="0" xfId="0"/>
    <xf numFmtId="168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BAV Trainer</author>
  </authors>
  <commentList>
    <comment ref="B44" authorId="0" shapeId="0">
      <text>
        <t>Link Revenue from the Income Statement into Condensed Financials.</t>
      </text>
    </comment>
    <comment ref="C44" authorId="0" shapeId="0">
      <text>
        <t>Link Revenue from the Income Statement into Condensed Financials.</t>
      </text>
    </comment>
    <comment ref="D44" authorId="0" shapeId="0">
      <text>
        <t>Link Revenue from the Income Statement into Condensed Financials.</t>
      </text>
    </comment>
    <comment ref="E44" authorId="0" shapeId="0">
      <text>
        <t>Link Revenue from the Income Statement into Condensed Financials.</t>
      </text>
    </comment>
    <comment ref="F44" authorId="0" shapeId="0">
      <text>
        <t>Link Revenue from the Income Statement into Condensed Financials.</t>
      </text>
    </comment>
    <comment ref="B45" authorId="0" shapeId="0">
      <text>
        <t>Link Net Income from the Income Statement into Condensed Financials.</t>
      </text>
    </comment>
    <comment ref="C45" authorId="0" shapeId="0">
      <text>
        <t>Link Net Income from the Income Statement into Condensed Financials.</t>
      </text>
    </comment>
    <comment ref="D45" authorId="0" shapeId="0">
      <text>
        <t>Link Net Income from the Income Statement into Condensed Financials.</t>
      </text>
    </comment>
    <comment ref="E45" authorId="0" shapeId="0">
      <text>
        <t>Link Net Income from the Income Statement into Condensed Financials.</t>
      </text>
    </comment>
    <comment ref="F45" authorId="0" shapeId="0">
      <text>
        <t>Link Net Income from the Income Statement into Condensed Financials.</t>
      </text>
    </comment>
    <comment ref="B51" authorId="0" shapeId="0">
      <text>
        <t>Relate tax expense to pretax income using the model's sign convention.</t>
      </text>
    </comment>
    <comment ref="C51" authorId="0" shapeId="0">
      <text>
        <t>Relate tax expense to pretax income using the model's sign convention.</t>
      </text>
    </comment>
    <comment ref="D51" authorId="0" shapeId="0">
      <text>
        <t>Relate tax expense to pretax income using the model's sign convention.</t>
      </text>
    </comment>
    <comment ref="E51" authorId="0" shapeId="0">
      <text>
        <t>Relate tax expense to pretax income using the model's sign convention.</t>
      </text>
    </comment>
    <comment ref="F51" authorId="0" shapeId="0">
      <text>
        <t>Relate tax expense to pretax income using the model's sign convention.</t>
      </text>
    </comment>
    <comment ref="B52" authorId="0" shapeId="0">
      <text>
        <t>Combine interest expense and interest income into the financing result.</t>
      </text>
    </comment>
    <comment ref="C52" authorId="0" shapeId="0">
      <text>
        <t>Combine interest expense and interest income into the financing result.</t>
      </text>
    </comment>
    <comment ref="D52" authorId="0" shapeId="0">
      <text>
        <t>Combine interest expense and interest income into the financing result.</t>
      </text>
    </comment>
    <comment ref="E52" authorId="0" shapeId="0">
      <text>
        <t>Combine interest expense and interest income into the financing result.</t>
      </text>
    </comment>
    <comment ref="F52" authorId="0" shapeId="0">
      <text>
        <t>Combine interest expense and interest income into the financing result.</t>
      </text>
    </comment>
    <comment ref="B53" authorId="0" shapeId="0">
      <text>
        <t>Apply the effective tax rate once to net interest.</t>
      </text>
    </comment>
    <comment ref="C53" authorId="0" shapeId="0">
      <text>
        <t>Apply the effective tax rate once to net interest.</t>
      </text>
    </comment>
    <comment ref="D53" authorId="0" shapeId="0">
      <text>
        <t>Apply the effective tax rate once to net interest.</t>
      </text>
    </comment>
    <comment ref="E53" authorId="0" shapeId="0">
      <text>
        <t>Apply the effective tax rate once to net interest.</t>
      </text>
    </comment>
    <comment ref="F53" authorId="0" shapeId="0">
      <text>
        <t>Apply the effective tax rate once to net interest.</t>
      </text>
    </comment>
    <comment ref="B54" authorId="0" shapeId="0">
      <text>
        <t>Reformulate net income to operating profit after tax.</t>
      </text>
    </comment>
    <comment ref="C54" authorId="0" shapeId="0">
      <text>
        <t>Reformulate net income to operating profit after tax.</t>
      </text>
    </comment>
    <comment ref="D54" authorId="0" shapeId="0">
      <text>
        <t>Reformulate net income to operating profit after tax.</t>
      </text>
    </comment>
    <comment ref="E54" authorId="0" shapeId="0">
      <text>
        <t>Reformulate net income to operating profit after tax.</t>
      </text>
    </comment>
    <comment ref="F54" authorId="0" shapeId="0">
      <text>
        <t>Reformulate net income to operating profit after tax.</t>
      </text>
    </comment>
    <comment ref="B57" authorId="0" shapeId="0">
      <text>
        <t>Aggregate the classified balance-sheet detail with the classification column.</t>
      </text>
    </comment>
    <comment ref="C57" authorId="0" shapeId="0">
      <text>
        <t>Aggregate the classified balance-sheet detail with the classification column.</t>
      </text>
    </comment>
    <comment ref="D57" authorId="0" shapeId="0">
      <text>
        <t>Aggregate the classified balance-sheet detail with the classification column.</t>
      </text>
    </comment>
    <comment ref="E57" authorId="0" shapeId="0">
      <text>
        <t>Aggregate the classified balance-sheet detail with the classification column.</t>
      </text>
    </comment>
    <comment ref="F57" authorId="0" shapeId="0">
      <text>
        <t>Aggregate the classified balance-sheet detail with the classification column.</t>
      </text>
    </comment>
    <comment ref="B58" authorId="0" shapeId="0">
      <text>
        <t>Aggregate the classified balance-sheet detail with the classification column.</t>
      </text>
    </comment>
    <comment ref="C58" authorId="0" shapeId="0">
      <text>
        <t>Aggregate the classified balance-sheet detail with the classification column.</t>
      </text>
    </comment>
    <comment ref="D58" authorId="0" shapeId="0">
      <text>
        <t>Aggregate the classified balance-sheet detail with the classification column.</t>
      </text>
    </comment>
    <comment ref="E58" authorId="0" shapeId="0">
      <text>
        <t>Aggregate the classified balance-sheet detail with the classification column.</t>
      </text>
    </comment>
    <comment ref="F58" authorId="0" shapeId="0">
      <text>
        <t>Aggregate the classified balance-sheet detail with the classification column.</t>
      </text>
    </comment>
    <comment ref="B59" authorId="0" shapeId="0">
      <text>
        <t>Sum operating WC assets minus operating WC liabilities.</t>
      </text>
    </comment>
    <comment ref="C59" authorId="0" shapeId="0">
      <text>
        <t>Sum operating WC assets minus operating WC liabilities.</t>
      </text>
    </comment>
    <comment ref="D59" authorId="0" shapeId="0">
      <text>
        <t>Sum operating WC assets minus operating WC liabilities.</t>
      </text>
    </comment>
    <comment ref="E59" authorId="0" shapeId="0">
      <text>
        <t>Sum operating WC assets minus operating WC liabilities.</t>
      </text>
    </comment>
    <comment ref="F59" authorId="0" shapeId="0">
      <text>
        <t>Sum operating WC assets minus operating WC liabilities.</t>
      </text>
    </comment>
    <comment ref="B60" authorId="0" shapeId="0">
      <text>
        <t>Aggregate the classified balance-sheet detail with the classification column.</t>
      </text>
    </comment>
    <comment ref="C60" authorId="0" shapeId="0">
      <text>
        <t>Aggregate the classified balance-sheet detail with the classification column.</t>
      </text>
    </comment>
    <comment ref="D60" authorId="0" shapeId="0">
      <text>
        <t>Aggregate the classified balance-sheet detail with the classification column.</t>
      </text>
    </comment>
    <comment ref="E60" authorId="0" shapeId="0">
      <text>
        <t>Aggregate the classified balance-sheet detail with the classification column.</t>
      </text>
    </comment>
    <comment ref="F60" authorId="0" shapeId="0">
      <text>
        <t>Aggregate the classified balance-sheet detail with the classification column.</t>
      </text>
    </comment>
    <comment ref="B61" authorId="0" shapeId="0">
      <text>
        <t>Aggregate the classified balance-sheet detail with the classification column.</t>
      </text>
    </comment>
    <comment ref="C61" authorId="0" shapeId="0">
      <text>
        <t>Aggregate the classified balance-sheet detail with the classification column.</t>
      </text>
    </comment>
    <comment ref="D61" authorId="0" shapeId="0">
      <text>
        <t>Aggregate the classified balance-sheet detail with the classification column.</t>
      </text>
    </comment>
    <comment ref="E61" authorId="0" shapeId="0">
      <text>
        <t>Aggregate the classified balance-sheet detail with the classification column.</t>
      </text>
    </comment>
    <comment ref="F61" authorId="0" shapeId="0">
      <text>
        <t>Aggregate the classified balance-sheet detail with the classification column.</t>
      </text>
    </comment>
    <comment ref="B62" authorId="0" shapeId="0">
      <text>
        <t>Operating long-term assets less operating long-term liabilities.</t>
      </text>
    </comment>
    <comment ref="C62" authorId="0" shapeId="0">
      <text>
        <t>Operating long-term assets less operating long-term liabilities.</t>
      </text>
    </comment>
    <comment ref="D62" authorId="0" shapeId="0">
      <text>
        <t>Operating long-term assets less operating long-term liabilities.</t>
      </text>
    </comment>
    <comment ref="E62" authorId="0" shapeId="0">
      <text>
        <t>Operating long-term assets less operating long-term liabilities.</t>
      </text>
    </comment>
    <comment ref="F62" authorId="0" shapeId="0">
      <text>
        <t>Operating long-term assets less operating long-term liabilities.</t>
      </text>
    </comment>
    <comment ref="B63" authorId="0" shapeId="0">
      <text>
        <t>NOWC plus net operating long-term assets.</t>
      </text>
    </comment>
    <comment ref="C63" authorId="0" shapeId="0">
      <text>
        <t>NOWC plus net operating long-term assets.</t>
      </text>
    </comment>
    <comment ref="D63" authorId="0" shapeId="0">
      <text>
        <t>NOWC plus net operating long-term assets.</t>
      </text>
    </comment>
    <comment ref="E63" authorId="0" shapeId="0">
      <text>
        <t>NOWC plus net operating long-term assets.</t>
      </text>
    </comment>
    <comment ref="F63" authorId="0" shapeId="0">
      <text>
        <t>NOWC plus net operating long-term assets.</t>
      </text>
    </comment>
    <comment ref="B64" authorId="0" shapeId="0">
      <text>
        <t>Aggregate the classified balance-sheet detail with the classification column.</t>
      </text>
    </comment>
    <comment ref="C64" authorId="0" shapeId="0">
      <text>
        <t>Aggregate the classified balance-sheet detail with the classification column.</t>
      </text>
    </comment>
    <comment ref="D64" authorId="0" shapeId="0">
      <text>
        <t>Aggregate the classified balance-sheet detail with the classification column.</t>
      </text>
    </comment>
    <comment ref="E64" authorId="0" shapeId="0">
      <text>
        <t>Aggregate the classified balance-sheet detail with the classification column.</t>
      </text>
    </comment>
    <comment ref="F64" authorId="0" shapeId="0">
      <text>
        <t>Aggregate the classified balance-sheet detail with the classification column.</t>
      </text>
    </comment>
    <comment ref="B65" authorId="0" shapeId="0">
      <text>
        <t>Aggregate the classified balance-sheet detail with the classification column.</t>
      </text>
    </comment>
    <comment ref="C65" authorId="0" shapeId="0">
      <text>
        <t>Aggregate the classified balance-sheet detail with the classification column.</t>
      </text>
    </comment>
    <comment ref="D65" authorId="0" shapeId="0">
      <text>
        <t>Aggregate the classified balance-sheet detail with the classification column.</t>
      </text>
    </comment>
    <comment ref="E65" authorId="0" shapeId="0">
      <text>
        <t>Aggregate the classified balance-sheet detail with the classification column.</t>
      </text>
    </comment>
    <comment ref="F65" authorId="0" shapeId="0">
      <text>
        <t>Aggregate the classified balance-sheet detail with the classification column.</t>
      </text>
    </comment>
    <comment ref="B66" authorId="0" shapeId="0">
      <text>
        <t>Financial liabilities minus financial assets.</t>
      </text>
    </comment>
    <comment ref="C66" authorId="0" shapeId="0">
      <text>
        <t>Financial liabilities minus financial assets.</t>
      </text>
    </comment>
    <comment ref="D66" authorId="0" shapeId="0">
      <text>
        <t>Financial liabilities minus financial assets.</t>
      </text>
    </comment>
    <comment ref="E66" authorId="0" shapeId="0">
      <text>
        <t>Financial liabilities minus financial assets.</t>
      </text>
    </comment>
    <comment ref="F66" authorId="0" shapeId="0">
      <text>
        <t>Financial liabilities minus financial assets.</t>
      </text>
    </comment>
    <comment ref="B67" authorId="0" shapeId="0">
      <text>
        <t>Use the operating/financing identity linking NOA, Net Debt, and Equity.</t>
      </text>
    </comment>
    <comment ref="C67" authorId="0" shapeId="0">
      <text>
        <t>Use the operating/financing identity linking NOA, Net Debt, and Equity.</t>
      </text>
    </comment>
    <comment ref="D67" authorId="0" shapeId="0">
      <text>
        <t>Use the operating/financing identity linking NOA, Net Debt, and Equity.</t>
      </text>
    </comment>
    <comment ref="E67" authorId="0" shapeId="0">
      <text>
        <t>Use the operating/financing identity linking NOA, Net Debt, and Equity.</t>
      </text>
    </comment>
    <comment ref="F67" authorId="0" shapeId="0">
      <text>
        <t>Use the operating/financing identity linking NOA, Net Debt, and Equity.</t>
      </text>
    </comment>
  </commentList>
</comments>
</file>

<file path=xl/comments/comment2.xml><?xml version="1.0" encoding="utf-8"?>
<comments xmlns="http://schemas.openxmlformats.org/spreadsheetml/2006/main">
  <authors>
    <author>BAV Trainer</author>
  </authors>
  <commentList>
    <comment ref="C5" authorId="0" shapeId="0">
      <text>
        <t>Current Revenue relative to the immediately preceding fiscal year.</t>
      </text>
    </comment>
    <comment ref="D5" authorId="0" shapeId="0">
      <text>
        <t>Current Revenue relative to the immediately preceding fiscal year.</t>
      </text>
    </comment>
    <comment ref="E5" authorId="0" shapeId="0">
      <text>
        <t>Current Revenue relative to the immediately preceding fiscal year.</t>
      </text>
    </comment>
    <comment ref="F5" authorId="0" shapeId="0">
      <text>
        <t>Current Revenue relative to the immediately preceding fiscal year.</t>
      </text>
    </comment>
    <comment ref="B6" authorId="0" shapeId="0">
      <text>
        <t>NOPAT divided by Revenue for the same fiscal period.</t>
      </text>
    </comment>
    <comment ref="C6" authorId="0" shapeId="0">
      <text>
        <t>NOPAT divided by Revenue for the same fiscal period.</t>
      </text>
    </comment>
    <comment ref="D6" authorId="0" shapeId="0">
      <text>
        <t>NOPAT divided by Revenue for the same fiscal period.</t>
      </text>
    </comment>
    <comment ref="E6" authorId="0" shapeId="0">
      <text>
        <t>NOPAT divided by Revenue for the same fiscal period.</t>
      </text>
    </comment>
    <comment ref="F6" authorId="0" shapeId="0">
      <text>
        <t>NOPAT divided by Revenue for the same fiscal period.</t>
      </text>
    </comment>
    <comment ref="C7" authorId="0" shapeId="0">
      <text>
        <t>NOPAT divided by average NOA.</t>
      </text>
    </comment>
    <comment ref="D7" authorId="0" shapeId="0">
      <text>
        <t>NOPAT divided by average NOA.</t>
      </text>
    </comment>
    <comment ref="E7" authorId="0" shapeId="0">
      <text>
        <t>NOPAT divided by average NOA.</t>
      </text>
    </comment>
    <comment ref="F7" authorId="0" shapeId="0">
      <text>
        <t>NOPAT divided by average NOA.</t>
      </text>
    </comment>
    <comment ref="C8" authorId="0" shapeId="0">
      <text>
        <t>Relate net interest after tax to average net debt.</t>
      </text>
    </comment>
    <comment ref="D8" authorId="0" shapeId="0">
      <text>
        <t>Relate net interest after tax to average net debt.</t>
      </text>
    </comment>
    <comment ref="E8" authorId="0" shapeId="0">
      <text>
        <t>Relate net interest after tax to average net debt.</t>
      </text>
    </comment>
    <comment ref="F8" authorId="0" shapeId="0">
      <text>
        <t>Relate net interest after tax to average net debt.</t>
      </text>
    </comment>
    <comment ref="C9" authorId="0" shapeId="0">
      <text>
        <t>Operating return minus after-tax cost of debt.</t>
      </text>
    </comment>
    <comment ref="D9" authorId="0" shapeId="0">
      <text>
        <t>Operating return minus after-tax cost of debt.</t>
      </text>
    </comment>
    <comment ref="E9" authorId="0" shapeId="0">
      <text>
        <t>Operating return minus after-tax cost of debt.</t>
      </text>
    </comment>
    <comment ref="F9" authorId="0" shapeId="0">
      <text>
        <t>Operating return minus after-tax cost of debt.</t>
      </text>
    </comment>
    <comment ref="C10" authorId="0" shapeId="0">
      <text>
        <t>Relate average net debt to average reformulated equity.</t>
      </text>
    </comment>
    <comment ref="D10" authorId="0" shapeId="0">
      <text>
        <t>Relate average net debt to average reformulated equity.</t>
      </text>
    </comment>
    <comment ref="E10" authorId="0" shapeId="0">
      <text>
        <t>Relate average net debt to average reformulated equity.</t>
      </text>
    </comment>
    <comment ref="F10" authorId="0" shapeId="0">
      <text>
        <t>Relate average net debt to average reformulated equity.</t>
      </text>
    </comment>
    <comment ref="C11" authorId="0" shapeId="0">
      <text>
        <t>ROE = RNOA + FLEV × Spread.</t>
      </text>
    </comment>
    <comment ref="D11" authorId="0" shapeId="0">
      <text>
        <t>ROE = RNOA + FLEV × Spread.</t>
      </text>
    </comment>
    <comment ref="E11" authorId="0" shapeId="0">
      <text>
        <t>ROE = RNOA + FLEV × Spread.</t>
      </text>
    </comment>
    <comment ref="F11" authorId="0" shapeId="0">
      <text>
        <t>ROE = RNOA + FLEV × Spread.</t>
      </text>
    </comment>
    <comment ref="C12" authorId="0" shapeId="0">
      <text>
        <t>Relate net income to average reformulated equity.</t>
      </text>
    </comment>
    <comment ref="D12" authorId="0" shapeId="0">
      <text>
        <t>Relate net income to average reformulated equity.</t>
      </text>
    </comment>
    <comment ref="E12" authorId="0" shapeId="0">
      <text>
        <t>Relate net income to average reformulated equity.</t>
      </text>
    </comment>
    <comment ref="F12" authorId="0" shapeId="0">
      <text>
        <t>Relate net income to average reformulated equity.</t>
      </text>
    </comment>
    <comment ref="C15" authorId="0" shapeId="0">
      <text>
        <t>Average beginning and ending NOA for the comparable period.</t>
      </text>
    </comment>
    <comment ref="D15" authorId="0" shapeId="0">
      <text>
        <t>Average beginning and ending NOA for the comparable period.</t>
      </text>
    </comment>
    <comment ref="E15" authorId="0" shapeId="0">
      <text>
        <t>Average beginning and ending NOA for the comparable period.</t>
      </text>
    </comment>
    <comment ref="F15" authorId="0" shapeId="0">
      <text>
        <t>Average beginning and ending NOA for the comparable period.</t>
      </text>
    </comment>
    <comment ref="C16" authorId="0" shapeId="0">
      <text>
        <t>Revenue divided by Average NOA.</t>
      </text>
    </comment>
    <comment ref="D16" authorId="0" shapeId="0">
      <text>
        <t>Revenue divided by Average NOA.</t>
      </text>
    </comment>
    <comment ref="E16" authorId="0" shapeId="0">
      <text>
        <t>Revenue divided by Average NOA.</t>
      </text>
    </comment>
    <comment ref="F16" authorId="0" shapeId="0">
      <text>
        <t>Revenue divided by Average NOA.</t>
      </text>
    </comment>
    <comment ref="C17" authorId="0" shapeId="0">
      <text>
        <t>Average NOA divided by Revenue.</t>
      </text>
    </comment>
    <comment ref="D17" authorId="0" shapeId="0">
      <text>
        <t>Average NOA divided by Revenue.</t>
      </text>
    </comment>
    <comment ref="E17" authorId="0" shapeId="0">
      <text>
        <t>Average NOA divided by Revenue.</t>
      </text>
    </comment>
    <comment ref="F17" authorId="0" shapeId="0">
      <text>
        <t>Average NOA divided by Revenue.</t>
      </text>
    </comment>
    <comment ref="C18" authorId="0" shapeId="0">
      <text>
        <t>NOPAT Margin multiplied by NOA Turnover.</t>
      </text>
    </comment>
    <comment ref="D18" authorId="0" shapeId="0">
      <text>
        <t>NOPAT Margin multiplied by NOA Turnover.</t>
      </text>
    </comment>
    <comment ref="E18" authorId="0" shapeId="0">
      <text>
        <t>NOPAT Margin multiplied by NOA Turnover.</t>
      </text>
    </comment>
    <comment ref="F18" authorId="0" shapeId="0">
      <text>
        <t>NOPAT Margin multiplied by NOA Turnover.</t>
      </text>
    </comment>
    <comment ref="D22" authorId="0" shapeId="0">
      <text>
        <t>Current NOPAT Margin minus prior comparable NOPAT Margin.</t>
      </text>
    </comment>
    <comment ref="E22" authorId="0" shapeId="0">
      <text>
        <t>Current NOPAT Margin minus prior comparable NOPAT Margin.</t>
      </text>
    </comment>
    <comment ref="F22" authorId="0" shapeId="0">
      <text>
        <t>Current NOPAT Margin minus prior comparable NOPAT Margin.</t>
      </text>
    </comment>
    <comment ref="D23" authorId="0" shapeId="0">
      <text>
        <t>Current NOA Turnover minus prior comparable NOA Turnover.</t>
      </text>
    </comment>
    <comment ref="E23" authorId="0" shapeId="0">
      <text>
        <t>Current NOA Turnover minus prior comparable NOA Turnover.</t>
      </text>
    </comment>
    <comment ref="F23" authorId="0" shapeId="0">
      <text>
        <t>Current NOA Turnover minus prior comparable NOA Turnover.</t>
      </text>
    </comment>
    <comment ref="D24" authorId="0" shapeId="0">
      <text>
        <t>Current direct RNOA minus prior comparable direct RNOA.</t>
      </text>
    </comment>
    <comment ref="E24" authorId="0" shapeId="0">
      <text>
        <t>Current direct RNOA minus prior comparable direct RNOA.</t>
      </text>
    </comment>
    <comment ref="F24" authorId="0" shapeId="0">
      <text>
        <t>Current direct RNOA minus prior comparable direct RNOA.</t>
      </text>
    </comment>
    <comment ref="D25" authorId="0" shapeId="0">
      <text>
        <t>Change in Margin multiplied by midpoint NOA Turnover.</t>
      </text>
    </comment>
    <comment ref="E25" authorId="0" shapeId="0">
      <text>
        <t>Change in Margin multiplied by midpoint NOA Turnover.</t>
      </text>
    </comment>
    <comment ref="F25" authorId="0" shapeId="0">
      <text>
        <t>Change in Margin multiplied by midpoint NOA Turnover.</t>
      </text>
    </comment>
    <comment ref="D26" authorId="0" shapeId="0">
      <text>
        <t>Change in NOA Turnover multiplied by midpoint NOPAT Margin.</t>
      </text>
    </comment>
    <comment ref="E26" authorId="0" shapeId="0">
      <text>
        <t>Change in NOA Turnover multiplied by midpoint NOPAT Margin.</t>
      </text>
    </comment>
    <comment ref="F26" authorId="0" shapeId="0">
      <text>
        <t>Change in NOA Turnover multiplied by midpoint NOPAT Margin.</t>
      </text>
    </comment>
    <comment ref="D27" authorId="0" shapeId="0">
      <text>
        <t>Margin Effect plus Turnover Effect.</t>
      </text>
    </comment>
    <comment ref="E27" authorId="0" shapeId="0">
      <text>
        <t>Margin Effect plus Turnover Effect.</t>
      </text>
    </comment>
    <comment ref="F27" authorId="0" shapeId="0">
      <text>
        <t>Margin Effect plus Turnover Effect.</t>
      </text>
    </comment>
    <comment ref="C31" authorId="0" shapeId="0">
      <text>
        <t>FLEV multiplied by Spread.</t>
      </text>
    </comment>
    <comment ref="D31" authorId="0" shapeId="0">
      <text>
        <t>FLEV multiplied by Spread.</t>
      </text>
    </comment>
    <comment ref="E31" authorId="0" shapeId="0">
      <text>
        <t>FLEV multiplied by Spread.</t>
      </text>
    </comment>
    <comment ref="F31" authorId="0" shapeId="0">
      <text>
        <t>FLEV multiplied by Spread.</t>
      </text>
    </comment>
    <comment ref="D35" authorId="0" shapeId="0">
      <text>
        <t>Current decomposed ROE minus prior decomposed ROE.</t>
      </text>
    </comment>
    <comment ref="E35" authorId="0" shapeId="0">
      <text>
        <t>Current decomposed ROE minus prior decomposed ROE.</t>
      </text>
    </comment>
    <comment ref="F35" authorId="0" shapeId="0">
      <text>
        <t>Current decomposed ROE minus prior decomposed ROE.</t>
      </text>
    </comment>
    <comment ref="D36" authorId="0" shapeId="0">
      <text>
        <t>The direct Change in RNOA from the prior diagnostic section.</t>
      </text>
    </comment>
    <comment ref="E36" authorId="0" shapeId="0">
      <text>
        <t>The direct Change in RNOA from the prior diagnostic section.</t>
      </text>
    </comment>
    <comment ref="F36" authorId="0" shapeId="0">
      <text>
        <t>The direct Change in RNOA from the prior diagnostic section.</t>
      </text>
    </comment>
    <comment ref="D37" authorId="0" shapeId="0">
      <text>
        <t>Change in FLEV multiplied by midpoint Spread.</t>
      </text>
    </comment>
    <comment ref="E37" authorId="0" shapeId="0">
      <text>
        <t>Change in FLEV multiplied by midpoint Spread.</t>
      </text>
    </comment>
    <comment ref="F37" authorId="0" shapeId="0">
      <text>
        <t>Change in FLEV multiplied by midpoint Spread.</t>
      </text>
    </comment>
    <comment ref="D38" authorId="0" shapeId="0">
      <text>
        <t>Change in Spread multiplied by midpoint FLEV.</t>
      </text>
    </comment>
    <comment ref="E38" authorId="0" shapeId="0">
      <text>
        <t>Change in Spread multiplied by midpoint FLEV.</t>
      </text>
    </comment>
    <comment ref="F38" authorId="0" shapeId="0">
      <text>
        <t>Change in Spread multiplied by midpoint FLEV.</t>
      </text>
    </comment>
    <comment ref="D39" authorId="0" shapeId="0">
      <text>
        <t>Leverage Effect plus Spread Effect.</t>
      </text>
    </comment>
    <comment ref="E39" authorId="0" shapeId="0">
      <text>
        <t>Leverage Effect plus Spread Effect.</t>
      </text>
    </comment>
    <comment ref="F39" authorId="0" shapeId="0">
      <text>
        <t>Leverage Effect plus Spread Effect.</t>
      </text>
    </comment>
    <comment ref="D40" authorId="0" shapeId="0">
      <text>
        <t>Operating Effect plus Financing Effect.</t>
      </text>
    </comment>
    <comment ref="E40" authorId="0" shapeId="0">
      <text>
        <t>Operating Effect plus Financing Effect.</t>
      </text>
    </comment>
    <comment ref="F40" authorId="0" shapeId="0">
      <text>
        <t>Operating Effect plus Financing Effect.</t>
      </text>
    </comment>
    <comment ref="B44" authorId="0" shapeId="0">
      <text>
        <t>Link reported PP&amp;E for the same fiscal period.</t>
      </text>
    </comment>
    <comment ref="C44" authorId="0" shapeId="0">
      <text>
        <t>Link reported PP&amp;E for the same fiscal period.</t>
      </text>
    </comment>
    <comment ref="D44" authorId="0" shapeId="0">
      <text>
        <t>Link reported PP&amp;E for the same fiscal period.</t>
      </text>
    </comment>
    <comment ref="E44" authorId="0" shapeId="0">
      <text>
        <t>Link reported PP&amp;E for the same fiscal period.</t>
      </text>
    </comment>
    <comment ref="F44" authorId="0" shapeId="0">
      <text>
        <t>Link reported PP&amp;E for the same fiscal period.</t>
      </text>
    </comment>
    <comment ref="B45" authorId="0" shapeId="0">
      <text>
        <t>Link reported combined D&amp;A for the same fiscal period.</t>
      </text>
    </comment>
    <comment ref="C45" authorId="0" shapeId="0">
      <text>
        <t>Link reported combined D&amp;A for the same fiscal period.</t>
      </text>
    </comment>
    <comment ref="D45" authorId="0" shapeId="0">
      <text>
        <t>Link reported combined D&amp;A for the same fiscal period.</t>
      </text>
    </comment>
    <comment ref="E45" authorId="0" shapeId="0">
      <text>
        <t>Link reported combined D&amp;A for the same fiscal period.</t>
      </text>
    </comment>
    <comment ref="F45" authorId="0" shapeId="0">
      <text>
        <t>Link reported combined D&amp;A for the same fiscal period.</t>
      </text>
    </comment>
    <comment ref="C46" authorId="0" shapeId="0">
      <text>
        <t>Average beginning and ending PP&amp;E.</t>
      </text>
    </comment>
    <comment ref="D46" authorId="0" shapeId="0">
      <text>
        <t>Average beginning and ending PP&amp;E.</t>
      </text>
    </comment>
    <comment ref="E46" authorId="0" shapeId="0">
      <text>
        <t>Average beginning and ending PP&amp;E.</t>
      </text>
    </comment>
    <comment ref="F46" authorId="0" shapeId="0">
      <text>
        <t>Average beginning and ending PP&amp;E.</t>
      </text>
    </comment>
    <comment ref="C47" authorId="0" shapeId="0">
      <text>
        <t>Revenue divided by Average PP&amp;E.</t>
      </text>
    </comment>
    <comment ref="D47" authorId="0" shapeId="0">
      <text>
        <t>Revenue divided by Average PP&amp;E.</t>
      </text>
    </comment>
    <comment ref="E47" authorId="0" shapeId="0">
      <text>
        <t>Revenue divided by Average PP&amp;E.</t>
      </text>
    </comment>
    <comment ref="F47" authorId="0" shapeId="0">
      <text>
        <t>Revenue divided by Average PP&amp;E.</t>
      </text>
    </comment>
    <comment ref="C48" authorId="0" shapeId="0">
      <text>
        <t>Average PP&amp;E divided by Revenue.</t>
      </text>
    </comment>
    <comment ref="D48" authorId="0" shapeId="0">
      <text>
        <t>Average PP&amp;E divided by Revenue.</t>
      </text>
    </comment>
    <comment ref="E48" authorId="0" shapeId="0">
      <text>
        <t>Average PP&amp;E divided by Revenue.</t>
      </text>
    </comment>
    <comment ref="F48" authorId="0" shapeId="0">
      <text>
        <t>Average PP&amp;E divided by Revenue.</t>
      </text>
    </comment>
    <comment ref="C49" authorId="0" shapeId="0">
      <text>
        <t>Current PP&amp;E minus prior PP&amp;E.</t>
      </text>
    </comment>
    <comment ref="D49" authorId="0" shapeId="0">
      <text>
        <t>Current PP&amp;E minus prior PP&amp;E.</t>
      </text>
    </comment>
    <comment ref="E49" authorId="0" shapeId="0">
      <text>
        <t>Current PP&amp;E minus prior PP&amp;E.</t>
      </text>
    </comment>
    <comment ref="F49" authorId="0" shapeId="0">
      <text>
        <t>Current PP&amp;E minus prior PP&amp;E.</t>
      </text>
    </comment>
    <comment ref="B50" authorId="0" shapeId="0">
      <text>
        <t>Combined D&amp;A divided by Revenue.</t>
      </text>
    </comment>
    <comment ref="C50" authorId="0" shapeId="0">
      <text>
        <t>Combined D&amp;A divided by Revenue.</t>
      </text>
    </comment>
    <comment ref="D50" authorId="0" shapeId="0">
      <text>
        <t>Combined D&amp;A divided by Revenue.</t>
      </text>
    </comment>
    <comment ref="E50" authorId="0" shapeId="0">
      <text>
        <t>Combined D&amp;A divided by Revenue.</t>
      </text>
    </comment>
    <comment ref="F50" authorId="0" shapeId="0">
      <text>
        <t>Combined D&amp;A divided by Revenue.</t>
      </text>
    </comment>
    <comment ref="C51" authorId="0" shapeId="0">
      <text>
        <t>Combined D&amp;A divided by Average PP&amp;E (context ratio only).</t>
      </text>
    </comment>
    <comment ref="D51" authorId="0" shapeId="0">
      <text>
        <t>Combined D&amp;A divided by Average PP&amp;E (context ratio only).</t>
      </text>
    </comment>
    <comment ref="E51" authorId="0" shapeId="0">
      <text>
        <t>Combined D&amp;A divided by Average PP&amp;E (context ratio only).</t>
      </text>
    </comment>
    <comment ref="F51" authorId="0" shapeId="0">
      <text>
        <t>Combined D&amp;A divided by Average PP&amp;E (context ratio only).</t>
      </text>
    </comment>
    <comment ref="B55" authorId="0" shapeId="0">
      <text>
        <t>Link the reported aggregate lease-liability balance.</t>
      </text>
    </comment>
    <comment ref="C55" authorId="0" shapeId="0">
      <text>
        <t>Link the reported aggregate lease-liability balance.</t>
      </text>
    </comment>
    <comment ref="D55" authorId="0" shapeId="0">
      <text>
        <t>Link the reported aggregate lease-liability balance.</t>
      </text>
    </comment>
    <comment ref="E55" authorId="0" shapeId="0">
      <text>
        <t>Link the reported aggregate lease-liability balance.</t>
      </text>
    </comment>
    <comment ref="F55" authorId="0" shapeId="0">
      <text>
        <t>Link the reported aggregate lease-liability balance.</t>
      </text>
    </comment>
    <comment ref="B56" authorId="0" shapeId="0">
      <text>
        <t>Reported lease liability divided by Revenue.</t>
      </text>
    </comment>
    <comment ref="C56" authorId="0" shapeId="0">
      <text>
        <t>Reported lease liability divided by Revenue.</t>
      </text>
    </comment>
    <comment ref="D56" authorId="0" shapeId="0">
      <text>
        <t>Reported lease liability divided by Revenue.</t>
      </text>
    </comment>
    <comment ref="E56" authorId="0" shapeId="0">
      <text>
        <t>Reported lease liability divided by Revenue.</t>
      </text>
    </comment>
    <comment ref="F56" authorId="0" shapeId="0">
      <text>
        <t>Reported lease liability divided by Revenue.</t>
      </text>
    </comment>
    <comment ref="C57" authorId="0" shapeId="0">
      <text>
        <t>Current lease liability minus prior lease liability.</t>
      </text>
    </comment>
    <comment ref="D57" authorId="0" shapeId="0">
      <text>
        <t>Current lease liability minus prior lease liability.</t>
      </text>
    </comment>
    <comment ref="E57" authorId="0" shapeId="0">
      <text>
        <t>Current lease liability minus prior lease liability.</t>
      </text>
    </comment>
    <comment ref="F57" authorId="0" shapeId="0">
      <text>
        <t>Current lease liability minus prior lease liability.</t>
      </text>
    </comment>
    <comment ref="C58" authorId="0" shapeId="0">
      <text>
        <t>Percentage change in reported lease liability.</t>
      </text>
    </comment>
    <comment ref="D58" authorId="0" shapeId="0">
      <text>
        <t>Percentage change in reported lease liability.</t>
      </text>
    </comment>
    <comment ref="E58" authorId="0" shapeId="0">
      <text>
        <t>Percentage change in reported lease liability.</t>
      </text>
    </comment>
    <comment ref="F58" authorId="0" shapeId="0">
      <text>
        <t>Percentage change in reported lease liability.</t>
      </text>
    </comment>
    <comment ref="C62" authorId="0" shapeId="0">
      <text>
        <t>Current ROU assets − prior ROU assets.</t>
      </text>
    </comment>
    <comment ref="D62" authorId="0" shapeId="0">
      <text>
        <t>Current ROU assets − prior ROU assets.</t>
      </text>
    </comment>
    <comment ref="E62" authorId="0" shapeId="0">
      <text>
        <t>Current ROU assets − prior ROU assets.</t>
      </text>
    </comment>
    <comment ref="F62" authorId="0" shapeId="0">
      <text>
        <t>Current ROU assets − prior ROU assets.</t>
      </text>
    </comment>
    <comment ref="C63" authorId="0" shapeId="0">
      <text>
        <t>Percentage change in reported ROU assets.</t>
      </text>
    </comment>
    <comment ref="D63" authorId="0" shapeId="0">
      <text>
        <t>Percentage change in reported ROU assets.</t>
      </text>
    </comment>
    <comment ref="E63" authorId="0" shapeId="0">
      <text>
        <t>Percentage change in reported ROU assets.</t>
      </text>
    </comment>
    <comment ref="F63" authorId="0" shapeId="0">
      <text>
        <t>Percentage change in reported ROU assets.</t>
      </text>
    </comment>
    <comment ref="C64" authorId="0" shapeId="0">
      <text>
        <t>Average beginning and ending ROU assets.</t>
      </text>
    </comment>
    <comment ref="D64" authorId="0" shapeId="0">
      <text>
        <t>Average beginning and ending ROU assets.</t>
      </text>
    </comment>
    <comment ref="E64" authorId="0" shapeId="0">
      <text>
        <t>Average beginning and ending ROU assets.</t>
      </text>
    </comment>
    <comment ref="F64" authorId="0" shapeId="0">
      <text>
        <t>Average beginning and ending ROU assets.</t>
      </text>
    </comment>
    <comment ref="C65" authorId="0" shapeId="0">
      <text>
        <t>Average ROU assets divided by current Revenue (balance intensity).</t>
      </text>
    </comment>
    <comment ref="D65" authorId="0" shapeId="0">
      <text>
        <t>Average ROU assets divided by current Revenue (balance intensity).</t>
      </text>
    </comment>
    <comment ref="E65" authorId="0" shapeId="0">
      <text>
        <t>Average ROU assets divided by current Revenue (balance intensity).</t>
      </text>
    </comment>
    <comment ref="F65" authorId="0" shapeId="0">
      <text>
        <t>Average ROU assets divided by current Revenue (balance intensity).</t>
      </text>
    </comment>
    <comment ref="B70" authorId="0" shapeId="0">
      <text>
        <t>Analytical net position = Deferred tax assets − Deferred tax liabilities.</t>
      </text>
    </comment>
    <comment ref="C70" authorId="0" shapeId="0">
      <text>
        <t>Analytical net position = Deferred tax assets − Deferred tax liabilities.</t>
      </text>
    </comment>
    <comment ref="D70" authorId="0" shapeId="0">
      <text>
        <t>Analytical net position = Deferred tax assets − Deferred tax liabilities.</t>
      </text>
    </comment>
    <comment ref="E70" authorId="0" shapeId="0">
      <text>
        <t>Analytical net position = Deferred tax assets − Deferred tax liabilities.</t>
      </text>
    </comment>
    <comment ref="F70" authorId="0" shapeId="0">
      <text>
        <t>Analytical net position = Deferred tax assets − Deferred tax liabilities.</t>
      </text>
    </comment>
    <comment ref="C71" authorId="0" shapeId="0">
      <text>
        <t>Current DTA − prior DTA.</t>
      </text>
    </comment>
    <comment ref="D71" authorId="0" shapeId="0">
      <text>
        <t>Current DTA − prior DTA.</t>
      </text>
    </comment>
    <comment ref="E71" authorId="0" shapeId="0">
      <text>
        <t>Current DTA − prior DTA.</t>
      </text>
    </comment>
    <comment ref="F71" authorId="0" shapeId="0">
      <text>
        <t>Current DTA − prior DTA.</t>
      </text>
    </comment>
    <comment ref="C72" authorId="0" shapeId="0">
      <text>
        <t>Current DTL − prior DTL.</t>
      </text>
    </comment>
    <comment ref="D72" authorId="0" shapeId="0">
      <text>
        <t>Current DTL − prior DTL.</t>
      </text>
    </comment>
    <comment ref="E72" authorId="0" shapeId="0">
      <text>
        <t>Current DTL − prior DTL.</t>
      </text>
    </comment>
    <comment ref="F72" authorId="0" shapeId="0">
      <text>
        <t>Current DTL − prior DTL.</t>
      </text>
    </comment>
    <comment ref="C73" authorId="0" shapeId="0">
      <text>
        <t>Current net position − prior net position.</t>
      </text>
    </comment>
    <comment ref="D73" authorId="0" shapeId="0">
      <text>
        <t>Current net position − prior net position.</t>
      </text>
    </comment>
    <comment ref="E73" authorId="0" shapeId="0">
      <text>
        <t>Current net position − prior net position.</t>
      </text>
    </comment>
    <comment ref="F73" authorId="0" shapeId="0">
      <text>
        <t>Current net position − prior net position.</t>
      </text>
    </comment>
    <comment ref="B77" authorId="0" shapeId="0">
      <text>
        <t>Presented as −reported payments for property, plant and equipment.</t>
      </text>
    </comment>
    <comment ref="C77" authorId="0" shapeId="0">
      <text>
        <t>Presented as −reported payments for property, plant and equipment.</t>
      </text>
    </comment>
    <comment ref="D77" authorId="0" shapeId="0">
      <text>
        <t>Presented as −reported payments for property, plant and equipment.</t>
      </text>
    </comment>
    <comment ref="E77" authorId="0" shapeId="0">
      <text>
        <t>Presented as −reported payments for property, plant and equipment.</t>
      </text>
    </comment>
    <comment ref="F77" authorId="0" shapeId="0">
      <text>
        <t>Presented as −reported payments for property, plant and equipment.</t>
      </text>
    </comment>
    <comment ref="B78" authorId="0" shapeId="0">
      <text>
        <t>Presented PP&amp;E capex divided by same-period Revenue.</t>
      </text>
    </comment>
    <comment ref="C78" authorId="0" shapeId="0">
      <text>
        <t>Presented PP&amp;E capex divided by same-period Revenue.</t>
      </text>
    </comment>
    <comment ref="D78" authorId="0" shapeId="0">
      <text>
        <t>Presented PP&amp;E capex divided by same-period Revenue.</t>
      </text>
    </comment>
    <comment ref="E78" authorId="0" shapeId="0">
      <text>
        <t>Presented PP&amp;E capex divided by same-period Revenue.</t>
      </text>
    </comment>
    <comment ref="F78" authorId="0" shapeId="0">
      <text>
        <t>Presented PP&amp;E capex divided by same-period Revenue.</t>
      </text>
    </comment>
    <comment ref="B82" authorId="0" shapeId="0">
      <text>
        <t>Presented as −reported cash repayments of lease liabilities. Not total lease cost, ROU amortization, or liability movement.</t>
      </text>
    </comment>
    <comment ref="C82" authorId="0" shapeId="0">
      <text>
        <t>Presented as −reported cash repayments of lease liabilities. Not total lease cost, ROU amortization, or liability movement.</t>
      </text>
    </comment>
    <comment ref="D82" authorId="0" shapeId="0">
      <text>
        <t>Presented as −reported cash repayments of lease liabilities. Not total lease cost, ROU amortization, or liability movement.</t>
      </text>
    </comment>
    <comment ref="E82" authorId="0" shapeId="0">
      <text>
        <t>Presented as −reported cash repayments of lease liabilities. Not total lease cost, ROU amortization, or liability movement.</t>
      </text>
    </comment>
    <comment ref="F82" authorId="0" shapeId="0">
      <text>
        <t>Presented as −reported cash repayments of lease liabilities. Not total lease cost, ROU amortization, or liability movement.</t>
      </text>
    </comment>
    <comment ref="B83" authorId="0" shapeId="0">
      <text>
        <t>Presented lease repayments divided by same-period Revenue. Cash intensity only — not liability stock or ROU amortization.</t>
      </text>
    </comment>
    <comment ref="C83" authorId="0" shapeId="0">
      <text>
        <t>Presented lease repayments divided by same-period Revenue. Cash intensity only — not liability stock or ROU amortization.</t>
      </text>
    </comment>
    <comment ref="D83" authorId="0" shapeId="0">
      <text>
        <t>Presented lease repayments divided by same-period Revenue. Cash intensity only — not liability stock or ROU amortization.</t>
      </text>
    </comment>
    <comment ref="E83" authorId="0" shapeId="0">
      <text>
        <t>Presented lease repayments divided by same-period Revenue. Cash intensity only — not liability stock or ROU amortization.</t>
      </text>
    </comment>
    <comment ref="F83" authorId="0" shapeId="0">
      <text>
        <t>Presented lease repayments divided by same-period Revenue. Cash intensity only — not liability stock or ROU amortization.</t>
      </text>
    </comment>
    <comment ref="C87" authorId="0" shapeId="0">
      <text>
        <t>Current goodwill − prior goodwill. Flat goodwill does not establish absence of impairment disclosed elsewhere.</t>
      </text>
    </comment>
    <comment ref="D87" authorId="0" shapeId="0">
      <text>
        <t>Current goodwill − prior goodwill. Flat goodwill does not establish absence of impairment disclosed elsewhere.</t>
      </text>
    </comment>
    <comment ref="E87" authorId="0" shapeId="0">
      <text>
        <t>Current goodwill − prior goodwill. Flat goodwill does not establish absence of impairment disclosed elsewhere.</t>
      </text>
    </comment>
    <comment ref="F87" authorId="0" shapeId="0">
      <text>
        <t>Current goodwill − prior goodwill. Flat goodwill does not establish absence of impairment disclosed elsewhere.</t>
      </text>
    </comment>
    <comment ref="C88" authorId="0" shapeId="0">
      <text>
        <t>Percentage change in reported goodwill.</t>
      </text>
    </comment>
    <comment ref="D88" authorId="0" shapeId="0">
      <text>
        <t>Percentage change in reported goodwill.</t>
      </text>
    </comment>
    <comment ref="E88" authorId="0" shapeId="0">
      <text>
        <t>Percentage change in reported goodwill.</t>
      </text>
    </comment>
    <comment ref="F88" authorId="0" shapeId="0">
      <text>
        <t>Percentage change in reported goodwill.</t>
      </text>
    </comment>
    <comment ref="C89" authorId="0" shapeId="0">
      <text>
        <t>Average beginning and ending goodwill.</t>
      </text>
    </comment>
    <comment ref="D89" authorId="0" shapeId="0">
      <text>
        <t>Average beginning and ending goodwill.</t>
      </text>
    </comment>
    <comment ref="E89" authorId="0" shapeId="0">
      <text>
        <t>Average beginning and ending goodwill.</t>
      </text>
    </comment>
    <comment ref="F89" authorId="0" shapeId="0">
      <text>
        <t>Average beginning and ending goodwill.</t>
      </text>
    </comment>
    <comment ref="C90" authorId="0" shapeId="0">
      <text>
        <t>Average goodwill divided by Revenue (average-balance intensity).</t>
      </text>
    </comment>
    <comment ref="D90" authorId="0" shapeId="0">
      <text>
        <t>Average goodwill divided by Revenue (average-balance intensity).</t>
      </text>
    </comment>
    <comment ref="E90" authorId="0" shapeId="0">
      <text>
        <t>Average goodwill divided by Revenue (average-balance intensity).</t>
      </text>
    </comment>
    <comment ref="F90" authorId="0" shapeId="0">
      <text>
        <t>Average goodwill divided by Revenue (average-balance intensity).</t>
      </text>
    </comment>
    <comment ref="C92" authorId="0" shapeId="0">
      <text>
        <t>Current intangible assets − prior intangible assets.</t>
      </text>
    </comment>
    <comment ref="D92" authorId="0" shapeId="0">
      <text>
        <t>Current intangible assets − prior intangible assets.</t>
      </text>
    </comment>
    <comment ref="E92" authorId="0" shapeId="0">
      <text>
        <t>Current intangible assets − prior intangible assets.</t>
      </text>
    </comment>
    <comment ref="F92" authorId="0" shapeId="0">
      <text>
        <t>Current intangible assets − prior intangible assets.</t>
      </text>
    </comment>
    <comment ref="C93" authorId="0" shapeId="0">
      <text>
        <t>Percentage change in reported intangible assets.</t>
      </text>
    </comment>
    <comment ref="D93" authorId="0" shapeId="0">
      <text>
        <t>Percentage change in reported intangible assets.</t>
      </text>
    </comment>
    <comment ref="E93" authorId="0" shapeId="0">
      <text>
        <t>Percentage change in reported intangible assets.</t>
      </text>
    </comment>
    <comment ref="F93" authorId="0" shapeId="0">
      <text>
        <t>Percentage change in reported intangible assets.</t>
      </text>
    </comment>
    <comment ref="C94" authorId="0" shapeId="0">
      <text>
        <t>Average beginning and ending intangible assets.</t>
      </text>
    </comment>
    <comment ref="D94" authorId="0" shapeId="0">
      <text>
        <t>Average beginning and ending intangible assets.</t>
      </text>
    </comment>
    <comment ref="E94" authorId="0" shapeId="0">
      <text>
        <t>Average beginning and ending intangible assets.</t>
      </text>
    </comment>
    <comment ref="F94" authorId="0" shapeId="0">
      <text>
        <t>Average beginning and ending intangible assets.</t>
      </text>
    </comment>
    <comment ref="C95" authorId="0" shapeId="0">
      <text>
        <t>Average intangible assets divided by Revenue (average-balance intensity).</t>
      </text>
    </comment>
    <comment ref="D95" authorId="0" shapeId="0">
      <text>
        <t>Average intangible assets divided by Revenue (average-balance intensity).</t>
      </text>
    </comment>
    <comment ref="E95" authorId="0" shapeId="0">
      <text>
        <t>Average intangible assets divided by Revenue (average-balance intensity).</t>
      </text>
    </comment>
    <comment ref="F95" authorId="0" shapeId="0">
      <text>
        <t>Average intangible assets divided by Revenue (average-balance intensity).</t>
      </text>
    </comment>
    <comment ref="C97" authorId="0" shapeId="0">
      <text>
        <t>Current combined total − prior combined total.</t>
      </text>
    </comment>
    <comment ref="D97" authorId="0" shapeId="0">
      <text>
        <t>Current combined total − prior combined total.</t>
      </text>
    </comment>
    <comment ref="E97" authorId="0" shapeId="0">
      <text>
        <t>Current combined total − prior combined total.</t>
      </text>
    </comment>
    <comment ref="F97" authorId="0" shapeId="0">
      <text>
        <t>Current combined total − prior combined total.</t>
      </text>
    </comment>
    <comment ref="C98" authorId="0" shapeId="0">
      <text>
        <t>Percentage change in the combined goodwill and intangibles total.</t>
      </text>
    </comment>
    <comment ref="D98" authorId="0" shapeId="0">
      <text>
        <t>Percentage change in the combined goodwill and intangibles total.</t>
      </text>
    </comment>
    <comment ref="E98" authorId="0" shapeId="0">
      <text>
        <t>Percentage change in the combined goodwill and intangibles total.</t>
      </text>
    </comment>
    <comment ref="F98" authorId="0" shapeId="0">
      <text>
        <t>Percentage change in the combined goodwill and intangibles total.</t>
      </text>
    </comment>
    <comment ref="C99" authorId="0" shapeId="0">
      <text>
        <t>Average beginning and ending combined goodwill and intangibles.</t>
      </text>
    </comment>
    <comment ref="D99" authorId="0" shapeId="0">
      <text>
        <t>Average beginning and ending combined goodwill and intangibles.</t>
      </text>
    </comment>
    <comment ref="E99" authorId="0" shapeId="0">
      <text>
        <t>Average beginning and ending combined goodwill and intangibles.</t>
      </text>
    </comment>
    <comment ref="F99" authorId="0" shapeId="0">
      <text>
        <t>Average beginning and ending combined goodwill and intangibles.</t>
      </text>
    </comment>
    <comment ref="C100" authorId="0" shapeId="0">
      <text>
        <t>Average combined goodwill and intangibles divided by Revenue.</t>
      </text>
    </comment>
    <comment ref="D100" authorId="0" shapeId="0">
      <text>
        <t>Average combined goodwill and intangibles divided by Revenue.</t>
      </text>
    </comment>
    <comment ref="E100" authorId="0" shapeId="0">
      <text>
        <t>Average combined goodwill and intangibles divided by Revenue.</t>
      </text>
    </comment>
    <comment ref="F100" authorId="0" shapeId="0">
      <text>
        <t>Average combined goodwill and intangibles divided by Revenue.</t>
      </text>
    </comment>
    <comment ref="B102" authorId="0" shapeId="0">
      <text>
        <t>Presented as −reported payments for intangible assets. Intangible payments are not business acquisitions.</t>
      </text>
    </comment>
    <comment ref="C102" authorId="0" shapeId="0">
      <text>
        <t>Presented as −reported payments for intangible assets. Intangible payments are not business acquisitions.</t>
      </text>
    </comment>
    <comment ref="D102" authorId="0" shapeId="0">
      <text>
        <t>Presented as −reported payments for intangible assets. Intangible payments are not business acquisitions.</t>
      </text>
    </comment>
    <comment ref="E102" authorId="0" shapeId="0">
      <text>
        <t>Presented as −reported payments for intangible assets. Intangible payments are not business acquisitions.</t>
      </text>
    </comment>
    <comment ref="F102" authorId="0" shapeId="0">
      <text>
        <t>Presented as −reported payments for intangible assets. Intangible payments are not business acquisitions.</t>
      </text>
    </comment>
    <comment ref="B103" authorId="0" shapeId="0">
      <text>
        <t>Presented intangible payments divided by Revenue. Intangible payments are not business acquisitions.</t>
      </text>
    </comment>
    <comment ref="C103" authorId="0" shapeId="0">
      <text>
        <t>Presented intangible payments divided by Revenue. Intangible payments are not business acquisitions.</t>
      </text>
    </comment>
    <comment ref="D103" authorId="0" shapeId="0">
      <text>
        <t>Presented intangible payments divided by Revenue. Intangible payments are not business acquisitions.</t>
      </text>
    </comment>
    <comment ref="E103" authorId="0" shapeId="0">
      <text>
        <t>Presented intangible payments divided by Revenue. Intangible payments are not business acquisitions.</t>
      </text>
    </comment>
    <comment ref="F103" authorId="0" shapeId="0">
      <text>
        <t>Presented intangible payments divided by Revenue. Intangible payments are not business acquisitions.</t>
      </text>
    </comment>
  </commentList>
</comments>
</file>

<file path=xl/comments/comment3.xml><?xml version="1.0" encoding="utf-8"?>
<comments xmlns="http://schemas.openxmlformats.org/spreadsheetml/2006/main">
  <authors>
    <author>BAV Trainer</author>
  </authors>
  <commentList>
    <comment ref="B5" authorId="0" shapeId="0">
      <text>
        <t>Link reported profit attributable to owners of the parent.</t>
      </text>
    </comment>
    <comment ref="C5" authorId="0" shapeId="0">
      <text>
        <t>Link reported profit attributable to owners of the parent.</t>
      </text>
    </comment>
    <comment ref="D5" authorId="0" shapeId="0">
      <text>
        <t>Link reported profit attributable to owners of the parent.</t>
      </text>
    </comment>
    <comment ref="E5" authorId="0" shapeId="0">
      <text>
        <t>Link reported profit attributable to owners of the parent.</t>
      </text>
    </comment>
    <comment ref="F5" authorId="0" shapeId="0">
      <text>
        <t>Link reported profit attributable to owners of the parent.</t>
      </text>
    </comment>
    <comment ref="B6" authorId="0" shapeId="0">
      <text>
        <t>Link reported profit attributable to non-controlling interests.</t>
      </text>
    </comment>
    <comment ref="C6" authorId="0" shapeId="0">
      <text>
        <t>Link reported profit attributable to non-controlling interests.</t>
      </text>
    </comment>
    <comment ref="D6" authorId="0" shapeId="0">
      <text>
        <t>Link reported profit attributable to non-controlling interests.</t>
      </text>
    </comment>
    <comment ref="E6" authorId="0" shapeId="0">
      <text>
        <t>Link reported profit attributable to non-controlling interests.</t>
      </text>
    </comment>
    <comment ref="F6" authorId="0" shapeId="0">
      <text>
        <t>Link reported profit attributable to non-controlling interests.</t>
      </text>
    </comment>
    <comment ref="B8" authorId="0" shapeId="0">
      <text>
        <t>Parent profit + NCI profit − total profit.</t>
      </text>
    </comment>
    <comment ref="C8" authorId="0" shapeId="0">
      <text>
        <t>Parent profit + NCI profit − total profit.</t>
      </text>
    </comment>
    <comment ref="D8" authorId="0" shapeId="0">
      <text>
        <t>Parent profit + NCI profit − total profit.</t>
      </text>
    </comment>
    <comment ref="E8" authorId="0" shapeId="0">
      <text>
        <t>Parent profit + NCI profit − total profit.</t>
      </text>
    </comment>
    <comment ref="F8" authorId="0" shapeId="0">
      <text>
        <t>Parent profit + NCI profit − total profit.</t>
      </text>
    </comment>
    <comment ref="B10" authorId="0" shapeId="0">
      <text>
        <t>Link reported equity attributable to owners of the parent.</t>
      </text>
    </comment>
    <comment ref="C10" authorId="0" shapeId="0">
      <text>
        <t>Link reported equity attributable to owners of the parent.</t>
      </text>
    </comment>
    <comment ref="D10" authorId="0" shapeId="0">
      <text>
        <t>Link reported equity attributable to owners of the parent.</t>
      </text>
    </comment>
    <comment ref="E10" authorId="0" shapeId="0">
      <text>
        <t>Link reported equity attributable to owners of the parent.</t>
      </text>
    </comment>
    <comment ref="F10" authorId="0" shapeId="0">
      <text>
        <t>Link reported equity attributable to owners of the parent.</t>
      </text>
    </comment>
    <comment ref="B11" authorId="0" shapeId="0">
      <text>
        <t>Link reported non-controlling interests equity.</t>
      </text>
    </comment>
    <comment ref="C11" authorId="0" shapeId="0">
      <text>
        <t>Link reported non-controlling interests equity.</t>
      </text>
    </comment>
    <comment ref="D11" authorId="0" shapeId="0">
      <text>
        <t>Link reported non-controlling interests equity.</t>
      </text>
    </comment>
    <comment ref="E11" authorId="0" shapeId="0">
      <text>
        <t>Link reported non-controlling interests equity.</t>
      </text>
    </comment>
    <comment ref="F11" authorId="0" shapeId="0">
      <text>
        <t>Link reported non-controlling interests equity.</t>
      </text>
    </comment>
    <comment ref="B13" authorId="0" shapeId="0">
      <text>
        <t>Parent equity + NCI equity − total equity.</t>
      </text>
    </comment>
    <comment ref="C13" authorId="0" shapeId="0">
      <text>
        <t>Parent equity + NCI equity − total equity.</t>
      </text>
    </comment>
    <comment ref="D13" authorId="0" shapeId="0">
      <text>
        <t>Parent equity + NCI equity − total equity.</t>
      </text>
    </comment>
    <comment ref="E13" authorId="0" shapeId="0">
      <text>
        <t>Parent equity + NCI equity − total equity.</t>
      </text>
    </comment>
    <comment ref="F13" authorId="0" shapeId="0">
      <text>
        <t>Parent equity + NCI equity − total equity.</t>
      </text>
    </comment>
    <comment ref="C15" authorId="0" shapeId="0">
      <text>
        <t>Parent profit divided by average parent equity.</t>
      </text>
    </comment>
    <comment ref="D15" authorId="0" shapeId="0">
      <text>
        <t>Parent profit divided by average parent equity.</t>
      </text>
    </comment>
    <comment ref="E15" authorId="0" shapeId="0">
      <text>
        <t>Parent profit divided by average parent equity.</t>
      </text>
    </comment>
    <comment ref="F15" authorId="0" shapeId="0">
      <text>
        <t>Parent profit divided by average parent equity.</t>
      </text>
    </comment>
  </commentList>
</comments>
</file>

<file path=xl/comments/comment4.xml><?xml version="1.0" encoding="utf-8"?>
<comments xmlns="http://schemas.openxmlformats.org/spreadsheetml/2006/main">
  <authors>
    <author>BAV Trainer</author>
  </authors>
  <commentList>
    <comment ref="B5" authorId="0" shapeId="0">
      <text>
        <t>Link net cash from operating activities for the same fiscal period.</t>
      </text>
    </comment>
    <comment ref="C5" authorId="0" shapeId="0">
      <text>
        <t>Link net cash from operating activities for the same fiscal period.</t>
      </text>
    </comment>
    <comment ref="D5" authorId="0" shapeId="0">
      <text>
        <t>Link net cash from operating activities for the same fiscal period.</t>
      </text>
    </comment>
    <comment ref="E5" authorId="0" shapeId="0">
      <text>
        <t>Link net cash from operating activities for the same fiscal period.</t>
      </text>
    </comment>
    <comment ref="F5" authorId="0" shapeId="0">
      <text>
        <t>Link net cash from operating activities for the same fiscal period.</t>
      </text>
    </comment>
    <comment ref="B7" authorId="0" shapeId="0">
      <text>
        <t>Compare operating cash flow with reported Net Income.</t>
      </text>
    </comment>
    <comment ref="C7" authorId="0" shapeId="0">
      <text>
        <t>Compare operating cash flow with reported Net Income.</t>
      </text>
    </comment>
    <comment ref="D7" authorId="0" shapeId="0">
      <text>
        <t>Compare operating cash flow with reported Net Income.</t>
      </text>
    </comment>
    <comment ref="E7" authorId="0" shapeId="0">
      <text>
        <t>Compare operating cash flow with reported Net Income.</t>
      </text>
    </comment>
    <comment ref="F7" authorId="0" shapeId="0">
      <text>
        <t>Compare operating cash flow with reported Net Income.</t>
      </text>
    </comment>
    <comment ref="B8" authorId="0" shapeId="0">
      <text>
        <t>Reported Net Income minus operating cash flow.</t>
      </text>
    </comment>
    <comment ref="C8" authorId="0" shapeId="0">
      <text>
        <t>Reported Net Income minus operating cash flow.</t>
      </text>
    </comment>
    <comment ref="D8" authorId="0" shapeId="0">
      <text>
        <t>Reported Net Income minus operating cash flow.</t>
      </text>
    </comment>
    <comment ref="E8" authorId="0" shapeId="0">
      <text>
        <t>Reported Net Income minus operating cash flow.</t>
      </text>
    </comment>
    <comment ref="F8" authorId="0" shapeId="0">
      <text>
        <t>Reported Net Income minus operating cash flow.</t>
      </text>
    </comment>
    <comment ref="C11" authorId="0" shapeId="0">
      <text>
        <t>Average beginning and ending reported total assets.</t>
      </text>
    </comment>
    <comment ref="D11" authorId="0" shapeId="0">
      <text>
        <t>Average beginning and ending reported total assets.</t>
      </text>
    </comment>
    <comment ref="E11" authorId="0" shapeId="0">
      <text>
        <t>Average beginning and ending reported total assets.</t>
      </text>
    </comment>
    <comment ref="F11" authorId="0" shapeId="0">
      <text>
        <t>Average beginning and ending reported total assets.</t>
      </text>
    </comment>
    <comment ref="C12" authorId="0" shapeId="0">
      <text>
        <t>Scale total accruals by average total assets.</t>
      </text>
    </comment>
    <comment ref="D12" authorId="0" shapeId="0">
      <text>
        <t>Scale total accruals by average total assets.</t>
      </text>
    </comment>
    <comment ref="E12" authorId="0" shapeId="0">
      <text>
        <t>Scale total accruals by average total assets.</t>
      </text>
    </comment>
    <comment ref="F12" authorId="0" shapeId="0">
      <text>
        <t>Scale total accruals by average total assets.</t>
      </text>
    </comment>
    <comment ref="C15" authorId="0" shapeId="0">
      <text>
        <t>Current CFO minus prior CFO.</t>
      </text>
    </comment>
    <comment ref="D15" authorId="0" shapeId="0">
      <text>
        <t>Current CFO minus prior CFO.</t>
      </text>
    </comment>
    <comment ref="E15" authorId="0" shapeId="0">
      <text>
        <t>Current CFO minus prior CFO.</t>
      </text>
    </comment>
    <comment ref="F15" authorId="0" shapeId="0">
      <text>
        <t>Current CFO minus prior CFO.</t>
      </text>
    </comment>
    <comment ref="C16" authorId="0" shapeId="0">
      <text>
        <t>Current cash conversion ratio minus prior ratio.</t>
      </text>
    </comment>
    <comment ref="D16" authorId="0" shapeId="0">
      <text>
        <t>Current cash conversion ratio minus prior ratio.</t>
      </text>
    </comment>
    <comment ref="E16" authorId="0" shapeId="0">
      <text>
        <t>Current cash conversion ratio minus prior ratio.</t>
      </text>
    </comment>
    <comment ref="F16" authorId="0" shapeId="0">
      <text>
        <t>Current cash conversion ratio minus prior ratio.</t>
      </text>
    </comment>
    <comment ref="C17" authorId="0" shapeId="0">
      <text>
        <t>Current Total Accruals minus prior Total Accruals.</t>
      </text>
    </comment>
    <comment ref="D17" authorId="0" shapeId="0">
      <text>
        <t>Current Total Accruals minus prior Total Accruals.</t>
      </text>
    </comment>
    <comment ref="E17" authorId="0" shapeId="0">
      <text>
        <t>Current Total Accruals minus prior Total Accruals.</t>
      </text>
    </comment>
    <comment ref="F17" authorId="0" shapeId="0">
      <text>
        <t>Current Total Accruals minus prior Total Accruals.</t>
      </text>
    </comment>
    <comment ref="D18" authorId="0" shapeId="0">
      <text>
        <t>Current accrual ratio minus prior comparable accrual ratio.</t>
      </text>
    </comment>
    <comment ref="E18" authorId="0" shapeId="0">
      <text>
        <t>Current accrual ratio minus prior comparable accrual ratio.</t>
      </text>
    </comment>
    <comment ref="F18" authorId="0" shapeId="0">
      <text>
        <t>Current accrual ratio minus prior comparable accrual ratio.</t>
      </text>
    </comment>
  </commentList>
</comments>
</file>

<file path=xl/comments/comment5.xml><?xml version="1.0" encoding="utf-8"?>
<comments xmlns="http://schemas.openxmlformats.org/spreadsheetml/2006/main">
  <authors>
    <author>BAV Trainer</author>
  </authors>
  <commentList>
    <comment ref="B11" authorId="0" shapeId="0">
      <text>
        <t>OWCA divided by Revenue for the same fiscal period.</t>
      </text>
    </comment>
    <comment ref="C11" authorId="0" shapeId="0">
      <text>
        <t>OWCA divided by Revenue for the same fiscal period.</t>
      </text>
    </comment>
    <comment ref="D11" authorId="0" shapeId="0">
      <text>
        <t>OWCA divided by Revenue for the same fiscal period.</t>
      </text>
    </comment>
    <comment ref="E11" authorId="0" shapeId="0">
      <text>
        <t>OWCA divided by Revenue for the same fiscal period.</t>
      </text>
    </comment>
    <comment ref="F11" authorId="0" shapeId="0">
      <text>
        <t>OWCA divided by Revenue for the same fiscal period.</t>
      </text>
    </comment>
    <comment ref="B12" authorId="0" shapeId="0">
      <text>
        <t>OWCL divided by Revenue for the same fiscal period.</t>
      </text>
    </comment>
    <comment ref="C12" authorId="0" shapeId="0">
      <text>
        <t>OWCL divided by Revenue for the same fiscal period.</t>
      </text>
    </comment>
    <comment ref="D12" authorId="0" shapeId="0">
      <text>
        <t>OWCL divided by Revenue for the same fiscal period.</t>
      </text>
    </comment>
    <comment ref="E12" authorId="0" shapeId="0">
      <text>
        <t>OWCL divided by Revenue for the same fiscal period.</t>
      </text>
    </comment>
    <comment ref="F12" authorId="0" shapeId="0">
      <text>
        <t>OWCL divided by Revenue for the same fiscal period.</t>
      </text>
    </comment>
    <comment ref="B13" authorId="0" shapeId="0">
      <text>
        <t>NOWC divided by Revenue for the same fiscal period.</t>
      </text>
    </comment>
    <comment ref="C13" authorId="0" shapeId="0">
      <text>
        <t>NOWC divided by Revenue for the same fiscal period.</t>
      </text>
    </comment>
    <comment ref="D13" authorId="0" shapeId="0">
      <text>
        <t>NOWC divided by Revenue for the same fiscal period.</t>
      </text>
    </comment>
    <comment ref="E13" authorId="0" shapeId="0">
      <text>
        <t>NOWC divided by Revenue for the same fiscal period.</t>
      </text>
    </comment>
    <comment ref="F13" authorId="0" shapeId="0">
      <text>
        <t>NOWC divided by Revenue for the same fiscal period.</t>
      </text>
    </comment>
    <comment ref="C14" authorId="0" shapeId="0">
      <text>
        <t>Absolute year-on-year change in Revenue.</t>
      </text>
    </comment>
    <comment ref="D14" authorId="0" shapeId="0">
      <text>
        <t>Absolute year-on-year change in Revenue.</t>
      </text>
    </comment>
    <comment ref="E14" authorId="0" shapeId="0">
      <text>
        <t>Absolute year-on-year change in Revenue.</t>
      </text>
    </comment>
    <comment ref="F14" authorId="0" shapeId="0">
      <text>
        <t>Absolute year-on-year change in Revenue.</t>
      </text>
    </comment>
    <comment ref="C15" authorId="0" shapeId="0">
      <text>
        <t>Absolute year-on-year change in NOWC.</t>
      </text>
    </comment>
    <comment ref="D15" authorId="0" shapeId="0">
      <text>
        <t>Absolute year-on-year change in NOWC.</t>
      </text>
    </comment>
    <comment ref="E15" authorId="0" shapeId="0">
      <text>
        <t>Absolute year-on-year change in NOWC.</t>
      </text>
    </comment>
    <comment ref="F15" authorId="0" shapeId="0">
      <text>
        <t>Absolute year-on-year change in NOWC.</t>
      </text>
    </comment>
    <comment ref="C16" authorId="0" shapeId="0">
      <text>
        <t>Change in NOWC divided by Change in Revenue.</t>
      </text>
    </comment>
    <comment ref="D16" authorId="0" shapeId="0">
      <text>
        <t>Change in NOWC divided by Change in Revenue.</t>
      </text>
    </comment>
    <comment ref="E16" authorId="0" shapeId="0">
      <text>
        <t>Change in NOWC divided by Change in Revenue.</t>
      </text>
    </comment>
    <comment ref="F16" authorId="0" shapeId="0">
      <text>
        <t>Change in NOWC divided by Change in Revenue.</t>
      </text>
    </comment>
    <comment ref="C19" authorId="0" shapeId="0">
      <text>
        <t>Absolute year-on-year change in OWCA.</t>
      </text>
    </comment>
    <comment ref="D19" authorId="0" shapeId="0">
      <text>
        <t>Absolute year-on-year change in OWCA.</t>
      </text>
    </comment>
    <comment ref="E19" authorId="0" shapeId="0">
      <text>
        <t>Absolute year-on-year change in OWCA.</t>
      </text>
    </comment>
    <comment ref="F19" authorId="0" shapeId="0">
      <text>
        <t>Absolute year-on-year change in OWCA.</t>
      </text>
    </comment>
    <comment ref="C20" authorId="0" shapeId="0">
      <text>
        <t>Absolute year-on-year change in OWCL.</t>
      </text>
    </comment>
    <comment ref="D20" authorId="0" shapeId="0">
      <text>
        <t>Absolute year-on-year change in OWCL.</t>
      </text>
    </comment>
    <comment ref="E20" authorId="0" shapeId="0">
      <text>
        <t>Absolute year-on-year change in OWCL.</t>
      </text>
    </comment>
    <comment ref="F20" authorId="0" shapeId="0">
      <text>
        <t>Absolute year-on-year change in OWCL.</t>
      </text>
    </comment>
    <comment ref="C21" authorId="0" shapeId="0">
      <text>
        <t>Change in OWCA minus Change in OWCL.</t>
      </text>
    </comment>
    <comment ref="D21" authorId="0" shapeId="0">
      <text>
        <t>Change in OWCA minus Change in OWCL.</t>
      </text>
    </comment>
    <comment ref="E21" authorId="0" shapeId="0">
      <text>
        <t>Change in OWCA minus Change in OWCL.</t>
      </text>
    </comment>
    <comment ref="F21" authorId="0" shapeId="0">
      <text>
        <t>Change in OWCA minus Change in OWCL.</t>
      </text>
    </comment>
    <comment ref="C22" authorId="0" shapeId="0">
      <text>
        <t>Change in OWCA divided by Change in Revenue.</t>
      </text>
    </comment>
    <comment ref="D22" authorId="0" shapeId="0">
      <text>
        <t>Change in OWCA divided by Change in Revenue.</t>
      </text>
    </comment>
    <comment ref="E22" authorId="0" shapeId="0">
      <text>
        <t>Change in OWCA divided by Change in Revenue.</t>
      </text>
    </comment>
    <comment ref="F22" authorId="0" shapeId="0">
      <text>
        <t>Change in OWCA divided by Change in Revenue.</t>
      </text>
    </comment>
    <comment ref="C23" authorId="0" shapeId="0">
      <text>
        <t>Change in OWCL divided by Change in Revenue.</t>
      </text>
    </comment>
    <comment ref="D23" authorId="0" shapeId="0">
      <text>
        <t>Change in OWCL divided by Change in Revenue.</t>
      </text>
    </comment>
    <comment ref="E23" authorId="0" shapeId="0">
      <text>
        <t>Change in OWCL divided by Change in Revenue.</t>
      </text>
    </comment>
    <comment ref="F23" authorId="0" shapeId="0">
      <text>
        <t>Change in OWCL divided by Change in Revenue.</t>
      </text>
    </comment>
  </commentList>
</comments>
</file>

<file path=xl/comments/comment6.xml><?xml version="1.0" encoding="utf-8"?>
<comments xmlns="http://schemas.openxmlformats.org/spreadsheetml/2006/main">
  <authors>
    <author>BAV Trainer</author>
  </authors>
  <commentList>
    <comment ref="B9" authorId="0" shapeId="0">
      <text>
        <t>Earnings numerator / diluted weighted-average shares on the supplied comparable share basis.</t>
      </text>
    </comment>
    <comment ref="C9" authorId="0" shapeId="0">
      <text>
        <t>Earnings numerator / diluted weighted-average shares on the supplied comparable share basis.</t>
      </text>
    </comment>
    <comment ref="D9" authorId="0" shapeId="0">
      <text>
        <t>Earnings numerator / diluted weighted-average shares on the supplied comparable share basis.</t>
      </text>
    </comment>
    <comment ref="E9" authorId="0" shapeId="0">
      <text>
        <t>Earnings numerator / diluted weighted-average shares on the supplied comparable share basis.</t>
      </text>
    </comment>
    <comment ref="F9" authorId="0" shapeId="0">
      <text>
        <t>Earnings numerator / diluted weighted-average shares on the supplied comparable share basis.</t>
      </text>
    </comment>
    <comment ref="B10" authorId="0" shapeId="0">
      <text>
        <t>Historical NOPAT divided by diluted weighted-average shares.</t>
      </text>
    </comment>
    <comment ref="C10" authorId="0" shapeId="0">
      <text>
        <t>Historical NOPAT divided by diluted weighted-average shares.</t>
      </text>
    </comment>
    <comment ref="D10" authorId="0" shapeId="0">
      <text>
        <t>Historical NOPAT divided by diluted weighted-average shares.</t>
      </text>
    </comment>
    <comment ref="E10" authorId="0" shapeId="0">
      <text>
        <t>Historical NOPAT divided by diluted weighted-average shares.</t>
      </text>
    </comment>
    <comment ref="F10" authorId="0" shapeId="0">
      <text>
        <t>Historical NOPAT divided by diluted weighted-average shares.</t>
      </text>
    </comment>
    <comment ref="C12" authorId="0" shapeId="0">
      <text>
        <t>Current comparable-basis Diluted EPS minus prior EPS.</t>
      </text>
    </comment>
    <comment ref="D12" authorId="0" shapeId="0">
      <text>
        <t>Current comparable-basis Diluted EPS minus prior EPS.</t>
      </text>
    </comment>
    <comment ref="E12" authorId="0" shapeId="0">
      <text>
        <t>Current comparable-basis Diluted EPS minus prior EPS.</t>
      </text>
    </comment>
    <comment ref="F12" authorId="0" shapeId="0">
      <text>
        <t>Current comparable-basis Diluted EPS minus prior EPS.</t>
      </text>
    </comment>
    <comment ref="C13" authorId="0" shapeId="0">
      <text>
        <t>Current diluted weighted-average shares minus prior shares.</t>
      </text>
    </comment>
    <comment ref="D13" authorId="0" shapeId="0">
      <text>
        <t>Current diluted weighted-average shares minus prior shares.</t>
      </text>
    </comment>
    <comment ref="E13" authorId="0" shapeId="0">
      <text>
        <t>Current diluted weighted-average shares minus prior shares.</t>
      </text>
    </comment>
    <comment ref="F13" authorId="0" shapeId="0">
      <text>
        <t>Current diluted weighted-average shares minus prior shares.</t>
      </text>
    </comment>
    <comment ref="C16" authorId="0" shapeId="0">
      <text>
        <t>Current per-share earnings numerator minus prior per-share earnings numerator.</t>
      </text>
    </comment>
    <comment ref="D16" authorId="0" shapeId="0">
      <text>
        <t>Current per-share earnings numerator minus prior per-share earnings numerator.</t>
      </text>
    </comment>
    <comment ref="E16" authorId="0" shapeId="0">
      <text>
        <t>Current per-share earnings numerator minus prior per-share earnings numerator.</t>
      </text>
    </comment>
    <comment ref="F16" authorId="0" shapeId="0">
      <text>
        <t>Current per-share earnings numerator minus prior per-share earnings numerator.</t>
      </text>
    </comment>
    <comment ref="C17" authorId="0" shapeId="0">
      <text>
        <t>Change in per-share earnings numerator multiplied by midpoint inverse diluted shares.</t>
      </text>
    </comment>
    <comment ref="D17" authorId="0" shapeId="0">
      <text>
        <t>Change in per-share earnings numerator multiplied by midpoint inverse diluted shares.</t>
      </text>
    </comment>
    <comment ref="E17" authorId="0" shapeId="0">
      <text>
        <t>Change in per-share earnings numerator multiplied by midpoint inverse diluted shares.</t>
      </text>
    </comment>
    <comment ref="F17" authorId="0" shapeId="0">
      <text>
        <t>Change in per-share earnings numerator multiplied by midpoint inverse diluted shares.</t>
      </text>
    </comment>
    <comment ref="C18" authorId="0" shapeId="0">
      <text>
        <t>Change in inverse diluted shares multiplied by midpoint per-share earnings numerator.</t>
      </text>
    </comment>
    <comment ref="D18" authorId="0" shapeId="0">
      <text>
        <t>Change in inverse diluted shares multiplied by midpoint per-share earnings numerator.</t>
      </text>
    </comment>
    <comment ref="E18" authorId="0" shapeId="0">
      <text>
        <t>Change in inverse diluted shares multiplied by midpoint per-share earnings numerator.</t>
      </text>
    </comment>
    <comment ref="F18" authorId="0" shapeId="0">
      <text>
        <t>Change in inverse diluted shares multiplied by midpoint per-share earnings numerator.</t>
      </text>
    </comment>
    <comment ref="C19" authorId="0" shapeId="0">
      <text>
        <t>Earnings Effect plus Share-Count Effect.</t>
      </text>
    </comment>
    <comment ref="D19" authorId="0" shapeId="0">
      <text>
        <t>Earnings Effect plus Share-Count Effect.</t>
      </text>
    </comment>
    <comment ref="E19" authorId="0" shapeId="0">
      <text>
        <t>Earnings Effect plus Share-Count Effect.</t>
      </text>
    </comment>
    <comment ref="F19" authorId="0" shapeId="0">
      <text>
        <t>Earnings Effect plus Share-Count Effect.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22" customWidth="1" min="4" max="4"/>
    <col width="28" customWidth="1" min="5" max="5"/>
    <col width="28" customWidth="1" min="6" max="6"/>
  </cols>
  <sheetData>
    <row r="1">
      <c r="A1" s="11" t="inlineStr">
        <is>
          <t>BAV Excel Trainer</t>
        </is>
      </c>
    </row>
    <row r="2">
      <c r="A2" s="11" t="inlineStr">
        <is>
          <t>Complete each historical model-construction and earnings-quality diagnostic formula schedule left-to-right in dependency order. Run Check to validate the yellow formula cells against the treatment currently selected in Accounting Judgment column F (blank F uses the supplied reference treatment). Generated Condensed Financials classification links are system-controlled and validated by Check—do not edit them or columns D:E. When Normalization Judgment is present, choose Recurring vs Non-recurring in column F (blank uses the supplied reference); Earnings Normalization formulas are checked against that choice. Also complete Accounting Judgment and Normalization Judgment rationale/consequence when cases are present; those responses are not graded by Check. Compare them with the matching Answer Key.</t>
        </is>
      </c>
    </row>
    <row r="3"/>
    <row r="4">
      <c r="A4" s="11" t="inlineStr">
        <is>
          <t>Order</t>
        </is>
      </c>
      <c r="B4" s="11" t="inlineStr">
        <is>
          <t>Schedule</t>
        </is>
      </c>
      <c r="C4" s="11" t="inlineStr">
        <is>
          <t>Period scope</t>
        </is>
      </c>
      <c r="D4" s="11" t="inlineStr">
        <is>
          <t>Tab</t>
        </is>
      </c>
      <c r="E4" s="11" t="inlineStr">
        <is>
          <t>Practice cells</t>
        </is>
      </c>
      <c r="F4" s="11" t="inlineStr">
        <is>
          <t>Depends on</t>
        </is>
      </c>
    </row>
    <row r="5">
      <c r="A5" s="11" t="n">
        <v>1</v>
      </c>
      <c r="B5" s="11" t="inlineStr">
        <is>
          <t>Revenue historical source link</t>
        </is>
      </c>
      <c r="C5" s="11" t="inlineStr">
        <is>
          <t>2021–2025 (5 cells)</t>
        </is>
      </c>
      <c r="D5" s="11" t="inlineStr">
        <is>
          <t>Condensed Financials</t>
        </is>
      </c>
      <c r="E5" s="11" t="inlineStr">
        <is>
          <t>B44:F44</t>
        </is>
      </c>
      <c r="F5" s="11" t="inlineStr">
        <is>
          <t>—</t>
        </is>
      </c>
    </row>
    <row r="6">
      <c r="A6" s="11" t="n">
        <v>2</v>
      </c>
      <c r="B6" s="11" t="inlineStr">
        <is>
          <t>Net Income historical source link</t>
        </is>
      </c>
      <c r="C6" s="11" t="inlineStr">
        <is>
          <t>2021–2025 (5 cells)</t>
        </is>
      </c>
      <c r="D6" s="11" t="inlineStr">
        <is>
          <t>Condensed Financials</t>
        </is>
      </c>
      <c r="E6" s="11" t="inlineStr">
        <is>
          <t>B45:F45</t>
        </is>
      </c>
      <c r="F6" s="11" t="inlineStr">
        <is>
          <t>—</t>
        </is>
      </c>
    </row>
    <row r="7">
      <c r="A7" s="11" t="n">
        <v>3</v>
      </c>
      <c r="B7" s="11" t="inlineStr">
        <is>
          <t>Effective tax rate</t>
        </is>
      </c>
      <c r="C7" s="11" t="inlineStr">
        <is>
          <t>2021–2025 (5 cells)</t>
        </is>
      </c>
      <c r="D7" s="11" t="inlineStr">
        <is>
          <t>Condensed Financials</t>
        </is>
      </c>
      <c r="E7" s="11" t="inlineStr">
        <is>
          <t>B51:F51</t>
        </is>
      </c>
      <c r="F7" s="11" t="inlineStr">
        <is>
          <t>—</t>
        </is>
      </c>
    </row>
    <row r="8">
      <c r="A8" s="11" t="n">
        <v>4</v>
      </c>
      <c r="B8" s="11" t="inlineStr">
        <is>
          <t>Net interest</t>
        </is>
      </c>
      <c r="C8" s="11" t="inlineStr">
        <is>
          <t>2021–2025 (5 cells)</t>
        </is>
      </c>
      <c r="D8" s="11" t="inlineStr">
        <is>
          <t>Condensed Financials</t>
        </is>
      </c>
      <c r="E8" s="11" t="inlineStr">
        <is>
          <t>B52:F52</t>
        </is>
      </c>
      <c r="F8" s="11" t="inlineStr">
        <is>
          <t>—</t>
        </is>
      </c>
    </row>
    <row r="9">
      <c r="A9" s="11" t="n">
        <v>5</v>
      </c>
      <c r="B9" s="11" t="inlineStr">
        <is>
          <t>Net interest after tax</t>
        </is>
      </c>
      <c r="C9" s="11" t="inlineStr">
        <is>
          <t>2021–2025 (5 cells)</t>
        </is>
      </c>
      <c r="D9" s="11" t="inlineStr">
        <is>
          <t>Condensed Financials</t>
        </is>
      </c>
      <c r="E9" s="11" t="inlineStr">
        <is>
          <t>B53:F53</t>
        </is>
      </c>
      <c r="F9" s="11" t="inlineStr">
        <is>
          <t>effective_tax_rate_fy, net_interest_fy</t>
        </is>
      </c>
    </row>
    <row r="10">
      <c r="A10" s="11" t="n">
        <v>6</v>
      </c>
      <c r="B10" s="11" t="inlineStr">
        <is>
          <t>NOPAT</t>
        </is>
      </c>
      <c r="C10" s="11" t="inlineStr">
        <is>
          <t>2021–2025 (5 cells)</t>
        </is>
      </c>
      <c r="D10" s="11" t="inlineStr">
        <is>
          <t>Condensed Financials</t>
        </is>
      </c>
      <c r="E10" s="11" t="inlineStr">
        <is>
          <t>B54:F54</t>
        </is>
      </c>
      <c r="F10" s="11" t="inlineStr">
        <is>
          <t>net_income_link, net_interest_after_tax_fy</t>
        </is>
      </c>
    </row>
    <row r="11">
      <c r="A11" s="11" t="n">
        <v>7</v>
      </c>
      <c r="B11" s="11" t="inlineStr">
        <is>
          <t>Operating working capital assets</t>
        </is>
      </c>
      <c r="C11" s="11" t="inlineStr">
        <is>
          <t>2021–2025 (5 cells)</t>
        </is>
      </c>
      <c r="D11" s="11" t="inlineStr">
        <is>
          <t>Condensed Financials</t>
        </is>
      </c>
      <c r="E11" s="11" t="inlineStr">
        <is>
          <t>B57:F57</t>
        </is>
      </c>
      <c r="F11" s="11" t="inlineStr">
        <is>
          <t>—</t>
        </is>
      </c>
    </row>
    <row r="12">
      <c r="A12" s="11" t="n">
        <v>8</v>
      </c>
      <c r="B12" s="11" t="inlineStr">
        <is>
          <t>Operating working capital liabilities</t>
        </is>
      </c>
      <c r="C12" s="11" t="inlineStr">
        <is>
          <t>2021–2025 (5 cells)</t>
        </is>
      </c>
      <c r="D12" s="11" t="inlineStr">
        <is>
          <t>Condensed Financials</t>
        </is>
      </c>
      <c r="E12" s="11" t="inlineStr">
        <is>
          <t>B58:F58</t>
        </is>
      </c>
      <c r="F12" s="11" t="inlineStr">
        <is>
          <t>—</t>
        </is>
      </c>
    </row>
    <row r="13">
      <c r="A13" s="11" t="n">
        <v>9</v>
      </c>
      <c r="B13" s="11" t="inlineStr">
        <is>
          <t>Net Operating Working Capital (NOWC)</t>
        </is>
      </c>
      <c r="C13" s="11" t="inlineStr">
        <is>
          <t>2021–2025 (5 cells)</t>
        </is>
      </c>
      <c r="D13" s="11" t="inlineStr">
        <is>
          <t>Condensed Financials</t>
        </is>
      </c>
      <c r="E13" s="11" t="inlineStr">
        <is>
          <t>B59:F59</t>
        </is>
      </c>
      <c r="F13" s="11" t="inlineStr">
        <is>
          <t>owca_agg, owcl_agg</t>
        </is>
      </c>
    </row>
    <row r="14">
      <c r="A14" s="11" t="n">
        <v>10</v>
      </c>
      <c r="B14" s="11" t="inlineStr">
        <is>
          <t>Operating long-term assets</t>
        </is>
      </c>
      <c r="C14" s="11" t="inlineStr">
        <is>
          <t>2021–2025 (5 cells)</t>
        </is>
      </c>
      <c r="D14" s="11" t="inlineStr">
        <is>
          <t>Condensed Financials</t>
        </is>
      </c>
      <c r="E14" s="11" t="inlineStr">
        <is>
          <t>B60:F60</t>
        </is>
      </c>
      <c r="F14" s="11" t="inlineStr">
        <is>
          <t>—</t>
        </is>
      </c>
    </row>
    <row r="15">
      <c r="A15" s="11" t="n">
        <v>11</v>
      </c>
      <c r="B15" s="11" t="inlineStr">
        <is>
          <t>Operating long-term liabilities</t>
        </is>
      </c>
      <c r="C15" s="11" t="inlineStr">
        <is>
          <t>2021–2025 (5 cells)</t>
        </is>
      </c>
      <c r="D15" s="11" t="inlineStr">
        <is>
          <t>Condensed Financials</t>
        </is>
      </c>
      <c r="E15" s="11" t="inlineStr">
        <is>
          <t>B61:F61</t>
        </is>
      </c>
      <c r="F15" s="11" t="inlineStr">
        <is>
          <t>—</t>
        </is>
      </c>
    </row>
    <row r="16">
      <c r="A16" s="11" t="n">
        <v>12</v>
      </c>
      <c r="B16" s="11" t="inlineStr">
        <is>
          <t>Net operating long-term assets (NOLA)</t>
        </is>
      </c>
      <c r="C16" s="11" t="inlineStr">
        <is>
          <t>2021–2025 (5 cells)</t>
        </is>
      </c>
      <c r="D16" s="11" t="inlineStr">
        <is>
          <t>Condensed Financials</t>
        </is>
      </c>
      <c r="E16" s="11" t="inlineStr">
        <is>
          <t>B62:F62</t>
        </is>
      </c>
      <c r="F16" s="11" t="inlineStr">
        <is>
          <t>olta_agg, oltl_agg</t>
        </is>
      </c>
    </row>
    <row r="17">
      <c r="A17" s="11" t="n">
        <v>13</v>
      </c>
      <c r="B17" s="11" t="inlineStr">
        <is>
          <t>Net Operating Assets (NOA)</t>
        </is>
      </c>
      <c r="C17" s="11" t="inlineStr">
        <is>
          <t>2021–2025 (5 cells)</t>
        </is>
      </c>
      <c r="D17" s="11" t="inlineStr">
        <is>
          <t>Condensed Financials</t>
        </is>
      </c>
      <c r="E17" s="11" t="inlineStr">
        <is>
          <t>B63:F63</t>
        </is>
      </c>
      <c r="F17" s="11" t="inlineStr">
        <is>
          <t>nowc_agg, nola_agg</t>
        </is>
      </c>
    </row>
    <row r="18">
      <c r="A18" s="11" t="n">
        <v>14</v>
      </c>
      <c r="B18" s="11" t="inlineStr">
        <is>
          <t>Financial assets</t>
        </is>
      </c>
      <c r="C18" s="11" t="inlineStr">
        <is>
          <t>2021–2025 (5 cells)</t>
        </is>
      </c>
      <c r="D18" s="11" t="inlineStr">
        <is>
          <t>Condensed Financials</t>
        </is>
      </c>
      <c r="E18" s="11" t="inlineStr">
        <is>
          <t>B64:F64</t>
        </is>
      </c>
      <c r="F18" s="11" t="inlineStr">
        <is>
          <t>—</t>
        </is>
      </c>
    </row>
    <row r="19">
      <c r="A19" s="11" t="n">
        <v>15</v>
      </c>
      <c r="B19" s="11" t="inlineStr">
        <is>
          <t>Financial liabilities</t>
        </is>
      </c>
      <c r="C19" s="11" t="inlineStr">
        <is>
          <t>2021–2025 (5 cells)</t>
        </is>
      </c>
      <c r="D19" s="11" t="inlineStr">
        <is>
          <t>Condensed Financials</t>
        </is>
      </c>
      <c r="E19" s="11" t="inlineStr">
        <is>
          <t>B65:F65</t>
        </is>
      </c>
      <c r="F19" s="11" t="inlineStr">
        <is>
          <t>—</t>
        </is>
      </c>
    </row>
    <row r="20">
      <c r="A20" s="11" t="n">
        <v>16</v>
      </c>
      <c r="B20" s="11" t="inlineStr">
        <is>
          <t>Net Debt</t>
        </is>
      </c>
      <c r="C20" s="11" t="inlineStr">
        <is>
          <t>2021–2025 (5 cells)</t>
        </is>
      </c>
      <c r="D20" s="11" t="inlineStr">
        <is>
          <t>Condensed Financials</t>
        </is>
      </c>
      <c r="E20" s="11" t="inlineStr">
        <is>
          <t>B66:F66</t>
        </is>
      </c>
      <c r="F20" s="11" t="inlineStr">
        <is>
          <t>financial_assets_agg, financial_liabilities_agg</t>
        </is>
      </c>
    </row>
    <row r="21">
      <c r="A21" s="11" t="n">
        <v>17</v>
      </c>
      <c r="B21" s="11" t="inlineStr">
        <is>
          <t>Reformulated equity</t>
        </is>
      </c>
      <c r="C21" s="11" t="inlineStr">
        <is>
          <t>2021–2025 (5 cells)</t>
        </is>
      </c>
      <c r="D21" s="11" t="inlineStr">
        <is>
          <t>Condensed Financials</t>
        </is>
      </c>
      <c r="E21" s="11" t="inlineStr">
        <is>
          <t>B67:F67</t>
        </is>
      </c>
      <c r="F21" s="11" t="inlineStr">
        <is>
          <t>noa_agg, net_debt</t>
        </is>
      </c>
    </row>
    <row r="22">
      <c r="A22" s="11" t="n">
        <v>18</v>
      </c>
      <c r="B22" s="11" t="inlineStr">
        <is>
          <t>Sales Growth</t>
        </is>
      </c>
      <c r="C22" s="11" t="inlineStr">
        <is>
          <t>2022–2025 (4 cells)</t>
        </is>
      </c>
      <c r="D22" s="11" t="inlineStr">
        <is>
          <t>ALT DuPont</t>
        </is>
      </c>
      <c r="E22" s="11" t="inlineStr">
        <is>
          <t>C5:F5</t>
        </is>
      </c>
      <c r="F22" s="11" t="inlineStr">
        <is>
          <t>revenue_link</t>
        </is>
      </c>
    </row>
    <row r="23">
      <c r="A23" s="11" t="n">
        <v>19</v>
      </c>
      <c r="B23" s="11" t="inlineStr">
        <is>
          <t>NOPAT Margin</t>
        </is>
      </c>
      <c r="C23" s="11" t="inlineStr">
        <is>
          <t>2021–2025 (5 cells)</t>
        </is>
      </c>
      <c r="D23" s="11" t="inlineStr">
        <is>
          <t>ALT DuPont</t>
        </is>
      </c>
      <c r="E23" s="11" t="inlineStr">
        <is>
          <t>B6:F6</t>
        </is>
      </c>
      <c r="F23" s="11" t="inlineStr">
        <is>
          <t>nopat_fy, revenue_link</t>
        </is>
      </c>
    </row>
    <row r="24">
      <c r="A24" s="11" t="n">
        <v>20</v>
      </c>
      <c r="B24" s="11" t="inlineStr">
        <is>
          <t>Return on Net Operating Assets (RNOA)</t>
        </is>
      </c>
      <c r="C24" s="11" t="inlineStr">
        <is>
          <t>2022–2025 (4 cells)</t>
        </is>
      </c>
      <c r="D24" s="11" t="inlineStr">
        <is>
          <t>ALT DuPont</t>
        </is>
      </c>
      <c r="E24" s="11" t="inlineStr">
        <is>
          <t>C7:F7</t>
        </is>
      </c>
      <c r="F24" s="11" t="inlineStr">
        <is>
          <t>nopat_fy, noa_agg</t>
        </is>
      </c>
    </row>
    <row r="25">
      <c r="A25" s="11" t="n">
        <v>21</v>
      </c>
      <c r="B25" s="11" t="inlineStr">
        <is>
          <t>After-tax cost of debt</t>
        </is>
      </c>
      <c r="C25" s="11" t="inlineStr">
        <is>
          <t>2022–2025 (4 cells)</t>
        </is>
      </c>
      <c r="D25" s="11" t="inlineStr">
        <is>
          <t>ALT DuPont</t>
        </is>
      </c>
      <c r="E25" s="11" t="inlineStr">
        <is>
          <t>C8:F8</t>
        </is>
      </c>
      <c r="F25" s="11" t="inlineStr">
        <is>
          <t>net_interest_after_tax_fy, net_debt</t>
        </is>
      </c>
    </row>
    <row r="26">
      <c r="A26" s="11" t="n">
        <v>22</v>
      </c>
      <c r="B26" s="11" t="inlineStr">
        <is>
          <t>Operating Spread (RNOA − After-tax CoD)</t>
        </is>
      </c>
      <c r="C26" s="11" t="inlineStr">
        <is>
          <t>2022–2025 (4 cells)</t>
        </is>
      </c>
      <c r="D26" s="11" t="inlineStr">
        <is>
          <t>ALT DuPont</t>
        </is>
      </c>
      <c r="E26" s="11" t="inlineStr">
        <is>
          <t>C9:F9</t>
        </is>
      </c>
      <c r="F26" s="11" t="inlineStr">
        <is>
          <t>rnoa, after_tax_cod</t>
        </is>
      </c>
    </row>
    <row r="27">
      <c r="A27" s="11" t="n">
        <v>23</v>
      </c>
      <c r="B27" s="11" t="inlineStr">
        <is>
          <t>Financial leverage (FLEV)</t>
        </is>
      </c>
      <c r="C27" s="11" t="inlineStr">
        <is>
          <t>2022–2025 (4 cells)</t>
        </is>
      </c>
      <c r="D27" s="11" t="inlineStr">
        <is>
          <t>ALT DuPont</t>
        </is>
      </c>
      <c r="E27" s="11" t="inlineStr">
        <is>
          <t>C10:F10</t>
        </is>
      </c>
      <c r="F27" s="11" t="inlineStr">
        <is>
          <t>net_debt, equity_reformulated_fy</t>
        </is>
      </c>
    </row>
    <row r="28">
      <c r="A28" s="11" t="n">
        <v>24</v>
      </c>
      <c r="B28" s="11" t="inlineStr">
        <is>
          <t>ROE decomposition</t>
        </is>
      </c>
      <c r="C28" s="11" t="inlineStr">
        <is>
          <t>2022–2025 (4 cells)</t>
        </is>
      </c>
      <c r="D28" s="11" t="inlineStr">
        <is>
          <t>ALT DuPont</t>
        </is>
      </c>
      <c r="E28" s="11" t="inlineStr">
        <is>
          <t>C11:F11</t>
        </is>
      </c>
      <c r="F28" s="11" t="inlineStr">
        <is>
          <t>rnoa, spread, flev</t>
        </is>
      </c>
    </row>
    <row r="29">
      <c r="A29" s="11" t="n">
        <v>25</v>
      </c>
      <c r="B29" s="11" t="inlineStr">
        <is>
          <t>Actual ROE</t>
        </is>
      </c>
      <c r="C29" s="11" t="inlineStr">
        <is>
          <t>2022–2025 (4 cells)</t>
        </is>
      </c>
      <c r="D29" s="11" t="inlineStr">
        <is>
          <t>ALT DuPont</t>
        </is>
      </c>
      <c r="E29" s="11" t="inlineStr">
        <is>
          <t>C12:F12</t>
        </is>
      </c>
      <c r="F29" s="11" t="inlineStr">
        <is>
          <t>net_income_link, equity_reformulated_fy</t>
        </is>
      </c>
    </row>
    <row r="30">
      <c r="A30" s="11" t="n">
        <v>30</v>
      </c>
      <c r="B30" s="11" t="inlineStr">
        <is>
          <t>Operating cash flow historical source link</t>
        </is>
      </c>
      <c r="C30" s="11" t="inlineStr">
        <is>
          <t>2021–2025 (5 cells)</t>
        </is>
      </c>
      <c r="D30" s="11" t="inlineStr">
        <is>
          <t>Earnings Quality</t>
        </is>
      </c>
      <c r="E30" s="11" t="inlineStr">
        <is>
          <t>B5:F5</t>
        </is>
      </c>
      <c r="F30" s="11" t="inlineStr">
        <is>
          <t>—</t>
        </is>
      </c>
    </row>
    <row r="31">
      <c r="A31" s="11" t="n">
        <v>31</v>
      </c>
      <c r="B31" s="11" t="inlineStr">
        <is>
          <t>Cash conversion ratio</t>
        </is>
      </c>
      <c r="C31" s="11" t="inlineStr">
        <is>
          <t>2021–2025 (5 cells)</t>
        </is>
      </c>
      <c r="D31" s="11" t="inlineStr">
        <is>
          <t>Earnings Quality</t>
        </is>
      </c>
      <c r="E31" s="11" t="inlineStr">
        <is>
          <t>B7:F7</t>
        </is>
      </c>
      <c r="F31" s="11" t="inlineStr">
        <is>
          <t>operating_cash_flow_link, net_income_link</t>
        </is>
      </c>
    </row>
    <row r="32">
      <c r="A32" s="11" t="n">
        <v>32</v>
      </c>
      <c r="B32" s="11" t="inlineStr">
        <is>
          <t>Total accruals</t>
        </is>
      </c>
      <c r="C32" s="11" t="inlineStr">
        <is>
          <t>2021–2025 (5 cells)</t>
        </is>
      </c>
      <c r="D32" s="11" t="inlineStr">
        <is>
          <t>Earnings Quality</t>
        </is>
      </c>
      <c r="E32" s="11" t="inlineStr">
        <is>
          <t>B8:F8</t>
        </is>
      </c>
      <c r="F32" s="11" t="inlineStr">
        <is>
          <t>operating_cash_flow_link, net_income_link</t>
        </is>
      </c>
    </row>
    <row r="33">
      <c r="A33" s="11" t="n">
        <v>33</v>
      </c>
      <c r="B33" s="11" t="inlineStr">
        <is>
          <t>Average total assets</t>
        </is>
      </c>
      <c r="C33" s="11" t="inlineStr">
        <is>
          <t>2022–2025 (4 cells)</t>
        </is>
      </c>
      <c r="D33" s="11" t="inlineStr">
        <is>
          <t>Earnings Quality</t>
        </is>
      </c>
      <c r="E33" s="11" t="inlineStr">
        <is>
          <t>C11:F11</t>
        </is>
      </c>
      <c r="F33" s="11" t="inlineStr">
        <is>
          <t>—</t>
        </is>
      </c>
    </row>
    <row r="34">
      <c r="A34" s="11" t="n">
        <v>34</v>
      </c>
      <c r="B34" s="11" t="inlineStr">
        <is>
          <t>Accrual ratio</t>
        </is>
      </c>
      <c r="C34" s="11" t="inlineStr">
        <is>
          <t>2022–2025 (4 cells)</t>
        </is>
      </c>
      <c r="D34" s="11" t="inlineStr">
        <is>
          <t>Earnings Quality</t>
        </is>
      </c>
      <c r="E34" s="11" t="inlineStr">
        <is>
          <t>C12:F12</t>
        </is>
      </c>
      <c r="F34" s="11" t="inlineStr">
        <is>
          <t>total_accruals, average_total_assets</t>
        </is>
      </c>
    </row>
    <row r="35">
      <c r="A35" s="11" t="n">
        <v>35</v>
      </c>
      <c r="B35" s="11" t="inlineStr">
        <is>
          <t>Operating working capital assets / Revenue</t>
        </is>
      </c>
      <c r="C35" s="11" t="inlineStr">
        <is>
          <t>2021–2025 (5 cells)</t>
        </is>
      </c>
      <c r="D35" s="11" t="inlineStr">
        <is>
          <t>Working Capital Analysis</t>
        </is>
      </c>
      <c r="E35" s="11" t="inlineStr">
        <is>
          <t>B11:F11</t>
        </is>
      </c>
      <c r="F35" s="11" t="inlineStr">
        <is>
          <t>—</t>
        </is>
      </c>
    </row>
    <row r="36">
      <c r="A36" s="11" t="n">
        <v>36</v>
      </c>
      <c r="B36" s="11" t="inlineStr">
        <is>
          <t>Operating working capital liabilities / Revenue</t>
        </is>
      </c>
      <c r="C36" s="11" t="inlineStr">
        <is>
          <t>2021–2025 (5 cells)</t>
        </is>
      </c>
      <c r="D36" s="11" t="inlineStr">
        <is>
          <t>Working Capital Analysis</t>
        </is>
      </c>
      <c r="E36" s="11" t="inlineStr">
        <is>
          <t>B12:F12</t>
        </is>
      </c>
      <c r="F36" s="11" t="inlineStr">
        <is>
          <t>—</t>
        </is>
      </c>
    </row>
    <row r="37">
      <c r="A37" s="11" t="n">
        <v>37</v>
      </c>
      <c r="B37" s="11" t="inlineStr">
        <is>
          <t>NOWC / Revenue</t>
        </is>
      </c>
      <c r="C37" s="11" t="inlineStr">
        <is>
          <t>2021–2025 (5 cells)</t>
        </is>
      </c>
      <c r="D37" s="11" t="inlineStr">
        <is>
          <t>Working Capital Analysis</t>
        </is>
      </c>
      <c r="E37" s="11" t="inlineStr">
        <is>
          <t>B13:F13</t>
        </is>
      </c>
      <c r="F37" s="11" t="inlineStr">
        <is>
          <t>—</t>
        </is>
      </c>
    </row>
    <row r="38">
      <c r="A38" s="11" t="n">
        <v>38</v>
      </c>
      <c r="B38" s="11" t="inlineStr">
        <is>
          <t>Change in Revenue</t>
        </is>
      </c>
      <c r="C38" s="11" t="inlineStr">
        <is>
          <t>2022–2025 (4 cells)</t>
        </is>
      </c>
      <c r="D38" s="11" t="inlineStr">
        <is>
          <t>Working Capital Analysis</t>
        </is>
      </c>
      <c r="E38" s="11" t="inlineStr">
        <is>
          <t>C14:F14</t>
        </is>
      </c>
      <c r="F38" s="11" t="inlineStr">
        <is>
          <t>—</t>
        </is>
      </c>
    </row>
    <row r="39">
      <c r="A39" s="11" t="n">
        <v>39</v>
      </c>
      <c r="B39" s="11" t="inlineStr">
        <is>
          <t>Change in NOWC</t>
        </is>
      </c>
      <c r="C39" s="11" t="inlineStr">
        <is>
          <t>2022–2025 (4 cells)</t>
        </is>
      </c>
      <c r="D39" s="11" t="inlineStr">
        <is>
          <t>Working Capital Analysis</t>
        </is>
      </c>
      <c r="E39" s="11" t="inlineStr">
        <is>
          <t>C15:F15</t>
        </is>
      </c>
      <c r="F39" s="11" t="inlineStr">
        <is>
          <t>—</t>
        </is>
      </c>
    </row>
    <row r="40">
      <c r="A40" s="11" t="n">
        <v>40</v>
      </c>
      <c r="B40" s="11" t="inlineStr">
        <is>
          <t>Incremental NOWC / Change in Revenue</t>
        </is>
      </c>
      <c r="C40" s="11" t="inlineStr">
        <is>
          <t>2022–2025 (4 cells)</t>
        </is>
      </c>
      <c r="D40" s="11" t="inlineStr">
        <is>
          <t>Working Capital Analysis</t>
        </is>
      </c>
      <c r="E40" s="11" t="inlineStr">
        <is>
          <t>C16:F16</t>
        </is>
      </c>
      <c r="F40" s="11" t="inlineStr">
        <is>
          <t>nowc_change, revenue_change</t>
        </is>
      </c>
    </row>
    <row r="41">
      <c r="A41" s="11" t="n">
        <v>41</v>
      </c>
      <c r="B41" s="11" t="inlineStr">
        <is>
          <t>Change in Operating Working Capital Assets</t>
        </is>
      </c>
      <c r="C41" s="11" t="inlineStr">
        <is>
          <t>2022–2025 (4 cells)</t>
        </is>
      </c>
      <c r="D41" s="11" t="inlineStr">
        <is>
          <t>Working Capital Analysis</t>
        </is>
      </c>
      <c r="E41" s="11" t="inlineStr">
        <is>
          <t>C19:F19</t>
        </is>
      </c>
      <c r="F41" s="11" t="inlineStr">
        <is>
          <t>owca_agg</t>
        </is>
      </c>
    </row>
    <row r="42">
      <c r="A42" s="11" t="n">
        <v>42</v>
      </c>
      <c r="B42" s="11" t="inlineStr">
        <is>
          <t>Change in Operating Working Capital Liabilities</t>
        </is>
      </c>
      <c r="C42" s="11" t="inlineStr">
        <is>
          <t>2022–2025 (4 cells)</t>
        </is>
      </c>
      <c r="D42" s="11" t="inlineStr">
        <is>
          <t>Working Capital Analysis</t>
        </is>
      </c>
      <c r="E42" s="11" t="inlineStr">
        <is>
          <t>C20:F20</t>
        </is>
      </c>
      <c r="F42" s="11" t="inlineStr">
        <is>
          <t>owcl_agg</t>
        </is>
      </c>
    </row>
    <row r="43">
      <c r="A43" s="11" t="n">
        <v>43</v>
      </c>
      <c r="B43" s="11" t="inlineStr">
        <is>
          <t>Change in NOWC from OWCA / OWCL bridge</t>
        </is>
      </c>
      <c r="C43" s="11" t="inlineStr">
        <is>
          <t>2022–2025 (4 cells)</t>
        </is>
      </c>
      <c r="D43" s="11" t="inlineStr">
        <is>
          <t>Working Capital Analysis</t>
        </is>
      </c>
      <c r="E43" s="11" t="inlineStr">
        <is>
          <t>C21:F21</t>
        </is>
      </c>
      <c r="F43" s="11" t="inlineStr">
        <is>
          <t>owca_change, owcl_change</t>
        </is>
      </c>
    </row>
    <row r="44">
      <c r="A44" s="11" t="n">
        <v>44</v>
      </c>
      <c r="B44" s="11" t="inlineStr">
        <is>
          <t>Incremental OWCA / Change in Revenue</t>
        </is>
      </c>
      <c r="C44" s="11" t="inlineStr">
        <is>
          <t>2022–2025 (4 cells)</t>
        </is>
      </c>
      <c r="D44" s="11" t="inlineStr">
        <is>
          <t>Working Capital Analysis</t>
        </is>
      </c>
      <c r="E44" s="11" t="inlineStr">
        <is>
          <t>C22:F22</t>
        </is>
      </c>
      <c r="F44" s="11" t="inlineStr">
        <is>
          <t>owca_change, revenue_change</t>
        </is>
      </c>
    </row>
    <row r="45">
      <c r="A45" s="11" t="n">
        <v>45</v>
      </c>
      <c r="B45" s="11" t="inlineStr">
        <is>
          <t>Incremental OWCL / Change in Revenue</t>
        </is>
      </c>
      <c r="C45" s="11" t="inlineStr">
        <is>
          <t>2022–2025 (4 cells)</t>
        </is>
      </c>
      <c r="D45" s="11" t="inlineStr">
        <is>
          <t>Working Capital Analysis</t>
        </is>
      </c>
      <c r="E45" s="11" t="inlineStr">
        <is>
          <t>C23:F23</t>
        </is>
      </c>
      <c r="F45" s="11" t="inlineStr">
        <is>
          <t>owcl_change, revenue_change</t>
        </is>
      </c>
    </row>
    <row r="46">
      <c r="A46" s="11" t="n">
        <v>46</v>
      </c>
      <c r="B46" s="11" t="inlineStr">
        <is>
          <t>Average Net Operating Assets</t>
        </is>
      </c>
      <c r="C46" s="11" t="inlineStr">
        <is>
          <t>2022–2025 (4 cells)</t>
        </is>
      </c>
      <c r="D46" s="11" t="inlineStr">
        <is>
          <t>ALT DuPont</t>
        </is>
      </c>
      <c r="E46" s="11" t="inlineStr">
        <is>
          <t>C15:F15</t>
        </is>
      </c>
      <c r="F46" s="11" t="inlineStr">
        <is>
          <t>noa_agg</t>
        </is>
      </c>
    </row>
    <row r="47">
      <c r="A47" s="11" t="n">
        <v>47</v>
      </c>
      <c r="B47" s="11" t="inlineStr">
        <is>
          <t>Net Operating Asset Turnover</t>
        </is>
      </c>
      <c r="C47" s="11" t="inlineStr">
        <is>
          <t>2022–2025 (4 cells)</t>
        </is>
      </c>
      <c r="D47" s="11" t="inlineStr">
        <is>
          <t>ALT DuPont</t>
        </is>
      </c>
      <c r="E47" s="11" t="inlineStr">
        <is>
          <t>C16:F16</t>
        </is>
      </c>
      <c r="F47" s="11" t="inlineStr">
        <is>
          <t>revenue_link, average_noa</t>
        </is>
      </c>
    </row>
    <row r="48">
      <c r="A48" s="11" t="n">
        <v>48</v>
      </c>
      <c r="B48" s="11" t="inlineStr">
        <is>
          <t>Net Operating Asset Intensity</t>
        </is>
      </c>
      <c r="C48" s="11" t="inlineStr">
        <is>
          <t>2022–2025 (4 cells)</t>
        </is>
      </c>
      <c r="D48" s="11" t="inlineStr">
        <is>
          <t>ALT DuPont</t>
        </is>
      </c>
      <c r="E48" s="11" t="inlineStr">
        <is>
          <t>C17:F17</t>
        </is>
      </c>
      <c r="F48" s="11" t="inlineStr">
        <is>
          <t>average_noa, revenue_link</t>
        </is>
      </c>
    </row>
    <row r="49">
      <c r="A49" s="11" t="n">
        <v>49</v>
      </c>
      <c r="B49" s="11" t="inlineStr">
        <is>
          <t>RNOA from Margin × Turnover</t>
        </is>
      </c>
      <c r="C49" s="11" t="inlineStr">
        <is>
          <t>2022–2025 (4 cells)</t>
        </is>
      </c>
      <c r="D49" s="11" t="inlineStr">
        <is>
          <t>ALT DuPont</t>
        </is>
      </c>
      <c r="E49" s="11" t="inlineStr">
        <is>
          <t>C18:F18</t>
        </is>
      </c>
      <c r="F49" s="11" t="inlineStr">
        <is>
          <t>nopat_margin, noa_turnover</t>
        </is>
      </c>
    </row>
    <row r="50">
      <c r="A50" s="11" t="n">
        <v>50</v>
      </c>
      <c r="B50" s="11" t="inlineStr">
        <is>
          <t>Change in NOPAT Margin</t>
        </is>
      </c>
      <c r="C50" s="11" t="inlineStr">
        <is>
          <t>2023–2025 (3 cells)</t>
        </is>
      </c>
      <c r="D50" s="11" t="inlineStr">
        <is>
          <t>ALT DuPont</t>
        </is>
      </c>
      <c r="E50" s="11" t="inlineStr">
        <is>
          <t>D22:F22</t>
        </is>
      </c>
      <c r="F50" s="11" t="inlineStr">
        <is>
          <t>nopat_margin</t>
        </is>
      </c>
    </row>
    <row r="51">
      <c r="A51" s="11" t="n">
        <v>51</v>
      </c>
      <c r="B51" s="11" t="inlineStr">
        <is>
          <t>Change in NOA Turnover</t>
        </is>
      </c>
      <c r="C51" s="11" t="inlineStr">
        <is>
          <t>2023–2025 (3 cells)</t>
        </is>
      </c>
      <c r="D51" s="11" t="inlineStr">
        <is>
          <t>ALT DuPont</t>
        </is>
      </c>
      <c r="E51" s="11" t="inlineStr">
        <is>
          <t>D23:F23</t>
        </is>
      </c>
      <c r="F51" s="11" t="inlineStr">
        <is>
          <t>noa_turnover</t>
        </is>
      </c>
    </row>
    <row r="52">
      <c r="A52" s="11" t="n">
        <v>52</v>
      </c>
      <c r="B52" s="11" t="inlineStr">
        <is>
          <t>Direct Change in RNOA</t>
        </is>
      </c>
      <c r="C52" s="11" t="inlineStr">
        <is>
          <t>2023–2025 (3 cells)</t>
        </is>
      </c>
      <c r="D52" s="11" t="inlineStr">
        <is>
          <t>ALT DuPont</t>
        </is>
      </c>
      <c r="E52" s="11" t="inlineStr">
        <is>
          <t>D24:F24</t>
        </is>
      </c>
      <c r="F52" s="11" t="inlineStr">
        <is>
          <t>rnoa</t>
        </is>
      </c>
    </row>
    <row r="53">
      <c r="A53" s="11" t="n">
        <v>53</v>
      </c>
      <c r="B53" s="11" t="inlineStr">
        <is>
          <t>Margin Effect on Change in RNOA</t>
        </is>
      </c>
      <c r="C53" s="11" t="inlineStr">
        <is>
          <t>2023–2025 (3 cells)</t>
        </is>
      </c>
      <c r="D53" s="11" t="inlineStr">
        <is>
          <t>ALT DuPont</t>
        </is>
      </c>
      <c r="E53" s="11" t="inlineStr">
        <is>
          <t>D25:F25</t>
        </is>
      </c>
      <c r="F53" s="11" t="inlineStr">
        <is>
          <t>nopat_margin_change, noa_turnover</t>
        </is>
      </c>
    </row>
    <row r="54">
      <c r="A54" s="11" t="n">
        <v>54</v>
      </c>
      <c r="B54" s="11" t="inlineStr">
        <is>
          <t>Turnover Effect on Change in RNOA</t>
        </is>
      </c>
      <c r="C54" s="11" t="inlineStr">
        <is>
          <t>2023–2025 (3 cells)</t>
        </is>
      </c>
      <c r="D54" s="11" t="inlineStr">
        <is>
          <t>ALT DuPont</t>
        </is>
      </c>
      <c r="E54" s="11" t="inlineStr">
        <is>
          <t>D26:F26</t>
        </is>
      </c>
      <c r="F54" s="11" t="inlineStr">
        <is>
          <t>noa_turnover_change, nopat_margin</t>
        </is>
      </c>
    </row>
    <row r="55">
      <c r="A55" s="11" t="n">
        <v>55</v>
      </c>
      <c r="B55" s="11" t="inlineStr">
        <is>
          <t>Change in RNOA from Margin + Turnover Effects</t>
        </is>
      </c>
      <c r="C55" s="11" t="inlineStr">
        <is>
          <t>2023–2025 (3 cells)</t>
        </is>
      </c>
      <c r="D55" s="11" t="inlineStr">
        <is>
          <t>ALT DuPont</t>
        </is>
      </c>
      <c r="E55" s="11" t="inlineStr">
        <is>
          <t>D27:F27</t>
        </is>
      </c>
      <c r="F55" s="11" t="inlineStr">
        <is>
          <t>rnoa_margin_effect, rnoa_turnover_effect</t>
        </is>
      </c>
    </row>
    <row r="56">
      <c r="A56" s="11" t="n">
        <v>56</v>
      </c>
      <c r="B56" s="11" t="inlineStr">
        <is>
          <t>Financing Contribution to ROE</t>
        </is>
      </c>
      <c r="C56" s="11" t="inlineStr">
        <is>
          <t>2022–2025 (4 cells)</t>
        </is>
      </c>
      <c r="D56" s="11" t="inlineStr">
        <is>
          <t>ALT DuPont</t>
        </is>
      </c>
      <c r="E56" s="11" t="inlineStr">
        <is>
          <t>C31:F31</t>
        </is>
      </c>
      <c r="F56" s="11" t="inlineStr">
        <is>
          <t>flev, spread</t>
        </is>
      </c>
    </row>
    <row r="57">
      <c r="A57" s="11" t="n">
        <v>57</v>
      </c>
      <c r="B57" s="11" t="inlineStr">
        <is>
          <t>Direct Change in Decomposed ROE</t>
        </is>
      </c>
      <c r="C57" s="11" t="inlineStr">
        <is>
          <t>2023–2025 (3 cells)</t>
        </is>
      </c>
      <c r="D57" s="11" t="inlineStr">
        <is>
          <t>ALT DuPont</t>
        </is>
      </c>
      <c r="E57" s="11" t="inlineStr">
        <is>
          <t>D35:F35</t>
        </is>
      </c>
      <c r="F57" s="11" t="inlineStr">
        <is>
          <t>roe_decomp</t>
        </is>
      </c>
    </row>
    <row r="58">
      <c r="A58" s="11" t="n">
        <v>58</v>
      </c>
      <c r="B58" s="11" t="inlineStr">
        <is>
          <t>Operating Effect on Change in ROE</t>
        </is>
      </c>
      <c r="C58" s="11" t="inlineStr">
        <is>
          <t>2023–2025 (3 cells)</t>
        </is>
      </c>
      <c r="D58" s="11" t="inlineStr">
        <is>
          <t>ALT DuPont</t>
        </is>
      </c>
      <c r="E58" s="11" t="inlineStr">
        <is>
          <t>D36:F36</t>
        </is>
      </c>
      <c r="F58" s="11" t="inlineStr">
        <is>
          <t>rnoa_change</t>
        </is>
      </c>
    </row>
    <row r="59">
      <c r="A59" s="11" t="n">
        <v>59</v>
      </c>
      <c r="B59" s="11" t="inlineStr">
        <is>
          <t>Leverage Effect on Change in ROE</t>
        </is>
      </c>
      <c r="C59" s="11" t="inlineStr">
        <is>
          <t>2023–2025 (3 cells)</t>
        </is>
      </c>
      <c r="D59" s="11" t="inlineStr">
        <is>
          <t>ALT DuPont</t>
        </is>
      </c>
      <c r="E59" s="11" t="inlineStr">
        <is>
          <t>D37:F37</t>
        </is>
      </c>
      <c r="F59" s="11" t="inlineStr">
        <is>
          <t>flev, spread</t>
        </is>
      </c>
    </row>
    <row r="60">
      <c r="A60" s="11" t="n">
        <v>60</v>
      </c>
      <c r="B60" s="11" t="inlineStr">
        <is>
          <t>Spread Effect on Change in ROE</t>
        </is>
      </c>
      <c r="C60" s="11" t="inlineStr">
        <is>
          <t>2023–2025 (3 cells)</t>
        </is>
      </c>
      <c r="D60" s="11" t="inlineStr">
        <is>
          <t>ALT DuPont</t>
        </is>
      </c>
      <c r="E60" s="11" t="inlineStr">
        <is>
          <t>D38:F38</t>
        </is>
      </c>
      <c r="F60" s="11" t="inlineStr">
        <is>
          <t>spread, flev</t>
        </is>
      </c>
    </row>
    <row r="61">
      <c r="A61" s="11" t="n">
        <v>61</v>
      </c>
      <c r="B61" s="11" t="inlineStr">
        <is>
          <t>Financing Effect on Change in ROE</t>
        </is>
      </c>
      <c r="C61" s="11" t="inlineStr">
        <is>
          <t>2023–2025 (3 cells)</t>
        </is>
      </c>
      <c r="D61" s="11" t="inlineStr">
        <is>
          <t>ALT DuPont</t>
        </is>
      </c>
      <c r="E61" s="11" t="inlineStr">
        <is>
          <t>D39:F39</t>
        </is>
      </c>
      <c r="F61" s="11" t="inlineStr">
        <is>
          <t>leverage_effect_on_roe_change, spread_effect_on_roe_change</t>
        </is>
      </c>
    </row>
    <row r="62">
      <c r="A62" s="11" t="n">
        <v>62</v>
      </c>
      <c r="B62" s="11" t="inlineStr">
        <is>
          <t>Change in ROE from Operating + Financing Drivers</t>
        </is>
      </c>
      <c r="C62" s="11" t="inlineStr">
        <is>
          <t>2023–2025 (3 cells)</t>
        </is>
      </c>
      <c r="D62" s="11" t="inlineStr">
        <is>
          <t>ALT DuPont</t>
        </is>
      </c>
      <c r="E62" s="11" t="inlineStr">
        <is>
          <t>D40:F40</t>
        </is>
      </c>
      <c r="F62" s="11" t="inlineStr">
        <is>
          <t>operating_effect_on_roe_change, financing_effect_on_roe_change</t>
        </is>
      </c>
    </row>
    <row r="63">
      <c r="A63" s="11" t="n">
        <v>63</v>
      </c>
      <c r="B63" s="11" t="inlineStr">
        <is>
          <t>Change in Operating Cash Flow</t>
        </is>
      </c>
      <c r="C63" s="11" t="inlineStr">
        <is>
          <t>2022–2025 (4 cells)</t>
        </is>
      </c>
      <c r="D63" s="11" t="inlineStr">
        <is>
          <t>Earnings Quality</t>
        </is>
      </c>
      <c r="E63" s="11" t="inlineStr">
        <is>
          <t>C15:F15</t>
        </is>
      </c>
      <c r="F63" s="11" t="inlineStr">
        <is>
          <t>operating_cash_flow_link</t>
        </is>
      </c>
    </row>
    <row r="64">
      <c r="A64" s="11" t="n">
        <v>64</v>
      </c>
      <c r="B64" s="11" t="inlineStr">
        <is>
          <t>Change in Cash Conversion Ratio</t>
        </is>
      </c>
      <c r="C64" s="11" t="inlineStr">
        <is>
          <t>2022–2025 (4 cells)</t>
        </is>
      </c>
      <c r="D64" s="11" t="inlineStr">
        <is>
          <t>Earnings Quality</t>
        </is>
      </c>
      <c r="E64" s="11" t="inlineStr">
        <is>
          <t>C16:F16</t>
        </is>
      </c>
      <c r="F64" s="11" t="inlineStr">
        <is>
          <t>cash_conversion_ratio</t>
        </is>
      </c>
    </row>
    <row r="65">
      <c r="A65" s="11" t="n">
        <v>65</v>
      </c>
      <c r="B65" s="11" t="inlineStr">
        <is>
          <t>Change in Total Accruals</t>
        </is>
      </c>
      <c r="C65" s="11" t="inlineStr">
        <is>
          <t>2022–2025 (4 cells)</t>
        </is>
      </c>
      <c r="D65" s="11" t="inlineStr">
        <is>
          <t>Earnings Quality</t>
        </is>
      </c>
      <c r="E65" s="11" t="inlineStr">
        <is>
          <t>C17:F17</t>
        </is>
      </c>
      <c r="F65" s="11" t="inlineStr">
        <is>
          <t>total_accruals</t>
        </is>
      </c>
    </row>
    <row r="66">
      <c r="A66" s="11" t="n">
        <v>66</v>
      </c>
      <c r="B66" s="11" t="inlineStr">
        <is>
          <t>Change in Accrual Ratio</t>
        </is>
      </c>
      <c r="C66" s="11" t="inlineStr">
        <is>
          <t>2023–2025 (3 cells)</t>
        </is>
      </c>
      <c r="D66" s="11" t="inlineStr">
        <is>
          <t>Earnings Quality</t>
        </is>
      </c>
      <c r="E66" s="11" t="inlineStr">
        <is>
          <t>D18:F18</t>
        </is>
      </c>
      <c r="F66" s="11" t="inlineStr">
        <is>
          <t>accrual_ratio</t>
        </is>
      </c>
    </row>
    <row r="67">
      <c r="A67" s="11" t="n">
        <v>67</v>
      </c>
      <c r="B67" s="11" t="inlineStr">
        <is>
          <t>Diluted EPS (Comparable Basis)</t>
        </is>
      </c>
      <c r="C67" s="11" t="inlineStr">
        <is>
          <t>2021–2025 (5 cells)</t>
        </is>
      </c>
      <c r="D67" s="11" t="inlineStr">
        <is>
          <t>Per Share Analysis</t>
        </is>
      </c>
      <c r="E67" s="11" t="inlineStr">
        <is>
          <t>B9:F9</t>
        </is>
      </c>
      <c r="F67" s="11" t="inlineStr">
        <is>
          <t>net_income_link</t>
        </is>
      </c>
    </row>
    <row r="68">
      <c r="A68" s="11" t="n">
        <v>68</v>
      </c>
      <c r="B68" s="11" t="inlineStr">
        <is>
          <t>NOPAT per Diluted Share</t>
        </is>
      </c>
      <c r="C68" s="11" t="inlineStr">
        <is>
          <t>2021–2025 (5 cells)</t>
        </is>
      </c>
      <c r="D68" s="11" t="inlineStr">
        <is>
          <t>Per Share Analysis</t>
        </is>
      </c>
      <c r="E68" s="11" t="inlineStr">
        <is>
          <t>B10:F10</t>
        </is>
      </c>
      <c r="F68" s="11" t="inlineStr">
        <is>
          <t>nopat_fy</t>
        </is>
      </c>
    </row>
    <row r="69">
      <c r="A69" s="11" t="n">
        <v>69</v>
      </c>
      <c r="B69" s="11" t="inlineStr">
        <is>
          <t>Change in Diluted EPS</t>
        </is>
      </c>
      <c r="C69" s="11" t="inlineStr">
        <is>
          <t>2022–2025 (4 cells)</t>
        </is>
      </c>
      <c r="D69" s="11" t="inlineStr">
        <is>
          <t>Per Share Analysis</t>
        </is>
      </c>
      <c r="E69" s="11" t="inlineStr">
        <is>
          <t>C12:F12</t>
        </is>
      </c>
      <c r="F69" s="11" t="inlineStr">
        <is>
          <t>reported_diluted_eps</t>
        </is>
      </c>
    </row>
    <row r="70">
      <c r="A70" s="11" t="n">
        <v>70</v>
      </c>
      <c r="B70" s="11" t="inlineStr">
        <is>
          <t>Change in Diluted Weighted-Average Shares</t>
        </is>
      </c>
      <c r="C70" s="11" t="inlineStr">
        <is>
          <t>2022–2025 (4 cells)</t>
        </is>
      </c>
      <c r="D70" s="11" t="inlineStr">
        <is>
          <t>Per Share Analysis</t>
        </is>
      </c>
      <c r="E70" s="11" t="inlineStr">
        <is>
          <t>C13:F13</t>
        </is>
      </c>
      <c r="F70" s="11" t="inlineStr">
        <is>
          <t>—</t>
        </is>
      </c>
    </row>
    <row r="71">
      <c r="A71" s="11" t="n">
        <v>71</v>
      </c>
      <c r="B71" s="11" t="inlineStr">
        <is>
          <t>Change in Per-Share Earnings Numerator</t>
        </is>
      </c>
      <c r="C71" s="11" t="inlineStr">
        <is>
          <t>2022–2025 (4 cells)</t>
        </is>
      </c>
      <c r="D71" s="11" t="inlineStr">
        <is>
          <t>Per Share Analysis</t>
        </is>
      </c>
      <c r="E71" s="11" t="inlineStr">
        <is>
          <t>C16:F16</t>
        </is>
      </c>
      <c r="F71" s="11" t="inlineStr">
        <is>
          <t>net_income_link</t>
        </is>
      </c>
    </row>
    <row r="72">
      <c r="A72" s="11" t="n">
        <v>72</v>
      </c>
      <c r="B72" s="11" t="inlineStr">
        <is>
          <t>Earnings Effect on Change in Diluted EPS</t>
        </is>
      </c>
      <c r="C72" s="11" t="inlineStr">
        <is>
          <t>2022–2025 (4 cells)</t>
        </is>
      </c>
      <c r="D72" s="11" t="inlineStr">
        <is>
          <t>Per Share Analysis</t>
        </is>
      </c>
      <c r="E72" s="11" t="inlineStr">
        <is>
          <t>C17:F17</t>
        </is>
      </c>
      <c r="F72" s="11" t="inlineStr">
        <is>
          <t>reported_net_income_change</t>
        </is>
      </c>
    </row>
    <row r="73">
      <c r="A73" s="11" t="n">
        <v>73</v>
      </c>
      <c r="B73" s="11" t="inlineStr">
        <is>
          <t>Share-Count Effect on Change in Diluted EPS</t>
        </is>
      </c>
      <c r="C73" s="11" t="inlineStr">
        <is>
          <t>2022–2025 (4 cells)</t>
        </is>
      </c>
      <c r="D73" s="11" t="inlineStr">
        <is>
          <t>Per Share Analysis</t>
        </is>
      </c>
      <c r="E73" s="11" t="inlineStr">
        <is>
          <t>C18:F18</t>
        </is>
      </c>
      <c r="F73" s="11" t="inlineStr">
        <is>
          <t>diluted_share_count_change, net_income_link</t>
        </is>
      </c>
    </row>
    <row r="74">
      <c r="A74" s="11" t="n">
        <v>74</v>
      </c>
      <c r="B74" s="11" t="inlineStr">
        <is>
          <t>Change in Diluted EPS from Earnings + Share-Count Effects</t>
        </is>
      </c>
      <c r="C74" s="11" t="inlineStr">
        <is>
          <t>2022–2025 (4 cells)</t>
        </is>
      </c>
      <c r="D74" s="11" t="inlineStr">
        <is>
          <t>Per Share Analysis</t>
        </is>
      </c>
      <c r="E74" s="11" t="inlineStr">
        <is>
          <t>C19:F19</t>
        </is>
      </c>
      <c r="F74" s="11" t="inlineStr">
        <is>
          <t>earnings_effect_on_diluted_eps_change, share_count_effect_on_diluted_eps_change</t>
        </is>
      </c>
    </row>
    <row r="75">
      <c r="A75" s="11" t="n">
        <v>79</v>
      </c>
      <c r="B75" s="11" t="inlineStr">
        <is>
          <t>Property, Plant &amp; Equipment</t>
        </is>
      </c>
      <c r="C75" s="11" t="inlineStr">
        <is>
          <t>2021–2025 (5 cells)</t>
        </is>
      </c>
      <c r="D75" s="11" t="inlineStr">
        <is>
          <t>ALT DuPont</t>
        </is>
      </c>
      <c r="E75" s="11" t="inlineStr">
        <is>
          <t>B44:F44</t>
        </is>
      </c>
      <c r="F75" s="11" t="inlineStr">
        <is>
          <t>—</t>
        </is>
      </c>
    </row>
    <row r="76">
      <c r="A76" s="11" t="n">
        <v>80</v>
      </c>
      <c r="B76" s="11" t="inlineStr">
        <is>
          <t>Depreciation &amp; Amortisation</t>
        </is>
      </c>
      <c r="C76" s="11" t="inlineStr">
        <is>
          <t>2021–2025 (5 cells)</t>
        </is>
      </c>
      <c r="D76" s="11" t="inlineStr">
        <is>
          <t>ALT DuPont</t>
        </is>
      </c>
      <c r="E76" s="11" t="inlineStr">
        <is>
          <t>B45:F45</t>
        </is>
      </c>
      <c r="F76" s="11" t="inlineStr">
        <is>
          <t>—</t>
        </is>
      </c>
    </row>
    <row r="77">
      <c r="A77" s="11" t="n">
        <v>81</v>
      </c>
      <c r="B77" s="11" t="inlineStr">
        <is>
          <t>Average PP&amp;E</t>
        </is>
      </c>
      <c r="C77" s="11" t="inlineStr">
        <is>
          <t>2022–2025 (4 cells)</t>
        </is>
      </c>
      <c r="D77" s="11" t="inlineStr">
        <is>
          <t>ALT DuPont</t>
        </is>
      </c>
      <c r="E77" s="11" t="inlineStr">
        <is>
          <t>C46:F46</t>
        </is>
      </c>
      <c r="F77" s="11" t="inlineStr">
        <is>
          <t>ppe_source_link</t>
        </is>
      </c>
    </row>
    <row r="78">
      <c r="A78" s="11" t="n">
        <v>82</v>
      </c>
      <c r="B78" s="11" t="inlineStr">
        <is>
          <t>PP&amp;E Turnover</t>
        </is>
      </c>
      <c r="C78" s="11" t="inlineStr">
        <is>
          <t>2022–2025 (4 cells)</t>
        </is>
      </c>
      <c r="D78" s="11" t="inlineStr">
        <is>
          <t>ALT DuPont</t>
        </is>
      </c>
      <c r="E78" s="11" t="inlineStr">
        <is>
          <t>C47:F47</t>
        </is>
      </c>
      <c r="F78" s="11" t="inlineStr">
        <is>
          <t>revenue_link, average_ppe</t>
        </is>
      </c>
    </row>
    <row r="79">
      <c r="A79" s="11" t="n">
        <v>83</v>
      </c>
      <c r="B79" s="11" t="inlineStr">
        <is>
          <t>PP&amp;E Intensity</t>
        </is>
      </c>
      <c r="C79" s="11" t="inlineStr">
        <is>
          <t>2022–2025 (4 cells)</t>
        </is>
      </c>
      <c r="D79" s="11" t="inlineStr">
        <is>
          <t>ALT DuPont</t>
        </is>
      </c>
      <c r="E79" s="11" t="inlineStr">
        <is>
          <t>C48:F48</t>
        </is>
      </c>
      <c r="F79" s="11" t="inlineStr">
        <is>
          <t>revenue_link, average_ppe</t>
        </is>
      </c>
    </row>
    <row r="80">
      <c r="A80" s="11" t="n">
        <v>84</v>
      </c>
      <c r="B80" s="11" t="inlineStr">
        <is>
          <t>Change in PP&amp;E</t>
        </is>
      </c>
      <c r="C80" s="11" t="inlineStr">
        <is>
          <t>2022–2025 (4 cells)</t>
        </is>
      </c>
      <c r="D80" s="11" t="inlineStr">
        <is>
          <t>ALT DuPont</t>
        </is>
      </c>
      <c r="E80" s="11" t="inlineStr">
        <is>
          <t>C49:F49</t>
        </is>
      </c>
      <c r="F80" s="11" t="inlineStr">
        <is>
          <t>ppe_source_link</t>
        </is>
      </c>
    </row>
    <row r="81">
      <c r="A81" s="11" t="n">
        <v>85</v>
      </c>
      <c r="B81" s="11" t="inlineStr">
        <is>
          <t>D&amp;A / Revenue</t>
        </is>
      </c>
      <c r="C81" s="11" t="inlineStr">
        <is>
          <t>2021–2025 (5 cells)</t>
        </is>
      </c>
      <c r="D81" s="11" t="inlineStr">
        <is>
          <t>ALT DuPont</t>
        </is>
      </c>
      <c r="E81" s="11" t="inlineStr">
        <is>
          <t>B50:F50</t>
        </is>
      </c>
      <c r="F81" s="11" t="inlineStr">
        <is>
          <t>da_source_link, revenue_link</t>
        </is>
      </c>
    </row>
    <row r="82">
      <c r="A82" s="11" t="n">
        <v>86</v>
      </c>
      <c r="B82" s="11" t="inlineStr">
        <is>
          <t>D&amp;A / Average PP&amp;E</t>
        </is>
      </c>
      <c r="C82" s="11" t="inlineStr">
        <is>
          <t>2022–2025 (4 cells)</t>
        </is>
      </c>
      <c r="D82" s="11" t="inlineStr">
        <is>
          <t>ALT DuPont</t>
        </is>
      </c>
      <c r="E82" s="11" t="inlineStr">
        <is>
          <t>C51:F51</t>
        </is>
      </c>
      <c r="F82" s="11" t="inlineStr">
        <is>
          <t>da_source_link, average_ppe</t>
        </is>
      </c>
    </row>
    <row r="83">
      <c r="A83" s="11" t="n">
        <v>87</v>
      </c>
      <c r="B83" s="11" t="inlineStr">
        <is>
          <t>Lease Liability</t>
        </is>
      </c>
      <c r="C83" s="11" t="inlineStr">
        <is>
          <t>2021–2025 (5 cells)</t>
        </is>
      </c>
      <c r="D83" s="11" t="inlineStr">
        <is>
          <t>ALT DuPont</t>
        </is>
      </c>
      <c r="E83" s="11" t="inlineStr">
        <is>
          <t>B55:F55</t>
        </is>
      </c>
      <c r="F83" s="11" t="inlineStr">
        <is>
          <t>—</t>
        </is>
      </c>
    </row>
    <row r="84">
      <c r="A84" s="11" t="n">
        <v>88</v>
      </c>
      <c r="B84" s="11" t="inlineStr">
        <is>
          <t>Lease Liability / Revenue</t>
        </is>
      </c>
      <c r="C84" s="11" t="inlineStr">
        <is>
          <t>2021–2025 (5 cells)</t>
        </is>
      </c>
      <c r="D84" s="11" t="inlineStr">
        <is>
          <t>ALT DuPont</t>
        </is>
      </c>
      <c r="E84" s="11" t="inlineStr">
        <is>
          <t>B56:F56</t>
        </is>
      </c>
      <c r="F84" s="11" t="inlineStr">
        <is>
          <t>lease_liability_source_link, revenue_link</t>
        </is>
      </c>
    </row>
    <row r="85">
      <c r="A85" s="11" t="n">
        <v>89</v>
      </c>
      <c r="B85" s="11" t="inlineStr">
        <is>
          <t>Change in Lease Liability</t>
        </is>
      </c>
      <c r="C85" s="11" t="inlineStr">
        <is>
          <t>2022–2025 (4 cells)</t>
        </is>
      </c>
      <c r="D85" s="11" t="inlineStr">
        <is>
          <t>ALT DuPont</t>
        </is>
      </c>
      <c r="E85" s="11" t="inlineStr">
        <is>
          <t>C57:F57</t>
        </is>
      </c>
      <c r="F85" s="11" t="inlineStr">
        <is>
          <t>lease_liability_source_link</t>
        </is>
      </c>
    </row>
    <row r="86">
      <c r="A86" s="11" t="n">
        <v>90</v>
      </c>
      <c r="B86" s="11" t="inlineStr">
        <is>
          <t>Lease Liability Growth</t>
        </is>
      </c>
      <c r="C86" s="11" t="inlineStr">
        <is>
          <t>2022–2025 (4 cells)</t>
        </is>
      </c>
      <c r="D86" s="11" t="inlineStr">
        <is>
          <t>ALT DuPont</t>
        </is>
      </c>
      <c r="E86" s="11" t="inlineStr">
        <is>
          <t>C58:F58</t>
        </is>
      </c>
      <c r="F86" s="11" t="inlineStr">
        <is>
          <t>lease_liability_source_link</t>
        </is>
      </c>
    </row>
    <row r="87">
      <c r="A87" s="11" t="n">
        <v>91</v>
      </c>
      <c r="B87" s="11" t="inlineStr">
        <is>
          <t>Parent Profit</t>
        </is>
      </c>
      <c r="C87" s="11" t="inlineStr">
        <is>
          <t>2021–2025 (5 cells)</t>
        </is>
      </c>
      <c r="D87" s="11" t="inlineStr">
        <is>
          <t>Ownership Attribution</t>
        </is>
      </c>
      <c r="E87" s="11" t="inlineStr">
        <is>
          <t>B5:F5</t>
        </is>
      </c>
      <c r="F87" s="11" t="inlineStr">
        <is>
          <t>—</t>
        </is>
      </c>
    </row>
    <row r="88">
      <c r="A88" s="11" t="n">
        <v>92</v>
      </c>
      <c r="B88" s="11" t="inlineStr">
        <is>
          <t>NCI Profit</t>
        </is>
      </c>
      <c r="C88" s="11" t="inlineStr">
        <is>
          <t>2021–2025 (5 cells)</t>
        </is>
      </c>
      <c r="D88" s="11" t="inlineStr">
        <is>
          <t>Ownership Attribution</t>
        </is>
      </c>
      <c r="E88" s="11" t="inlineStr">
        <is>
          <t>B6:F6</t>
        </is>
      </c>
      <c r="F88" s="11" t="inlineStr">
        <is>
          <t>—</t>
        </is>
      </c>
    </row>
    <row r="89">
      <c r="A89" s="11" t="n">
        <v>93</v>
      </c>
      <c r="B89" s="11" t="inlineStr">
        <is>
          <t>Profit Attribution Gap</t>
        </is>
      </c>
      <c r="C89" s="11" t="inlineStr">
        <is>
          <t>2021–2025 (5 cells)</t>
        </is>
      </c>
      <c r="D89" s="11" t="inlineStr">
        <is>
          <t>Ownership Attribution</t>
        </is>
      </c>
      <c r="E89" s="11" t="inlineStr">
        <is>
          <t>B8:F8</t>
        </is>
      </c>
      <c r="F89" s="11" t="inlineStr">
        <is>
          <t>parent_profit_source_link, nci_profit_source_link</t>
        </is>
      </c>
    </row>
    <row r="90">
      <c r="A90" s="11" t="n">
        <v>94</v>
      </c>
      <c r="B90" s="11" t="inlineStr">
        <is>
          <t>Parent Equity</t>
        </is>
      </c>
      <c r="C90" s="11" t="inlineStr">
        <is>
          <t>2021–2025 (5 cells)</t>
        </is>
      </c>
      <c r="D90" s="11" t="inlineStr">
        <is>
          <t>Ownership Attribution</t>
        </is>
      </c>
      <c r="E90" s="11" t="inlineStr">
        <is>
          <t>B10:F10</t>
        </is>
      </c>
      <c r="F90" s="11" t="inlineStr">
        <is>
          <t>—</t>
        </is>
      </c>
    </row>
    <row r="91">
      <c r="A91" s="11" t="n">
        <v>95</v>
      </c>
      <c r="B91" s="11" t="inlineStr">
        <is>
          <t>NCI Equity</t>
        </is>
      </c>
      <c r="C91" s="11" t="inlineStr">
        <is>
          <t>2021–2025 (5 cells)</t>
        </is>
      </c>
      <c r="D91" s="11" t="inlineStr">
        <is>
          <t>Ownership Attribution</t>
        </is>
      </c>
      <c r="E91" s="11" t="inlineStr">
        <is>
          <t>B11:F11</t>
        </is>
      </c>
      <c r="F91" s="11" t="inlineStr">
        <is>
          <t>—</t>
        </is>
      </c>
    </row>
    <row r="92">
      <c r="A92" s="11" t="n">
        <v>96</v>
      </c>
      <c r="B92" s="11" t="inlineStr">
        <is>
          <t>Equity Attribution Gap</t>
        </is>
      </c>
      <c r="C92" s="11" t="inlineStr">
        <is>
          <t>2021–2025 (5 cells)</t>
        </is>
      </c>
      <c r="D92" s="11" t="inlineStr">
        <is>
          <t>Ownership Attribution</t>
        </is>
      </c>
      <c r="E92" s="11" t="inlineStr">
        <is>
          <t>B13:F13</t>
        </is>
      </c>
      <c r="F92" s="11" t="inlineStr">
        <is>
          <t>parent_equity_source_link, nci_equity_source_link</t>
        </is>
      </c>
    </row>
    <row r="93">
      <c r="A93" s="11" t="n">
        <v>97</v>
      </c>
      <c r="B93" s="11" t="inlineStr">
        <is>
          <t>Parent ROE</t>
        </is>
      </c>
      <c r="C93" s="11" t="inlineStr">
        <is>
          <t>2022–2025 (4 cells)</t>
        </is>
      </c>
      <c r="D93" s="11" t="inlineStr">
        <is>
          <t>Ownership Attribution</t>
        </is>
      </c>
      <c r="E93" s="11" t="inlineStr">
        <is>
          <t>C15:F15</t>
        </is>
      </c>
      <c r="F93" s="11" t="inlineStr">
        <is>
          <t>parent_profit_source_link, parent_equity_source_link</t>
        </is>
      </c>
    </row>
    <row r="94">
      <c r="A94" s="11" t="n">
        <v>98</v>
      </c>
      <c r="B94" s="11" t="inlineStr">
        <is>
          <t>Change in Goodwill</t>
        </is>
      </c>
      <c r="C94" s="11" t="inlineStr">
        <is>
          <t>2022–2025 (4 cells)</t>
        </is>
      </c>
      <c r="D94" s="11" t="inlineStr">
        <is>
          <t>ALT DuPont</t>
        </is>
      </c>
      <c r="E94" s="11" t="inlineStr">
        <is>
          <t>C87:F87</t>
        </is>
      </c>
      <c r="F94" s="11" t="inlineStr">
        <is>
          <t>—</t>
        </is>
      </c>
    </row>
    <row r="95">
      <c r="A95" s="11" t="n">
        <v>99</v>
      </c>
      <c r="B95" s="11" t="inlineStr">
        <is>
          <t>Goodwill Growth</t>
        </is>
      </c>
      <c r="C95" s="11" t="inlineStr">
        <is>
          <t>2022–2025 (4 cells)</t>
        </is>
      </c>
      <c r="D95" s="11" t="inlineStr">
        <is>
          <t>ALT DuPont</t>
        </is>
      </c>
      <c r="E95" s="11" t="inlineStr">
        <is>
          <t>C88:F88</t>
        </is>
      </c>
      <c r="F95" s="11" t="inlineStr">
        <is>
          <t>goodwill_change</t>
        </is>
      </c>
    </row>
    <row r="96">
      <c r="A96" s="11" t="n">
        <v>100</v>
      </c>
      <c r="B96" s="11" t="inlineStr">
        <is>
          <t>Average Goodwill</t>
        </is>
      </c>
      <c r="C96" s="11" t="inlineStr">
        <is>
          <t>2022–2025 (4 cells)</t>
        </is>
      </c>
      <c r="D96" s="11" t="inlineStr">
        <is>
          <t>ALT DuPont</t>
        </is>
      </c>
      <c r="E96" s="11" t="inlineStr">
        <is>
          <t>C89:F89</t>
        </is>
      </c>
      <c r="F96" s="11" t="inlineStr">
        <is>
          <t>—</t>
        </is>
      </c>
    </row>
    <row r="97">
      <c r="A97" s="11" t="n">
        <v>101</v>
      </c>
      <c r="B97" s="11" t="inlineStr">
        <is>
          <t>Average Goodwill / Revenue</t>
        </is>
      </c>
      <c r="C97" s="11" t="inlineStr">
        <is>
          <t>2022–2025 (4 cells)</t>
        </is>
      </c>
      <c r="D97" s="11" t="inlineStr">
        <is>
          <t>ALT DuPont</t>
        </is>
      </c>
      <c r="E97" s="11" t="inlineStr">
        <is>
          <t>C90:F90</t>
        </is>
      </c>
      <c r="F97" s="11" t="inlineStr">
        <is>
          <t>average_goodwill, revenue_link</t>
        </is>
      </c>
    </row>
    <row r="98">
      <c r="A98" s="11" t="n">
        <v>102</v>
      </c>
      <c r="B98" s="11" t="inlineStr">
        <is>
          <t>Change in Intangible Assets</t>
        </is>
      </c>
      <c r="C98" s="11" t="inlineStr">
        <is>
          <t>2022–2025 (4 cells)</t>
        </is>
      </c>
      <c r="D98" s="11" t="inlineStr">
        <is>
          <t>ALT DuPont</t>
        </is>
      </c>
      <c r="E98" s="11" t="inlineStr">
        <is>
          <t>C92:F92</t>
        </is>
      </c>
      <c r="F98" s="11" t="inlineStr">
        <is>
          <t>—</t>
        </is>
      </c>
    </row>
    <row r="99">
      <c r="A99" s="11" t="n">
        <v>103</v>
      </c>
      <c r="B99" s="11" t="inlineStr">
        <is>
          <t>Intangible Assets Growth</t>
        </is>
      </c>
      <c r="C99" s="11" t="inlineStr">
        <is>
          <t>2022–2025 (4 cells)</t>
        </is>
      </c>
      <c r="D99" s="11" t="inlineStr">
        <is>
          <t>ALT DuPont</t>
        </is>
      </c>
      <c r="E99" s="11" t="inlineStr">
        <is>
          <t>C93:F93</t>
        </is>
      </c>
      <c r="F99" s="11" t="inlineStr">
        <is>
          <t>intangible_assets_change</t>
        </is>
      </c>
    </row>
    <row r="100">
      <c r="A100" s="11" t="n">
        <v>104</v>
      </c>
      <c r="B100" s="11" t="inlineStr">
        <is>
          <t>Average Intangible Assets</t>
        </is>
      </c>
      <c r="C100" s="11" t="inlineStr">
        <is>
          <t>2022–2025 (4 cells)</t>
        </is>
      </c>
      <c r="D100" s="11" t="inlineStr">
        <is>
          <t>ALT DuPont</t>
        </is>
      </c>
      <c r="E100" s="11" t="inlineStr">
        <is>
          <t>C94:F94</t>
        </is>
      </c>
      <c r="F100" s="11" t="inlineStr">
        <is>
          <t>—</t>
        </is>
      </c>
    </row>
    <row r="101">
      <c r="A101" s="11" t="n">
        <v>105</v>
      </c>
      <c r="B101" s="11" t="inlineStr">
        <is>
          <t>Average Intangible Assets / Revenue</t>
        </is>
      </c>
      <c r="C101" s="11" t="inlineStr">
        <is>
          <t>2022–2025 (4 cells)</t>
        </is>
      </c>
      <c r="D101" s="11" t="inlineStr">
        <is>
          <t>ALT DuPont</t>
        </is>
      </c>
      <c r="E101" s="11" t="inlineStr">
        <is>
          <t>C95:F95</t>
        </is>
      </c>
      <c r="F101" s="11" t="inlineStr">
        <is>
          <t>average_intangible_assets, revenue_link</t>
        </is>
      </c>
    </row>
    <row r="102">
      <c r="A102" s="11" t="n">
        <v>106</v>
      </c>
      <c r="B102" s="11" t="inlineStr">
        <is>
          <t>Change in Goodwill &amp; Intangibles</t>
        </is>
      </c>
      <c r="C102" s="11" t="inlineStr">
        <is>
          <t>2022–2025 (4 cells)</t>
        </is>
      </c>
      <c r="D102" s="11" t="inlineStr">
        <is>
          <t>ALT DuPont</t>
        </is>
      </c>
      <c r="E102" s="11" t="inlineStr">
        <is>
          <t>C97:F97</t>
        </is>
      </c>
      <c r="F102" s="11" t="inlineStr">
        <is>
          <t>—</t>
        </is>
      </c>
    </row>
    <row r="103">
      <c r="A103" s="11" t="n">
        <v>107</v>
      </c>
      <c r="B103" s="11" t="inlineStr">
        <is>
          <t>Goodwill &amp; Intangibles Growth</t>
        </is>
      </c>
      <c r="C103" s="11" t="inlineStr">
        <is>
          <t>2022–2025 (4 cells)</t>
        </is>
      </c>
      <c r="D103" s="11" t="inlineStr">
        <is>
          <t>ALT DuPont</t>
        </is>
      </c>
      <c r="E103" s="11" t="inlineStr">
        <is>
          <t>C98:F98</t>
        </is>
      </c>
      <c r="F103" s="11" t="inlineStr">
        <is>
          <t>goodwill_and_intangibles_change</t>
        </is>
      </c>
    </row>
    <row r="104">
      <c r="A104" s="11" t="n">
        <v>108</v>
      </c>
      <c r="B104" s="11" t="inlineStr">
        <is>
          <t>Average Goodwill &amp; Intangibles</t>
        </is>
      </c>
      <c r="C104" s="11" t="inlineStr">
        <is>
          <t>2022–2025 (4 cells)</t>
        </is>
      </c>
      <c r="D104" s="11" t="inlineStr">
        <is>
          <t>ALT DuPont</t>
        </is>
      </c>
      <c r="E104" s="11" t="inlineStr">
        <is>
          <t>C99:F99</t>
        </is>
      </c>
      <c r="F104" s="11" t="inlineStr">
        <is>
          <t>—</t>
        </is>
      </c>
    </row>
    <row r="105">
      <c r="A105" s="11" t="n">
        <v>109</v>
      </c>
      <c r="B105" s="11" t="inlineStr">
        <is>
          <t>Average Goodwill &amp; Intangibles / Revenue</t>
        </is>
      </c>
      <c r="C105" s="11" t="inlineStr">
        <is>
          <t>2022–2025 (4 cells)</t>
        </is>
      </c>
      <c r="D105" s="11" t="inlineStr">
        <is>
          <t>ALT DuPont</t>
        </is>
      </c>
      <c r="E105" s="11" t="inlineStr">
        <is>
          <t>C100:F100</t>
        </is>
      </c>
      <c r="F105" s="11" t="inlineStr">
        <is>
          <t>average_goodwill_and_intangibles, revenue_link</t>
        </is>
      </c>
    </row>
    <row r="106">
      <c r="A106" s="11" t="n">
        <v>110</v>
      </c>
      <c r="B106" s="11" t="inlineStr">
        <is>
          <t>Intangible Payments</t>
        </is>
      </c>
      <c r="C106" s="11" t="inlineStr">
        <is>
          <t>2021–2025 (5 cells)</t>
        </is>
      </c>
      <c r="D106" s="11" t="inlineStr">
        <is>
          <t>ALT DuPont</t>
        </is>
      </c>
      <c r="E106" s="11" t="inlineStr">
        <is>
          <t>B102:F102</t>
        </is>
      </c>
      <c r="F106" s="11" t="inlineStr">
        <is>
          <t>—</t>
        </is>
      </c>
    </row>
    <row r="107">
      <c r="A107" s="11" t="n">
        <v>111</v>
      </c>
      <c r="B107" s="11" t="inlineStr">
        <is>
          <t>Intangible Payments / Revenue</t>
        </is>
      </c>
      <c r="C107" s="11" t="inlineStr">
        <is>
          <t>2021–2025 (5 cells)</t>
        </is>
      </c>
      <c r="D107" s="11" t="inlineStr">
        <is>
          <t>ALT DuPont</t>
        </is>
      </c>
      <c r="E107" s="11" t="inlineStr">
        <is>
          <t>B103:F103</t>
        </is>
      </c>
      <c r="F107" s="11" t="inlineStr">
        <is>
          <t>intangible_payments, revenue_link</t>
        </is>
      </c>
    </row>
    <row r="108">
      <c r="A108" s="11" t="n">
        <v>112</v>
      </c>
      <c r="B108" s="11" t="inlineStr">
        <is>
          <t>Change in Right-of-use Assets</t>
        </is>
      </c>
      <c r="C108" s="11" t="inlineStr">
        <is>
          <t>2022–2025 (4 cells)</t>
        </is>
      </c>
      <c r="D108" s="11" t="inlineStr">
        <is>
          <t>ALT DuPont</t>
        </is>
      </c>
      <c r="E108" s="11" t="inlineStr">
        <is>
          <t>C62:F62</t>
        </is>
      </c>
      <c r="F108" s="11" t="inlineStr">
        <is>
          <t>—</t>
        </is>
      </c>
    </row>
    <row r="109">
      <c r="A109" s="11" t="n">
        <v>113</v>
      </c>
      <c r="B109" s="11" t="inlineStr">
        <is>
          <t>Right-of-use Assets Growth</t>
        </is>
      </c>
      <c r="C109" s="11" t="inlineStr">
        <is>
          <t>2022–2025 (4 cells)</t>
        </is>
      </c>
      <c r="D109" s="11" t="inlineStr">
        <is>
          <t>ALT DuPont</t>
        </is>
      </c>
      <c r="E109" s="11" t="inlineStr">
        <is>
          <t>C63:F63</t>
        </is>
      </c>
      <c r="F109" s="11" t="inlineStr">
        <is>
          <t>rou_assets_change</t>
        </is>
      </c>
    </row>
    <row r="110">
      <c r="A110" s="11" t="n">
        <v>114</v>
      </c>
      <c r="B110" s="11" t="inlineStr">
        <is>
          <t>Average Right-of-use Assets</t>
        </is>
      </c>
      <c r="C110" s="11" t="inlineStr">
        <is>
          <t>2022–2025 (4 cells)</t>
        </is>
      </c>
      <c r="D110" s="11" t="inlineStr">
        <is>
          <t>ALT DuPont</t>
        </is>
      </c>
      <c r="E110" s="11" t="inlineStr">
        <is>
          <t>C64:F64</t>
        </is>
      </c>
      <c r="F110" s="11" t="inlineStr">
        <is>
          <t>—</t>
        </is>
      </c>
    </row>
    <row r="111">
      <c r="A111" s="11" t="n">
        <v>115</v>
      </c>
      <c r="B111" s="11" t="inlineStr">
        <is>
          <t>Average Right-of-use Assets / Revenue</t>
        </is>
      </c>
      <c r="C111" s="11" t="inlineStr">
        <is>
          <t>2022–2025 (4 cells)</t>
        </is>
      </c>
      <c r="D111" s="11" t="inlineStr">
        <is>
          <t>ALT DuPont</t>
        </is>
      </c>
      <c r="E111" s="11" t="inlineStr">
        <is>
          <t>C65:F65</t>
        </is>
      </c>
      <c r="F111" s="11" t="inlineStr">
        <is>
          <t>average_rou_assets, revenue_link</t>
        </is>
      </c>
    </row>
    <row r="112">
      <c r="A112" s="11" t="n">
        <v>116</v>
      </c>
      <c r="B112" s="11" t="inlineStr">
        <is>
          <t>Net Deferred-Tax Asset Position (DTA − DTL)</t>
        </is>
      </c>
      <c r="C112" s="11" t="inlineStr">
        <is>
          <t>2021–2025 (5 cells)</t>
        </is>
      </c>
      <c r="D112" s="11" t="inlineStr">
        <is>
          <t>ALT DuPont</t>
        </is>
      </c>
      <c r="E112" s="11" t="inlineStr">
        <is>
          <t>B70:F70</t>
        </is>
      </c>
      <c r="F112" s="11" t="inlineStr">
        <is>
          <t>—</t>
        </is>
      </c>
    </row>
    <row r="113">
      <c r="A113" s="11" t="n">
        <v>117</v>
      </c>
      <c r="B113" s="11" t="inlineStr">
        <is>
          <t>Change in Deferred Tax Assets</t>
        </is>
      </c>
      <c r="C113" s="11" t="inlineStr">
        <is>
          <t>2022–2025 (4 cells)</t>
        </is>
      </c>
      <c r="D113" s="11" t="inlineStr">
        <is>
          <t>ALT DuPont</t>
        </is>
      </c>
      <c r="E113" s="11" t="inlineStr">
        <is>
          <t>C71:F71</t>
        </is>
      </c>
      <c r="F113" s="11" t="inlineStr">
        <is>
          <t>—</t>
        </is>
      </c>
    </row>
    <row r="114">
      <c r="A114" s="11" t="n">
        <v>118</v>
      </c>
      <c r="B114" s="11" t="inlineStr">
        <is>
          <t>Change in Deferred Tax Liabilities</t>
        </is>
      </c>
      <c r="C114" s="11" t="inlineStr">
        <is>
          <t>2022–2025 (4 cells)</t>
        </is>
      </c>
      <c r="D114" s="11" t="inlineStr">
        <is>
          <t>ALT DuPont</t>
        </is>
      </c>
      <c r="E114" s="11" t="inlineStr">
        <is>
          <t>C72:F72</t>
        </is>
      </c>
      <c r="F114" s="11" t="inlineStr">
        <is>
          <t>—</t>
        </is>
      </c>
    </row>
    <row r="115">
      <c r="A115" s="11" t="n">
        <v>119</v>
      </c>
      <c r="B115" s="11" t="inlineStr">
        <is>
          <t>Change in Net Deferred-Tax Asset Position</t>
        </is>
      </c>
      <c r="C115" s="11" t="inlineStr">
        <is>
          <t>2022–2025 (4 cells)</t>
        </is>
      </c>
      <c r="D115" s="11" t="inlineStr">
        <is>
          <t>ALT DuPont</t>
        </is>
      </c>
      <c r="E115" s="11" t="inlineStr">
        <is>
          <t>C73:F73</t>
        </is>
      </c>
      <c r="F115" s="11" t="inlineStr">
        <is>
          <t>net_deferred_tax_position</t>
        </is>
      </c>
    </row>
    <row r="116">
      <c r="A116" s="11" t="n">
        <v>120</v>
      </c>
      <c r="B116" s="11" t="inlineStr">
        <is>
          <t>PP&amp;E Capex (−reported)</t>
        </is>
      </c>
      <c r="C116" s="11" t="inlineStr">
        <is>
          <t>2021–2025 (5 cells)</t>
        </is>
      </c>
      <c r="D116" s="11" t="inlineStr">
        <is>
          <t>ALT DuPont</t>
        </is>
      </c>
      <c r="E116" s="11" t="inlineStr">
        <is>
          <t>B77:F77</t>
        </is>
      </c>
      <c r="F116" s="11" t="inlineStr">
        <is>
          <t>—</t>
        </is>
      </c>
    </row>
    <row r="117">
      <c r="A117" s="11" t="n">
        <v>121</v>
      </c>
      <c r="B117" s="11" t="inlineStr">
        <is>
          <t>PP&amp;E Capex / Revenue</t>
        </is>
      </c>
      <c r="C117" s="11" t="inlineStr">
        <is>
          <t>2021–2025 (5 cells)</t>
        </is>
      </c>
      <c r="D117" s="11" t="inlineStr">
        <is>
          <t>ALT DuPont</t>
        </is>
      </c>
      <c r="E117" s="11" t="inlineStr">
        <is>
          <t>B78:F78</t>
        </is>
      </c>
      <c r="F117" s="11" t="inlineStr">
        <is>
          <t>ppe_capex, revenue_link</t>
        </is>
      </c>
    </row>
    <row r="118">
      <c r="A118" s="11" t="n">
        <v>122</v>
      </c>
      <c r="B118" s="11" t="inlineStr">
        <is>
          <t>Lease Repayments (−reported)</t>
        </is>
      </c>
      <c r="C118" s="11" t="inlineStr">
        <is>
          <t>2021–2025 (5 cells)</t>
        </is>
      </c>
      <c r="D118" s="11" t="inlineStr">
        <is>
          <t>ALT DuPont</t>
        </is>
      </c>
      <c r="E118" s="11" t="inlineStr">
        <is>
          <t>B82:F82</t>
        </is>
      </c>
      <c r="F118" s="11" t="inlineStr">
        <is>
          <t>—</t>
        </is>
      </c>
    </row>
    <row r="119">
      <c r="A119" s="11" t="n">
        <v>123</v>
      </c>
      <c r="B119" s="11" t="inlineStr">
        <is>
          <t>Lease Repayments / Revenue</t>
        </is>
      </c>
      <c r="C119" s="11" t="inlineStr">
        <is>
          <t>2021–2025 (5 cells)</t>
        </is>
      </c>
      <c r="D119" s="11" t="inlineStr">
        <is>
          <t>ALT DuPont</t>
        </is>
      </c>
      <c r="E119" s="11" t="inlineStr">
        <is>
          <t>B83:F83</t>
        </is>
      </c>
      <c r="F119" s="11" t="inlineStr">
        <is>
          <t>lease_repayments, revenue_link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Company: FAST RETAILING CO., LTD. (6288.HK)</t>
        </is>
      </c>
    </row>
    <row r="2">
      <c r="A2" s="11" t="inlineStr">
        <is>
          <t>Statement: Income Statement</t>
        </is>
      </c>
    </row>
    <row r="3">
      <c r="A3" s="11" t="inlineStr">
        <is>
          <t>Units: JPY in Millions</t>
        </is>
      </c>
    </row>
    <row r="4">
      <c r="A4" s="11" t="inlineStr">
        <is>
          <t>Source: manual ingestion (JP)</t>
        </is>
      </c>
    </row>
    <row r="5"/>
    <row r="6">
      <c r="A6" s="11" t="inlineStr">
        <is>
          <t>Line Item</t>
        </is>
      </c>
      <c r="B6" s="12" t="n">
        <v>44439</v>
      </c>
      <c r="C6" s="12" t="n">
        <v>44804</v>
      </c>
      <c r="D6" s="12" t="n">
        <v>45169</v>
      </c>
      <c r="E6" s="12" t="n">
        <v>45535</v>
      </c>
      <c r="F6" s="12" t="n">
        <v>45900</v>
      </c>
    </row>
    <row r="7">
      <c r="A7" s="11" t="inlineStr">
        <is>
          <t>Basic (yen, dollar)</t>
        </is>
      </c>
      <c r="B7" s="13" t="n">
        <v>1663.12</v>
      </c>
      <c r="C7" s="13" t="n">
        <v>891.77</v>
      </c>
      <c r="D7" s="13" t="n">
        <v>966.09</v>
      </c>
      <c r="E7" s="13" t="n">
        <v>1212.88</v>
      </c>
      <c r="F7" s="13" t="n">
        <v>1411.44</v>
      </c>
    </row>
    <row r="8">
      <c r="A8" s="11" t="inlineStr">
        <is>
          <t>Cost of sales</t>
        </is>
      </c>
      <c r="B8" s="13" t="n">
        <v>-1059036</v>
      </c>
      <c r="C8" s="13" t="n">
        <v>-1094263</v>
      </c>
      <c r="D8" s="13" t="n">
        <v>-1330196</v>
      </c>
      <c r="E8" s="13" t="n">
        <v>-1430764</v>
      </c>
      <c r="F8" s="13" t="n">
        <v>-1571681</v>
      </c>
    </row>
    <row r="9">
      <c r="A9" s="11" t="inlineStr">
        <is>
          <t>Diluted (yen, dollar)</t>
        </is>
      </c>
      <c r="B9" s="13" t="n">
        <v>1660.44</v>
      </c>
      <c r="C9" s="13" t="n">
        <v>890.4299999999999</v>
      </c>
      <c r="D9" s="13" t="n">
        <v>964.48</v>
      </c>
      <c r="E9" s="13" t="n">
        <v>1210.81</v>
      </c>
      <c r="F9" s="13" t="n">
        <v>1409.32</v>
      </c>
    </row>
    <row r="10">
      <c r="A10" s="11" t="inlineStr">
        <is>
          <t>Finance costs</t>
        </is>
      </c>
      <c r="B10" s="13" t="n">
        <v>-6998</v>
      </c>
      <c r="C10" s="13" t="n">
        <v>-7560</v>
      </c>
      <c r="D10" s="13" t="n">
        <v>-9888</v>
      </c>
      <c r="E10" s="13" t="n">
        <v>-11101</v>
      </c>
      <c r="F10" s="13" t="n">
        <v>-12834</v>
      </c>
    </row>
    <row r="11">
      <c r="A11" s="11" t="inlineStr">
        <is>
          <t>Finance income</t>
        </is>
      </c>
      <c r="B11" s="13" t="n">
        <v>23859</v>
      </c>
      <c r="C11" s="13" t="n">
        <v>123820</v>
      </c>
      <c r="D11" s="13" t="n">
        <v>66716</v>
      </c>
      <c r="E11" s="13" t="n">
        <v>67399</v>
      </c>
      <c r="F11" s="13" t="n">
        <v>99143</v>
      </c>
    </row>
    <row r="12">
      <c r="A12" s="11" t="inlineStr">
        <is>
          <t>Gross profit</t>
        </is>
      </c>
      <c r="B12" s="13" t="n">
        <v>1073955</v>
      </c>
      <c r="C12" s="13" t="n">
        <v>1206859</v>
      </c>
      <c r="D12" s="13" t="n">
        <v>1436360</v>
      </c>
      <c r="E12" s="13" t="n">
        <v>1673071</v>
      </c>
      <c r="F12" s="13" t="n">
        <v>1828858</v>
      </c>
    </row>
    <row r="13">
      <c r="A13" s="11" t="inlineStr">
        <is>
          <t>Income tax expense</t>
        </is>
      </c>
      <c r="B13" s="13" t="n">
        <v>-90188</v>
      </c>
      <c r="C13" s="13" t="n">
        <v>-128834</v>
      </c>
      <c r="D13" s="13" t="n">
        <v>-122746</v>
      </c>
      <c r="E13" s="13" t="n">
        <v>-163596</v>
      </c>
      <c r="F13" s="13" t="n">
        <v>-191421</v>
      </c>
    </row>
    <row r="14">
      <c r="A14" s="11" t="inlineStr">
        <is>
          <t>Non-controlling interests</t>
        </is>
      </c>
      <c r="B14" s="13" t="n">
        <v>5836</v>
      </c>
      <c r="C14" s="13" t="n">
        <v>11415</v>
      </c>
      <c r="D14" s="13" t="n">
        <v>18941</v>
      </c>
      <c r="E14" s="13" t="n">
        <v>21605</v>
      </c>
      <c r="F14" s="13" t="n">
        <v>26143</v>
      </c>
    </row>
    <row r="15">
      <c r="A15" s="11" t="inlineStr">
        <is>
          <t>Operating profit</t>
        </is>
      </c>
      <c r="B15" s="13" t="n">
        <v>249011</v>
      </c>
      <c r="C15" s="13" t="n">
        <v>297325</v>
      </c>
      <c r="D15" s="13" t="n">
        <v>381090</v>
      </c>
      <c r="E15" s="13" t="n">
        <v>500904</v>
      </c>
      <c r="F15" s="13" t="n">
        <v>564265</v>
      </c>
    </row>
    <row r="16">
      <c r="A16" s="11" t="inlineStr">
        <is>
          <t>Other expenses</t>
        </is>
      </c>
      <c r="B16" s="13" t="n">
        <v>-25315</v>
      </c>
      <c r="C16" s="13" t="n">
        <v>-27391</v>
      </c>
      <c r="D16" s="13" t="n">
        <v>-14238</v>
      </c>
      <c r="E16" s="13" t="n">
        <v>-6256</v>
      </c>
      <c r="F16" s="13" t="n">
        <v>-8087</v>
      </c>
    </row>
    <row r="17">
      <c r="A17" s="11" t="inlineStr">
        <is>
          <t>Other income</t>
        </is>
      </c>
      <c r="B17" s="13" t="n">
        <v>18238</v>
      </c>
      <c r="C17" s="13" t="n">
        <v>16951</v>
      </c>
      <c r="D17" s="13" t="n">
        <v>12197</v>
      </c>
      <c r="E17" s="13" t="n">
        <v>20384</v>
      </c>
      <c r="F17" s="13" t="n">
        <v>19491</v>
      </c>
    </row>
    <row r="18">
      <c r="A18" s="11" t="inlineStr">
        <is>
          <t>Owners of the Parent</t>
        </is>
      </c>
      <c r="B18" s="13" t="n">
        <v>169847</v>
      </c>
      <c r="C18" s="13" t="n">
        <v>273335</v>
      </c>
      <c r="D18" s="13" t="n">
        <v>296229</v>
      </c>
      <c r="E18" s="13" t="n">
        <v>371999</v>
      </c>
      <c r="F18" s="13" t="n">
        <v>433009</v>
      </c>
    </row>
    <row r="19">
      <c r="A19" s="11" t="inlineStr">
        <is>
          <t>Profit before income taxes</t>
        </is>
      </c>
      <c r="B19" s="13" t="n">
        <v>265872</v>
      </c>
      <c r="C19" s="13" t="n">
        <v>413584</v>
      </c>
      <c r="D19" s="13" t="n">
        <v>437918</v>
      </c>
      <c r="E19" s="13" t="n">
        <v>557201</v>
      </c>
      <c r="F19" s="13" t="n">
        <v>650574</v>
      </c>
    </row>
    <row r="20">
      <c r="A20" s="11" t="inlineStr">
        <is>
          <t>Profit for the year</t>
        </is>
      </c>
      <c r="B20" s="13" t="n">
        <v>175684</v>
      </c>
      <c r="C20" s="13" t="n">
        <v>284750</v>
      </c>
      <c r="D20" s="13" t="n">
        <v>315171</v>
      </c>
      <c r="E20" s="13" t="n">
        <v>393605</v>
      </c>
      <c r="F20" s="13" t="n">
        <v>459153</v>
      </c>
    </row>
    <row r="21">
      <c r="A21" s="11" t="inlineStr">
        <is>
          <t>Revenue</t>
        </is>
      </c>
      <c r="B21" s="13" t="n">
        <v>2132992</v>
      </c>
      <c r="C21" s="13" t="n">
        <v>2301122</v>
      </c>
      <c r="D21" s="13" t="n">
        <v>2766557</v>
      </c>
      <c r="E21" s="13" t="n">
        <v>3103836</v>
      </c>
      <c r="F21" s="13" t="n">
        <v>3400539</v>
      </c>
    </row>
    <row r="22">
      <c r="A22" s="11" t="inlineStr">
        <is>
          <t>Selling, general and administrative expenses</t>
        </is>
      </c>
      <c r="B22" s="13" t="n">
        <v>-818427</v>
      </c>
      <c r="C22" s="13" t="n">
        <v>-900154</v>
      </c>
      <c r="D22" s="13" t="n">
        <v>-1054368</v>
      </c>
      <c r="E22" s="13" t="n">
        <v>-1187713</v>
      </c>
      <c r="F22" s="13" t="n">
        <v>-1277701</v>
      </c>
    </row>
    <row r="23">
      <c r="A23" s="11" t="inlineStr">
        <is>
          <t>Share of profit of associates accounted for using the equity method</t>
        </is>
      </c>
      <c r="B23" s="13" t="n">
        <v>561</v>
      </c>
      <c r="C23" s="13" t="n">
        <v>1059</v>
      </c>
      <c r="D23" s="13" t="n">
        <v>1139</v>
      </c>
      <c r="E23" s="13" t="n">
        <v>1417</v>
      </c>
      <c r="F23" s="13" t="n">
        <v>1704</v>
      </c>
    </row>
    <row r="24"/>
    <row r="25">
      <c r="A25" s="11" t="inlineStr">
        <is>
          <t>SUPPLEMENTAL DISCLOSURES</t>
        </is>
      </c>
    </row>
    <row r="26">
      <c r="A26" s="11" t="inlineStr">
        <is>
          <t>Lease interest expense (reported note)</t>
        </is>
      </c>
      <c r="B26" s="13" t="n">
        <v>4847</v>
      </c>
      <c r="C26" s="13" t="n">
        <v>4757</v>
      </c>
      <c r="D26" s="13" t="n">
        <v>5187</v>
      </c>
      <c r="E26" s="13" t="n">
        <v>6507</v>
      </c>
      <c r="F26" s="13" t="n">
        <v>8464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Company: FAST RETAILING CO., LTD. (6288.HK)</t>
        </is>
      </c>
    </row>
    <row r="2">
      <c r="A2" s="11" t="inlineStr">
        <is>
          <t>Statement: Balance Sheet</t>
        </is>
      </c>
    </row>
    <row r="3">
      <c r="A3" s="11" t="inlineStr">
        <is>
          <t>Units: JPY in Millions</t>
        </is>
      </c>
    </row>
    <row r="4">
      <c r="A4" s="11" t="inlineStr">
        <is>
          <t>Source: manual ingestion (JP)</t>
        </is>
      </c>
    </row>
    <row r="5"/>
    <row r="6">
      <c r="A6" s="11" t="inlineStr">
        <is>
          <t>Line Item</t>
        </is>
      </c>
      <c r="B6" s="12" t="n">
        <v>44439</v>
      </c>
      <c r="C6" s="12" t="n">
        <v>44804</v>
      </c>
      <c r="D6" s="12" t="n">
        <v>45169</v>
      </c>
      <c r="E6" s="12" t="n">
        <v>45535</v>
      </c>
      <c r="F6" s="12" t="n">
        <v>45900</v>
      </c>
    </row>
    <row r="7">
      <c r="A7" s="11" t="inlineStr">
        <is>
          <t>Total assets</t>
        </is>
      </c>
      <c r="B7" s="13" t="n">
        <v>2509976</v>
      </c>
      <c r="C7" s="13" t="n">
        <v>3183762</v>
      </c>
      <c r="D7" s="13" t="n">
        <v>3303694</v>
      </c>
      <c r="E7" s="13" t="n">
        <v>3587565</v>
      </c>
      <c r="F7" s="13" t="n">
        <v>3859353</v>
      </c>
    </row>
    <row r="8">
      <c r="A8" s="11" t="inlineStr">
        <is>
          <t>Cash and cash equivalents</t>
        </is>
      </c>
      <c r="B8" s="13" t="n">
        <v>1177736</v>
      </c>
      <c r="C8" s="13" t="n">
        <v>1358292</v>
      </c>
      <c r="D8" s="13" t="n">
        <v>903280</v>
      </c>
      <c r="E8" s="13" t="n">
        <v>1193560</v>
      </c>
      <c r="F8" s="13" t="n">
        <v>893239</v>
      </c>
    </row>
    <row r="9">
      <c r="A9" s="11" t="inlineStr">
        <is>
          <t>Derivative financial assets</t>
        </is>
      </c>
      <c r="B9" s="13" t="n">
        <v>27103</v>
      </c>
      <c r="C9" s="13" t="n">
        <v>124551</v>
      </c>
      <c r="D9" s="13" t="n">
        <v>132101</v>
      </c>
      <c r="E9" s="13" t="n">
        <v>111658</v>
      </c>
      <c r="F9" s="13" t="n">
        <v>94803</v>
      </c>
    </row>
    <row r="10">
      <c r="A10" s="11" t="inlineStr">
        <is>
          <t>Income taxes receivable</t>
        </is>
      </c>
      <c r="B10" s="13" t="n">
        <v>2992</v>
      </c>
      <c r="C10" s="13" t="n">
        <v>2612</v>
      </c>
      <c r="D10" s="13" t="n">
        <v>23660</v>
      </c>
      <c r="E10" s="13" t="n">
        <v>2210</v>
      </c>
      <c r="F10" s="13" t="n">
        <v>8042</v>
      </c>
    </row>
    <row r="11">
      <c r="A11" s="11" t="inlineStr">
        <is>
          <t>Inventories</t>
        </is>
      </c>
      <c r="B11" s="13" t="n">
        <v>394868</v>
      </c>
      <c r="C11" s="13" t="n">
        <v>485928</v>
      </c>
      <c r="D11" s="13" t="n">
        <v>449254</v>
      </c>
      <c r="E11" s="13" t="n">
        <v>474460</v>
      </c>
      <c r="F11" s="13" t="n">
        <v>510958</v>
      </c>
    </row>
    <row r="12">
      <c r="A12" s="11" t="inlineStr">
        <is>
          <t>Other assets</t>
        </is>
      </c>
      <c r="B12" s="13" t="n">
        <v>15270</v>
      </c>
      <c r="C12" s="13" t="n">
        <v>23835</v>
      </c>
      <c r="D12" s="13" t="n">
        <v>25372</v>
      </c>
      <c r="E12" s="13" t="n">
        <v>26897</v>
      </c>
      <c r="F12" s="13" t="n">
        <v>24662</v>
      </c>
    </row>
    <row r="13">
      <c r="A13" s="11" t="inlineStr">
        <is>
          <t>Other financial assets</t>
        </is>
      </c>
      <c r="B13" s="13" t="n">
        <v>56157</v>
      </c>
      <c r="C13" s="13" t="n">
        <v>123446</v>
      </c>
      <c r="D13" s="13" t="n">
        <v>576194</v>
      </c>
      <c r="E13" s="13" t="n">
        <v>470554</v>
      </c>
      <c r="F13" s="13" t="n">
        <v>899701</v>
      </c>
    </row>
    <row r="14">
      <c r="A14" s="11" t="inlineStr">
        <is>
          <t>Total current assets</t>
        </is>
      </c>
      <c r="B14" s="13" t="n">
        <v>1724674</v>
      </c>
      <c r="C14" s="13" t="n">
        <v>2178851</v>
      </c>
      <c r="D14" s="13" t="n">
        <v>2176695</v>
      </c>
      <c r="E14" s="13" t="n">
        <v>2363271</v>
      </c>
      <c r="F14" s="13" t="n">
        <v>2527815</v>
      </c>
    </row>
    <row r="15">
      <c r="A15" s="11" t="inlineStr">
        <is>
          <t>Trade and other receivables</t>
        </is>
      </c>
      <c r="B15" s="13" t="n">
        <v>50546</v>
      </c>
      <c r="C15" s="13" t="n">
        <v>60184</v>
      </c>
      <c r="D15" s="13" t="n">
        <v>66831</v>
      </c>
      <c r="E15" s="13" t="n">
        <v>83929</v>
      </c>
      <c r="F15" s="13" t="n">
        <v>96407</v>
      </c>
    </row>
    <row r="16">
      <c r="A16" s="11" t="inlineStr">
        <is>
          <t>Current tax liabilities</t>
        </is>
      </c>
      <c r="B16" s="13" t="n">
        <v>38606</v>
      </c>
      <c r="C16" s="13" t="n">
        <v>77162</v>
      </c>
      <c r="D16" s="13" t="n">
        <v>65428</v>
      </c>
      <c r="E16" s="13" t="n">
        <v>65525</v>
      </c>
      <c r="F16" s="13" t="n">
        <v>73072</v>
      </c>
    </row>
    <row r="17">
      <c r="A17" s="11" t="inlineStr">
        <is>
          <t>Derivative financial liabilities</t>
        </is>
      </c>
      <c r="B17" s="13" t="n">
        <v>2493</v>
      </c>
      <c r="C17" s="13" t="n">
        <v>1513</v>
      </c>
      <c r="D17" s="13" t="n">
        <v>3600</v>
      </c>
      <c r="E17" s="13" t="n">
        <v>12716</v>
      </c>
      <c r="F17" s="13" t="n">
        <v>19250</v>
      </c>
    </row>
    <row r="18">
      <c r="A18" s="11" t="inlineStr">
        <is>
          <t>Lease liabilities</t>
        </is>
      </c>
      <c r="B18" s="13" t="n">
        <v>117083</v>
      </c>
      <c r="C18" s="13" t="n">
        <v>123885</v>
      </c>
      <c r="D18" s="13" t="n">
        <v>126992</v>
      </c>
      <c r="E18" s="13" t="n">
        <v>130744</v>
      </c>
      <c r="F18" s="13" t="n">
        <v>126830</v>
      </c>
    </row>
    <row r="19">
      <c r="A19" s="11" t="inlineStr">
        <is>
          <t>Other financial liabilities</t>
        </is>
      </c>
      <c r="B19" s="13" t="n">
        <v>104969</v>
      </c>
      <c r="C19" s="13" t="n">
        <v>209286</v>
      </c>
      <c r="D19" s="13" t="n">
        <v>61913</v>
      </c>
      <c r="E19" s="13" t="n">
        <v>104770</v>
      </c>
      <c r="F19" s="13" t="n">
        <v>150942</v>
      </c>
    </row>
    <row r="20">
      <c r="A20" s="11" t="inlineStr">
        <is>
          <t>Other liabilities</t>
        </is>
      </c>
      <c r="B20" s="13" t="n">
        <v>95652</v>
      </c>
      <c r="C20" s="13" t="n">
        <v>111519</v>
      </c>
      <c r="D20" s="13" t="n">
        <v>129782</v>
      </c>
      <c r="E20" s="13" t="n">
        <v>148201</v>
      </c>
      <c r="F20" s="13" t="n">
        <v>149394</v>
      </c>
    </row>
    <row r="21">
      <c r="A21" s="11" t="inlineStr">
        <is>
          <t>Provisions</t>
        </is>
      </c>
      <c r="B21" s="13" t="n">
        <v>2149</v>
      </c>
      <c r="C21" s="13" t="n">
        <v>2581</v>
      </c>
      <c r="D21" s="13" t="n">
        <v>2642</v>
      </c>
      <c r="E21" s="13" t="n">
        <v>1774</v>
      </c>
      <c r="F21" s="13" t="n">
        <v>1651</v>
      </c>
    </row>
    <row r="22">
      <c r="A22" s="11" t="inlineStr">
        <is>
          <t>Total current liabilities</t>
        </is>
      </c>
      <c r="B22" s="13" t="n">
        <v>581012</v>
      </c>
      <c r="C22" s="13" t="n">
        <v>876242</v>
      </c>
      <c r="D22" s="13" t="n">
        <v>729260</v>
      </c>
      <c r="E22" s="13" t="n">
        <v>852390</v>
      </c>
      <c r="F22" s="13" t="n">
        <v>911291</v>
      </c>
    </row>
    <row r="23">
      <c r="A23" s="11" t="inlineStr">
        <is>
          <t>Trade and other payables</t>
        </is>
      </c>
      <c r="B23" s="13" t="n">
        <v>220057</v>
      </c>
      <c r="C23" s="13" t="n">
        <v>350294</v>
      </c>
      <c r="D23" s="13" t="n">
        <v>338901</v>
      </c>
      <c r="E23" s="13" t="n">
        <v>388656</v>
      </c>
      <c r="F23" s="13" t="n">
        <v>390149</v>
      </c>
    </row>
    <row r="24">
      <c r="A24" s="11" t="inlineStr">
        <is>
          <t>Capital stock</t>
        </is>
      </c>
      <c r="B24" s="13" t="n">
        <v>10273</v>
      </c>
      <c r="C24" s="13" t="n">
        <v>10273</v>
      </c>
      <c r="D24" s="13" t="n">
        <v>10273</v>
      </c>
      <c r="E24" s="13" t="n">
        <v>10273</v>
      </c>
      <c r="F24" s="13" t="n">
        <v>10273</v>
      </c>
    </row>
    <row r="25">
      <c r="A25" s="11" t="inlineStr">
        <is>
          <t>Capital surplus</t>
        </is>
      </c>
      <c r="B25" s="13" t="n">
        <v>25360</v>
      </c>
      <c r="C25" s="13" t="n">
        <v>27834</v>
      </c>
      <c r="D25" s="13" t="n">
        <v>28531</v>
      </c>
      <c r="E25" s="13" t="n">
        <v>29712</v>
      </c>
      <c r="F25" s="13" t="n">
        <v>30998</v>
      </c>
    </row>
    <row r="26">
      <c r="A26" s="11" t="inlineStr">
        <is>
          <t>Equity attributable to owners of the Parent</t>
        </is>
      </c>
      <c r="B26" s="13" t="n">
        <v>1116484</v>
      </c>
      <c r="C26" s="13" t="n">
        <v>1561652</v>
      </c>
      <c r="D26" s="13" t="n">
        <v>1821405</v>
      </c>
      <c r="E26" s="13" t="n">
        <v>2016535</v>
      </c>
      <c r="F26" s="13" t="n">
        <v>2273115</v>
      </c>
    </row>
    <row r="27">
      <c r="A27" s="11" t="inlineStr">
        <is>
          <t>Non-controlling interests</t>
        </is>
      </c>
      <c r="B27" s="13" t="n">
        <v>45813</v>
      </c>
      <c r="C27" s="13" t="n">
        <v>53750</v>
      </c>
      <c r="D27" s="13" t="n">
        <v>51955</v>
      </c>
      <c r="E27" s="13" t="n">
        <v>51718</v>
      </c>
      <c r="F27" s="13" t="n">
        <v>54385</v>
      </c>
    </row>
    <row r="28">
      <c r="A28" s="11" t="inlineStr">
        <is>
          <t>Other components of equity</t>
        </is>
      </c>
      <c r="B28" s="13" t="n">
        <v>41031</v>
      </c>
      <c r="C28" s="13" t="n">
        <v>263255</v>
      </c>
      <c r="D28" s="13" t="n">
        <v>298965</v>
      </c>
      <c r="E28" s="13" t="n">
        <v>225104</v>
      </c>
      <c r="F28" s="13" t="n">
        <v>189936</v>
      </c>
    </row>
    <row r="29">
      <c r="A29" s="11" t="inlineStr">
        <is>
          <t>Retained earnings</t>
        </is>
      </c>
      <c r="B29" s="13" t="n">
        <v>1054791</v>
      </c>
      <c r="C29" s="13" t="n">
        <v>1275102</v>
      </c>
      <c r="D29" s="13" t="n">
        <v>1498348</v>
      </c>
      <c r="E29" s="13" t="n">
        <v>1766073</v>
      </c>
      <c r="F29" s="13" t="n">
        <v>2056437</v>
      </c>
    </row>
    <row r="30">
      <c r="A30" s="11" t="inlineStr">
        <is>
          <t>Total equity</t>
        </is>
      </c>
      <c r="B30" s="13" t="n">
        <v>1162298</v>
      </c>
      <c r="C30" s="13" t="n">
        <v>1615402</v>
      </c>
      <c r="D30" s="13" t="n">
        <v>1873360</v>
      </c>
      <c r="E30" s="13" t="n">
        <v>2068254</v>
      </c>
      <c r="F30" s="13" t="n">
        <v>2327501</v>
      </c>
    </row>
    <row r="31">
      <c r="A31" s="11" t="inlineStr">
        <is>
          <t>Total liabilities and equity</t>
        </is>
      </c>
      <c r="B31" s="13" t="n">
        <v>2509976</v>
      </c>
      <c r="C31" s="13" t="n">
        <v>3183762</v>
      </c>
      <c r="D31" s="13" t="n">
        <v>3303694</v>
      </c>
      <c r="E31" s="13" t="n">
        <v>3587565</v>
      </c>
      <c r="F31" s="13" t="n">
        <v>3859353</v>
      </c>
    </row>
    <row r="32">
      <c r="A32" s="11" t="inlineStr">
        <is>
          <t>Treasury stock, at cost</t>
        </is>
      </c>
      <c r="B32" s="13" t="n">
        <v>-14973</v>
      </c>
      <c r="C32" s="13" t="n">
        <v>-14813</v>
      </c>
      <c r="D32" s="13" t="n">
        <v>-14714</v>
      </c>
      <c r="E32" s="13" t="n">
        <v>-14628</v>
      </c>
      <c r="F32" s="13" t="n">
        <v>-14529</v>
      </c>
    </row>
    <row r="33">
      <c r="A33" s="11" t="inlineStr">
        <is>
          <t>Total liabilities</t>
        </is>
      </c>
      <c r="B33" s="13" t="n">
        <v>1347678</v>
      </c>
      <c r="C33" s="13" t="n">
        <v>1568360</v>
      </c>
      <c r="D33" s="13" t="n">
        <v>1430333</v>
      </c>
      <c r="E33" s="13" t="n">
        <v>1519310</v>
      </c>
      <c r="F33" s="13" t="n">
        <v>1531852</v>
      </c>
    </row>
    <row r="34">
      <c r="A34" s="11" t="inlineStr">
        <is>
          <t>Deferred tax assets</t>
        </is>
      </c>
      <c r="B34" s="13" t="n">
        <v>37125</v>
      </c>
      <c r="C34" s="13" t="n">
        <v>8506</v>
      </c>
      <c r="D34" s="13" t="n">
        <v>38208</v>
      </c>
      <c r="E34" s="13" t="n">
        <v>32432</v>
      </c>
      <c r="F34" s="13" t="n">
        <v>40889</v>
      </c>
    </row>
    <row r="35">
      <c r="A35" s="11" t="inlineStr">
        <is>
          <t>Derivative financial assets</t>
        </is>
      </c>
      <c r="B35" s="13" t="n">
        <v>22552</v>
      </c>
      <c r="C35" s="13" t="n">
        <v>134240</v>
      </c>
      <c r="D35" s="13" t="n">
        <v>114151</v>
      </c>
      <c r="E35" s="13" t="n">
        <v>66995</v>
      </c>
      <c r="F35" s="13" t="n">
        <v>33882</v>
      </c>
    </row>
    <row r="36">
      <c r="A36" s="11" t="inlineStr">
        <is>
          <t>Financial assets</t>
        </is>
      </c>
      <c r="B36" s="13" t="n">
        <v>67122</v>
      </c>
      <c r="C36" s="13" t="n">
        <v>164340</v>
      </c>
      <c r="D36" s="13" t="n">
        <v>240363</v>
      </c>
      <c r="E36" s="13" t="n">
        <v>336302</v>
      </c>
      <c r="F36" s="13" t="n">
        <v>312438</v>
      </c>
    </row>
    <row r="37">
      <c r="A37" s="11" t="inlineStr">
        <is>
          <t>Goodwill</t>
        </is>
      </c>
      <c r="B37" s="13" t="n">
        <v>8092</v>
      </c>
      <c r="C37" s="13" t="n">
        <v>8092</v>
      </c>
      <c r="D37" s="13" t="n">
        <v>8092</v>
      </c>
      <c r="E37" s="13" t="n">
        <v>8092</v>
      </c>
      <c r="F37" s="13" t="n">
        <v>8092</v>
      </c>
    </row>
    <row r="38">
      <c r="A38" s="11" t="inlineStr">
        <is>
          <t>Intangible assets</t>
        </is>
      </c>
      <c r="B38" s="13" t="n">
        <v>66939</v>
      </c>
      <c r="C38" s="13" t="n">
        <v>76621</v>
      </c>
      <c r="D38" s="13" t="n">
        <v>87300</v>
      </c>
      <c r="E38" s="13" t="n">
        <v>92568</v>
      </c>
      <c r="F38" s="13" t="n">
        <v>91606</v>
      </c>
    </row>
    <row r="39">
      <c r="A39" s="11" t="inlineStr">
        <is>
          <t>Investments in associates accounted for using the equity method</t>
        </is>
      </c>
      <c r="B39" s="13" t="n">
        <v>18236</v>
      </c>
      <c r="C39" s="13" t="n">
        <v>18557</v>
      </c>
      <c r="D39" s="13" t="n">
        <v>18974</v>
      </c>
      <c r="E39" s="13" t="n">
        <v>19559</v>
      </c>
      <c r="F39" s="13" t="n">
        <v>31361</v>
      </c>
    </row>
    <row r="40">
      <c r="A40" s="11" t="inlineStr">
        <is>
          <t>Other assets</t>
        </is>
      </c>
      <c r="B40" s="13" t="n">
        <v>6520</v>
      </c>
      <c r="C40" s="13" t="n">
        <v>3690</v>
      </c>
      <c r="D40" s="13" t="n">
        <v>8846</v>
      </c>
      <c r="E40" s="13" t="n">
        <v>5888</v>
      </c>
      <c r="F40" s="13" t="n">
        <v>3803</v>
      </c>
    </row>
    <row r="41">
      <c r="A41" s="11" t="inlineStr">
        <is>
          <t>Property, plant and equipment</t>
        </is>
      </c>
      <c r="B41" s="13" t="n">
        <v>168177</v>
      </c>
      <c r="C41" s="13" t="n">
        <v>195226</v>
      </c>
      <c r="D41" s="13" t="n">
        <v>221877</v>
      </c>
      <c r="E41" s="13" t="n">
        <v>245742</v>
      </c>
      <c r="F41" s="13" t="n">
        <v>332351</v>
      </c>
    </row>
    <row r="42">
      <c r="A42" s="11" t="inlineStr">
        <is>
          <t>Right-of-use assets</t>
        </is>
      </c>
      <c r="B42" s="13" t="n">
        <v>390537</v>
      </c>
      <c r="C42" s="13" t="n">
        <v>395634</v>
      </c>
      <c r="D42" s="13" t="n">
        <v>389183</v>
      </c>
      <c r="E42" s="13" t="n">
        <v>416712</v>
      </c>
      <c r="F42" s="13" t="n">
        <v>477111</v>
      </c>
    </row>
    <row r="43">
      <c r="A43" s="11" t="inlineStr">
        <is>
          <t>Total non-current assets</t>
        </is>
      </c>
      <c r="B43" s="13" t="n">
        <v>785302</v>
      </c>
      <c r="C43" s="13" t="n">
        <v>1004911</v>
      </c>
      <c r="D43" s="13" t="n">
        <v>1126998</v>
      </c>
      <c r="E43" s="13" t="n">
        <v>1224294</v>
      </c>
      <c r="F43" s="13" t="n">
        <v>1331538</v>
      </c>
    </row>
    <row r="44">
      <c r="A44" s="11" t="inlineStr">
        <is>
          <t>Deferred tax liabilities</t>
        </is>
      </c>
      <c r="B44" s="13" t="n">
        <v>9860</v>
      </c>
      <c r="C44" s="13" t="n">
        <v>44258</v>
      </c>
      <c r="D44" s="13" t="n">
        <v>67039</v>
      </c>
      <c r="E44" s="13" t="n">
        <v>31896</v>
      </c>
      <c r="F44" s="13" t="n">
        <v>22539</v>
      </c>
    </row>
    <row r="45">
      <c r="A45" s="11" t="inlineStr">
        <is>
          <t>Derivative financial liabilities</t>
        </is>
      </c>
      <c r="B45" s="13" t="n">
        <v>1042</v>
      </c>
      <c r="C45" s="13" t="n">
        <v>44</v>
      </c>
      <c r="D45" s="13" t="n">
        <v>1410</v>
      </c>
      <c r="E45" s="13" t="n">
        <v>21385</v>
      </c>
      <c r="F45" s="13" t="n">
        <v>12110</v>
      </c>
    </row>
    <row r="46">
      <c r="A46" s="11" t="inlineStr">
        <is>
          <t>Financial liabilities</t>
        </is>
      </c>
      <c r="B46" s="13" t="n">
        <v>370799</v>
      </c>
      <c r="C46" s="13" t="n">
        <v>241022</v>
      </c>
      <c r="D46" s="13" t="n">
        <v>241068</v>
      </c>
      <c r="E46" s="13" t="n">
        <v>211147</v>
      </c>
      <c r="F46" s="13" t="n">
        <v>141071</v>
      </c>
    </row>
    <row r="47">
      <c r="A47" s="11" t="inlineStr">
        <is>
          <t>Lease liabilities</t>
        </is>
      </c>
      <c r="B47" s="13" t="n">
        <v>343574</v>
      </c>
      <c r="C47" s="13" t="n">
        <v>356840</v>
      </c>
      <c r="D47" s="13" t="n">
        <v>338657</v>
      </c>
      <c r="E47" s="13" t="n">
        <v>347318</v>
      </c>
      <c r="F47" s="13" t="n">
        <v>386670</v>
      </c>
    </row>
    <row r="48">
      <c r="A48" s="11" t="inlineStr">
        <is>
          <t>Other liabilities</t>
        </is>
      </c>
      <c r="B48" s="13" t="n">
        <v>2342</v>
      </c>
      <c r="C48" s="13" t="n">
        <v>2171</v>
      </c>
      <c r="D48" s="13" t="n">
        <v>2007</v>
      </c>
      <c r="E48" s="13" t="n">
        <v>2521</v>
      </c>
      <c r="F48" s="13" t="n">
        <v>2457</v>
      </c>
    </row>
    <row r="49">
      <c r="A49" s="11" t="inlineStr">
        <is>
          <t>Provisions</t>
        </is>
      </c>
      <c r="B49" s="13" t="n">
        <v>39046</v>
      </c>
      <c r="C49" s="13" t="n">
        <v>47780</v>
      </c>
      <c r="D49" s="13" t="n">
        <v>50888</v>
      </c>
      <c r="E49" s="13" t="n">
        <v>52652</v>
      </c>
      <c r="F49" s="13" t="n">
        <v>55711</v>
      </c>
    </row>
    <row r="50">
      <c r="A50" s="11" t="inlineStr">
        <is>
          <t>Total non-current liabilities</t>
        </is>
      </c>
      <c r="B50" s="13" t="n">
        <v>766665</v>
      </c>
      <c r="C50" s="13" t="n">
        <v>692117</v>
      </c>
      <c r="D50" s="13" t="n">
        <v>701072</v>
      </c>
      <c r="E50" s="13" t="n">
        <v>666920</v>
      </c>
      <c r="F50" s="13" t="n">
        <v>620561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Company: FAST RETAILING CO., LTD. (6288.HK)</t>
        </is>
      </c>
    </row>
    <row r="2">
      <c r="A2" s="11" t="inlineStr">
        <is>
          <t>Statement: Cash Flow Statement</t>
        </is>
      </c>
    </row>
    <row r="3">
      <c r="A3" s="11" t="inlineStr">
        <is>
          <t>Units: JPY in Millions</t>
        </is>
      </c>
    </row>
    <row r="4">
      <c r="A4" s="11" t="inlineStr">
        <is>
          <t>Source: manual ingestion (JP)</t>
        </is>
      </c>
    </row>
    <row r="5"/>
    <row r="6">
      <c r="A6" s="11" t="inlineStr">
        <is>
          <t>Line Item</t>
        </is>
      </c>
      <c r="B6" s="12" t="n">
        <v>44439</v>
      </c>
      <c r="C6" s="12" t="n">
        <v>44804</v>
      </c>
      <c r="D6" s="12" t="n">
        <v>45169</v>
      </c>
      <c r="E6" s="12" t="n">
        <v>45535</v>
      </c>
      <c r="F6" s="12" t="n">
        <v>45900</v>
      </c>
    </row>
    <row r="7">
      <c r="A7" s="11" t="inlineStr">
        <is>
          <t>(Increase)/decrease in inventories</t>
        </is>
      </c>
      <c r="B7" s="13" t="n">
        <v>36749</v>
      </c>
      <c r="C7" s="13" t="n">
        <v>-50896</v>
      </c>
      <c r="D7" s="13" t="n">
        <v>46908</v>
      </c>
      <c r="E7" s="13" t="n">
        <v>-23540</v>
      </c>
      <c r="F7" s="13" t="n">
        <v>-29855</v>
      </c>
    </row>
    <row r="8">
      <c r="A8" s="11" t="inlineStr">
        <is>
          <t>(Increase)/decrease in other assets</t>
        </is>
      </c>
      <c r="B8" s="13" t="n">
        <v>3494</v>
      </c>
      <c r="C8" s="13" t="n">
        <v>-7125</v>
      </c>
      <c r="D8" s="13" t="n">
        <v>8354</v>
      </c>
      <c r="E8" s="13" t="n">
        <v>-876</v>
      </c>
      <c r="F8" s="13" t="n">
        <v>-2479</v>
      </c>
    </row>
    <row r="9">
      <c r="A9" s="11" t="inlineStr">
        <is>
          <t>(Increase)/decrease in trade and other receivables</t>
        </is>
      </c>
      <c r="B9" s="13" t="n">
        <v>15334</v>
      </c>
      <c r="C9" s="13" t="n">
        <v>-2651</v>
      </c>
      <c r="D9" s="13" t="n">
        <v>-7535</v>
      </c>
      <c r="E9" s="13" t="n">
        <v>-17394</v>
      </c>
      <c r="F9" s="13" t="n">
        <v>-12718</v>
      </c>
    </row>
    <row r="10">
      <c r="A10" s="11" t="inlineStr">
        <is>
          <t>Amounts deposited into bank deposits with original maturities of three months or longer</t>
        </is>
      </c>
      <c r="B10" s="13" t="n">
        <v>-102307</v>
      </c>
      <c r="C10" s="13" t="n">
        <v>-143517</v>
      </c>
      <c r="D10" s="13" t="n">
        <v>-387720</v>
      </c>
      <c r="E10" s="13" t="n">
        <v>-441156</v>
      </c>
      <c r="F10" s="13" t="n">
        <v>-1008113</v>
      </c>
    </row>
    <row r="11">
      <c r="A11" s="11" t="inlineStr">
        <is>
          <t>Amounts withdrawn from bank deposits with original maturities of three months or longer</t>
        </is>
      </c>
      <c r="B11" s="13" t="n">
        <v>99943</v>
      </c>
      <c r="C11" s="13" t="n">
        <v>126774</v>
      </c>
      <c r="D11" s="13" t="n">
        <v>182882</v>
      </c>
      <c r="E11" s="13" t="n">
        <v>460241</v>
      </c>
      <c r="F11" s="13" t="n">
        <v>798490</v>
      </c>
    </row>
    <row r="12">
      <c r="A12" s="11" t="inlineStr">
        <is>
          <t>Cash and cash equivalents at the beginning of year</t>
        </is>
      </c>
      <c r="B12" s="13" t="n">
        <v>1093531</v>
      </c>
      <c r="C12" s="13" t="n">
        <v>1177736</v>
      </c>
      <c r="D12" s="13" t="n">
        <v>1358292</v>
      </c>
      <c r="E12" s="13" t="n">
        <v>903280</v>
      </c>
      <c r="F12" s="13" t="n">
        <v>1193560</v>
      </c>
    </row>
    <row r="13">
      <c r="A13" s="11" t="inlineStr">
        <is>
          <t>Cash and cash equivalents at the end of year</t>
        </is>
      </c>
      <c r="B13" s="13" t="n">
        <v>1177736</v>
      </c>
      <c r="C13" s="13" t="n">
        <v>1358292</v>
      </c>
      <c r="D13" s="13" t="n">
        <v>903280</v>
      </c>
      <c r="E13" s="13" t="n">
        <v>1193560</v>
      </c>
      <c r="F13" s="13" t="n">
        <v>893239</v>
      </c>
    </row>
    <row r="14">
      <c r="A14" s="11" t="inlineStr">
        <is>
          <t>Cash generated from operations</t>
        </is>
      </c>
      <c r="B14" s="13" t="n">
        <v>509672</v>
      </c>
      <c r="C14" s="13" t="n">
        <v>518010</v>
      </c>
      <c r="D14" s="13" t="n">
        <v>610338</v>
      </c>
      <c r="E14" s="13" t="n">
        <v>739726</v>
      </c>
      <c r="F14" s="13" t="n">
        <v>728879</v>
      </c>
    </row>
    <row r="15">
      <c r="A15" s="11" t="inlineStr">
        <is>
          <t>Depreciation and amortization</t>
        </is>
      </c>
      <c r="B15" s="13" t="n">
        <v>177910</v>
      </c>
      <c r="C15" s="13" t="n">
        <v>180275</v>
      </c>
      <c r="D15" s="13" t="n">
        <v>186872</v>
      </c>
      <c r="E15" s="13" t="n">
        <v>204388</v>
      </c>
      <c r="F15" s="13" t="n">
        <v>216492</v>
      </c>
    </row>
    <row r="16">
      <c r="A16" s="11" t="inlineStr">
        <is>
          <t>Dividends paid to non-controlling interests</t>
        </is>
      </c>
      <c r="B16" s="13" t="n">
        <v>-2342</v>
      </c>
      <c r="C16" s="13" t="n">
        <v>-11623</v>
      </c>
      <c r="D16" s="13" t="n">
        <v>-20460</v>
      </c>
      <c r="E16" s="13" t="n">
        <v>-18369</v>
      </c>
      <c r="F16" s="13" t="n">
        <v>-26428</v>
      </c>
    </row>
    <row r="17">
      <c r="A17" s="11" t="inlineStr">
        <is>
          <t>Dividends paid to owners of the Parent</t>
        </is>
      </c>
      <c r="B17" s="13" t="n">
        <v>-48993</v>
      </c>
      <c r="C17" s="13" t="n">
        <v>-53091</v>
      </c>
      <c r="D17" s="13" t="n">
        <v>-73064</v>
      </c>
      <c r="E17" s="13" t="n">
        <v>-104263</v>
      </c>
      <c r="F17" s="13" t="n">
        <v>-142630</v>
      </c>
    </row>
    <row r="18">
      <c r="A18" s="11" t="inlineStr">
        <is>
          <t>Effect of exchange rate changes on the balance of cash held in foreign currencies</t>
        </is>
      </c>
      <c r="B18" s="13" t="n">
        <v>40818</v>
      </c>
      <c r="C18" s="13" t="n">
        <v>175015</v>
      </c>
      <c r="D18" s="13" t="n">
        <v>20735</v>
      </c>
      <c r="E18" s="13" t="n">
        <v>-10007</v>
      </c>
      <c r="F18" s="13" t="n">
        <v>37122</v>
      </c>
    </row>
    <row r="19">
      <c r="A19" s="11" t="inlineStr">
        <is>
          <t>Foreign exchange losses/(gains)</t>
        </is>
      </c>
      <c r="B19" s="13" t="n">
        <v>-19222</v>
      </c>
      <c r="C19" s="13" t="n">
        <v>-114324</v>
      </c>
      <c r="D19" s="13" t="n">
        <v>-25385</v>
      </c>
      <c r="E19" s="13" t="n">
        <v>-621</v>
      </c>
      <c r="F19" s="13" t="n">
        <v>-33826</v>
      </c>
    </row>
    <row r="20">
      <c r="A20" s="11" t="inlineStr">
        <is>
          <t>Impairment losses/(Reversal of impairment losses)</t>
        </is>
      </c>
      <c r="B20" s="13" t="n">
        <v>16908</v>
      </c>
      <c r="C20" s="13" t="n">
        <v>23150</v>
      </c>
      <c r="D20" s="13" t="n">
        <v>3958</v>
      </c>
      <c r="E20" s="13" t="n">
        <v>-1700</v>
      </c>
      <c r="F20" s="13" t="n">
        <v>598</v>
      </c>
    </row>
    <row r="21">
      <c r="A21" s="11" t="inlineStr">
        <is>
          <t>Income taxes paid</t>
        </is>
      </c>
      <c r="B21" s="13" t="n">
        <v>-80555</v>
      </c>
      <c r="C21" s="13" t="n">
        <v>-95867</v>
      </c>
      <c r="D21" s="13" t="n">
        <v>-160368</v>
      </c>
      <c r="E21" s="13" t="n">
        <v>-156361</v>
      </c>
      <c r="F21" s="13" t="n">
        <v>-202242</v>
      </c>
    </row>
    <row r="22">
      <c r="A22" s="11" t="inlineStr">
        <is>
          <t>Income taxes refunded</t>
        </is>
      </c>
      <c r="B22" s="13" t="n">
        <v>1818</v>
      </c>
      <c r="C22" s="13" t="n">
        <v>7711</v>
      </c>
      <c r="D22" s="13" t="n">
        <v>493</v>
      </c>
      <c r="E22" s="13" t="n">
        <v>22800</v>
      </c>
      <c r="F22" s="13" t="n">
        <v>2225</v>
      </c>
    </row>
    <row r="23">
      <c r="A23" s="11" t="inlineStr">
        <is>
          <t>Increase/(decrease) in other liabilities</t>
        </is>
      </c>
      <c r="B23" s="13" t="n">
        <v>9300</v>
      </c>
      <c r="C23" s="13" t="n">
        <v>-9531</v>
      </c>
      <c r="D23" s="13" t="n">
        <v>-3700</v>
      </c>
      <c r="E23" s="13" t="n">
        <v>31520</v>
      </c>
      <c r="F23" s="13" t="n">
        <v>3852</v>
      </c>
    </row>
    <row r="24">
      <c r="A24" s="11" t="inlineStr">
        <is>
          <t>Increase/(decrease) in trade and other payables</t>
        </is>
      </c>
      <c r="B24" s="13" t="n">
        <v>384</v>
      </c>
      <c r="C24" s="13" t="n">
        <v>114600</v>
      </c>
      <c r="D24" s="13" t="n">
        <v>-15909</v>
      </c>
      <c r="E24" s="13" t="n">
        <v>47320</v>
      </c>
      <c r="F24" s="13" t="n">
        <v>476</v>
      </c>
    </row>
    <row r="25">
      <c r="A25" s="11" t="inlineStr">
        <is>
          <t>Interest and dividends income received</t>
        </is>
      </c>
      <c r="B25" s="13" t="n">
        <v>4134</v>
      </c>
      <c r="C25" s="13" t="n">
        <v>8520</v>
      </c>
      <c r="D25" s="13" t="n">
        <v>22613</v>
      </c>
      <c r="E25" s="13" t="n">
        <v>56454</v>
      </c>
      <c r="F25" s="13" t="n">
        <v>64625</v>
      </c>
    </row>
    <row r="26">
      <c r="A26" s="11" t="inlineStr">
        <is>
          <t>Interest and dividends income</t>
        </is>
      </c>
      <c r="B26" s="13" t="n">
        <v>-4628</v>
      </c>
      <c r="C26" s="13" t="n">
        <v>-9495</v>
      </c>
      <c r="D26" s="13" t="n">
        <v>-41330</v>
      </c>
      <c r="E26" s="13" t="n">
        <v>-66751</v>
      </c>
      <c r="F26" s="13" t="n">
        <v>-65317</v>
      </c>
    </row>
    <row r="27">
      <c r="A27" s="11" t="inlineStr">
        <is>
          <t>Interest expenses</t>
        </is>
      </c>
      <c r="B27" s="13" t="n">
        <v>6990</v>
      </c>
      <c r="C27" s="13" t="n">
        <v>7560</v>
      </c>
      <c r="D27" s="13" t="n">
        <v>9791</v>
      </c>
      <c r="E27" s="13" t="n">
        <v>11078</v>
      </c>
      <c r="F27" s="13" t="n">
        <v>12834</v>
      </c>
    </row>
    <row r="28">
      <c r="A28" s="11" t="inlineStr">
        <is>
          <t>Interest paid</t>
        </is>
      </c>
      <c r="B28" s="13" t="n">
        <v>-6101</v>
      </c>
      <c r="C28" s="13" t="n">
        <v>-7557</v>
      </c>
      <c r="D28" s="13" t="n">
        <v>-9861</v>
      </c>
      <c r="E28" s="13" t="n">
        <v>-11099</v>
      </c>
      <c r="F28" s="13" t="n">
        <v>-12869</v>
      </c>
    </row>
    <row r="29">
      <c r="A29" s="11" t="inlineStr">
        <is>
          <t>Losses on disposal of property, plant and equipment</t>
        </is>
      </c>
      <c r="B29" s="13" t="n">
        <v>985</v>
      </c>
      <c r="C29" s="13" t="n">
        <v>1136</v>
      </c>
      <c r="D29" s="13" t="n">
        <v>917</v>
      </c>
      <c r="E29" s="13" t="n">
        <v>1397</v>
      </c>
      <c r="F29" s="13" t="n">
        <v>1342</v>
      </c>
    </row>
    <row r="30">
      <c r="A30" s="11" t="inlineStr">
        <is>
          <t>Net cash generated by operating activities</t>
        </is>
      </c>
      <c r="B30" s="13" t="n">
        <v>428968</v>
      </c>
      <c r="C30" s="13" t="n">
        <v>430817</v>
      </c>
      <c r="D30" s="13" t="n">
        <v>463216</v>
      </c>
      <c r="E30" s="13" t="n">
        <v>651521</v>
      </c>
      <c r="F30" s="13" t="n">
        <v>580618</v>
      </c>
    </row>
    <row r="31">
      <c r="A31" s="11" t="inlineStr">
        <is>
          <t>Net cash used in financing activities</t>
        </is>
      </c>
      <c r="B31" s="13" t="n">
        <v>-302985</v>
      </c>
      <c r="C31" s="13" t="n">
        <v>-213050</v>
      </c>
      <c r="D31" s="13" t="n">
        <v>-364562</v>
      </c>
      <c r="E31" s="13" t="n">
        <v>-269003</v>
      </c>
      <c r="F31" s="13" t="n">
        <v>-339139</v>
      </c>
    </row>
    <row r="32">
      <c r="A32" s="11" t="inlineStr">
        <is>
          <t>Net cash used in investing activities</t>
        </is>
      </c>
      <c r="B32" s="13" t="n">
        <v>-82597</v>
      </c>
      <c r="C32" s="13" t="n">
        <v>-212226</v>
      </c>
      <c r="D32" s="13" t="n">
        <v>-574402</v>
      </c>
      <c r="E32" s="13" t="n">
        <v>-82231</v>
      </c>
      <c r="F32" s="13" t="n">
        <v>-578922</v>
      </c>
    </row>
    <row r="33">
      <c r="A33" s="11" t="inlineStr">
        <is>
          <t>Net increase/(decrease) in cash and cash equivalents</t>
        </is>
      </c>
      <c r="B33" s="13" t="n">
        <v>84204</v>
      </c>
      <c r="C33" s="13" t="n">
        <v>180556</v>
      </c>
      <c r="D33" s="13" t="n">
        <v>-455011</v>
      </c>
      <c r="E33" s="13" t="n">
        <v>290279</v>
      </c>
      <c r="F33" s="13" t="n">
        <v>-300320</v>
      </c>
    </row>
    <row r="34">
      <c r="A34" s="11" t="inlineStr">
        <is>
          <t>Others, net</t>
        </is>
      </c>
      <c r="B34" s="13" t="n">
        <v>155</v>
      </c>
      <c r="C34" s="13" t="n">
        <v>705</v>
      </c>
      <c r="D34" s="13" t="n">
        <v>413</v>
      </c>
      <c r="E34" s="13" t="n">
        <v>63</v>
      </c>
      <c r="F34" s="13" t="n">
        <v>430</v>
      </c>
    </row>
    <row r="35">
      <c r="A35" s="11" t="inlineStr">
        <is>
          <t>Others, net</t>
        </is>
      </c>
      <c r="B35" s="13" t="n">
        <v>407</v>
      </c>
      <c r="C35" s="13" t="n">
        <v>3301</v>
      </c>
      <c r="D35" s="13" t="n">
        <v>-1381</v>
      </c>
      <c r="E35" s="13" t="n">
        <v>171</v>
      </c>
      <c r="F35" s="13" t="n">
        <v>7399</v>
      </c>
    </row>
    <row r="36">
      <c r="A36" s="11" t="inlineStr">
        <is>
          <t>Others, net</t>
        </is>
      </c>
      <c r="B36" s="13" t="n">
        <v>153</v>
      </c>
      <c r="C36" s="13" t="n">
        <v>-27211</v>
      </c>
      <c r="D36" s="13" t="n">
        <v>10617</v>
      </c>
      <c r="E36" s="13" t="n">
        <v>-878</v>
      </c>
      <c r="F36" s="13" t="n">
        <v>-11391</v>
      </c>
    </row>
    <row r="37">
      <c r="A37" s="11" t="inlineStr">
        <is>
          <t>Payments for acquisition of right-of-use assets</t>
        </is>
      </c>
      <c r="B37" s="13" t="n">
        <v>-846</v>
      </c>
      <c r="C37" s="13" t="n">
        <v>-796</v>
      </c>
      <c r="D37" s="13" t="n">
        <v>-1851</v>
      </c>
      <c r="E37" s="13" t="n">
        <v>-2015</v>
      </c>
      <c r="F37" s="13" t="n">
        <v>-15924</v>
      </c>
    </row>
    <row r="38">
      <c r="A38" s="11" t="inlineStr">
        <is>
          <t>Payments for intangible assets</t>
        </is>
      </c>
      <c r="B38" s="13" t="n">
        <v>-19624</v>
      </c>
      <c r="C38" s="13" t="n">
        <v>-28335</v>
      </c>
      <c r="D38" s="13" t="n">
        <v>-33542</v>
      </c>
      <c r="E38" s="13" t="n">
        <v>-30260</v>
      </c>
      <c r="F38" s="13" t="n">
        <v>-27329</v>
      </c>
    </row>
    <row r="39">
      <c r="A39" s="11" t="inlineStr">
        <is>
          <t>Payments for investment securities</t>
        </is>
      </c>
      <c r="B39" s="13" t="n">
        <v>0</v>
      </c>
      <c r="C39" s="13" t="n">
        <v>-117521</v>
      </c>
      <c r="D39" s="13" t="n">
        <v>-481399</v>
      </c>
      <c r="E39" s="13" t="n">
        <v>-399523</v>
      </c>
      <c r="F39" s="13" t="n">
        <v>-474222</v>
      </c>
    </row>
    <row r="40">
      <c r="A40" s="11" t="inlineStr">
        <is>
          <t>Payments for lease and guarantee deposits</t>
        </is>
      </c>
      <c r="B40" s="13" t="n">
        <v>-3979</v>
      </c>
      <c r="C40" s="13" t="n">
        <v>-5973</v>
      </c>
      <c r="D40" s="13" t="n">
        <v>-4865</v>
      </c>
      <c r="E40" s="13" t="n">
        <v>-6108</v>
      </c>
      <c r="F40" s="13" t="n">
        <v>-6113</v>
      </c>
    </row>
    <row r="41">
      <c r="A41" s="11" t="inlineStr">
        <is>
          <t>Payments for property, plant and equipment</t>
        </is>
      </c>
      <c r="B41" s="13" t="n">
        <v>-56500</v>
      </c>
      <c r="C41" s="13" t="n">
        <v>-51271</v>
      </c>
      <c r="D41" s="13" t="n">
        <v>-61764</v>
      </c>
      <c r="E41" s="13" t="n">
        <v>-73728</v>
      </c>
      <c r="F41" s="13" t="n">
        <v>-135535</v>
      </c>
    </row>
    <row r="42">
      <c r="A42" s="11" t="inlineStr">
        <is>
          <t>Proceeds from collection of lease and guarantee deposits</t>
        </is>
      </c>
      <c r="B42" s="13" t="n">
        <v>4542</v>
      </c>
      <c r="C42" s="13" t="n">
        <v>5112</v>
      </c>
      <c r="D42" s="13" t="n">
        <v>5578</v>
      </c>
      <c r="E42" s="13" t="n">
        <v>6302</v>
      </c>
      <c r="F42" s="13" t="n">
        <v>6364</v>
      </c>
    </row>
    <row r="43">
      <c r="A43" s="11" t="inlineStr">
        <is>
          <t>Proceeds from short-term loans payable</t>
        </is>
      </c>
      <c r="B43" s="13" t="n">
        <v>64247</v>
      </c>
      <c r="C43" s="13" t="n">
        <v>14059</v>
      </c>
      <c r="D43" s="13" t="n">
        <v>6511</v>
      </c>
      <c r="E43" s="13" t="n">
        <v>4835</v>
      </c>
      <c r="F43" s="13" t="n">
        <v>566</v>
      </c>
    </row>
    <row r="44">
      <c r="A44" s="11" t="inlineStr">
        <is>
          <t>Profit before income taxes</t>
        </is>
      </c>
      <c r="B44" s="13" t="n">
        <v>265872</v>
      </c>
      <c r="C44" s="13" t="n">
        <v>413584</v>
      </c>
      <c r="D44" s="13" t="n">
        <v>437918</v>
      </c>
      <c r="E44" s="13" t="n">
        <v>557201</v>
      </c>
      <c r="F44" s="13" t="n">
        <v>650574</v>
      </c>
    </row>
    <row r="45">
      <c r="A45" s="11" t="inlineStr">
        <is>
          <t>Repayment of redemption of corporate bonds</t>
        </is>
      </c>
      <c r="B45" s="13" t="n">
        <v>-100000</v>
      </c>
      <c r="C45" s="13" t="n">
        <v>0</v>
      </c>
      <c r="D45" s="13" t="n">
        <v>-130000</v>
      </c>
      <c r="E45" s="13" t="n">
        <v>0</v>
      </c>
      <c r="F45" s="13" t="n">
        <v>-30000</v>
      </c>
    </row>
    <row r="46">
      <c r="A46" s="11" t="inlineStr">
        <is>
          <t>Repayment of short-term loans payable</t>
        </is>
      </c>
      <c r="B46" s="13" t="n">
        <v>-67804</v>
      </c>
      <c r="C46" s="13" t="n">
        <v>-26210</v>
      </c>
      <c r="D46" s="13" t="n">
        <v>-7314</v>
      </c>
      <c r="E46" s="13" t="n">
        <v>-4887</v>
      </c>
      <c r="F46" s="13" t="n">
        <v>-226</v>
      </c>
    </row>
    <row r="47">
      <c r="A47" s="11" t="inlineStr">
        <is>
          <t>Repayments of lease liabilities</t>
        </is>
      </c>
      <c r="B47" s="13" t="n">
        <v>-148248</v>
      </c>
      <c r="C47" s="13" t="n">
        <v>-136889</v>
      </c>
      <c r="D47" s="13" t="n">
        <v>-140646</v>
      </c>
      <c r="E47" s="13" t="n">
        <v>-146403</v>
      </c>
      <c r="F47" s="13" t="n">
        <v>-140483</v>
      </c>
    </row>
    <row r="48">
      <c r="A48" s="11" t="inlineStr">
        <is>
          <t>Share of (profit)/loss of associates accounted for using the equity method</t>
        </is>
      </c>
      <c r="B48" s="13" t="n">
        <v>-561</v>
      </c>
      <c r="C48" s="13" t="n">
        <v>-1059</v>
      </c>
      <c r="D48" s="13" t="n">
        <v>-1139</v>
      </c>
      <c r="E48" s="13" t="n">
        <v>-1417</v>
      </c>
      <c r="F48" s="13" t="n">
        <v>-1704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>
      <c r="A1" s="11" t="inlineStr">
        <is>
          <t>FAST RETAILING CO., LTD. (6288.HK) — Condensed Financials</t>
        </is>
      </c>
    </row>
    <row r="2"/>
    <row r="3"/>
    <row r="4">
      <c r="A4" s="11" t="inlineStr">
        <is>
          <t>BALANCE SHEET CLASSIFICATION</t>
        </is>
      </c>
    </row>
    <row r="5">
      <c r="A5" s="11" t="inlineStr">
        <is>
          <t>Line Item</t>
        </is>
      </c>
      <c r="B5" s="11" t="inlineStr">
        <is>
          <t>Classification</t>
        </is>
      </c>
      <c r="C5" s="12" t="n">
        <v>44439</v>
      </c>
      <c r="D5" s="12" t="n">
        <v>44804</v>
      </c>
      <c r="E5" s="12" t="n">
        <v>45169</v>
      </c>
      <c r="F5" s="12" t="n">
        <v>45535</v>
      </c>
      <c r="G5" s="12" t="n">
        <v>45900</v>
      </c>
      <c r="H5" s="11" t="inlineStr">
        <is>
          <t>Notes</t>
        </is>
      </c>
    </row>
    <row r="6">
      <c r="A6" s="11" t="inlineStr">
        <is>
          <t>Cash and cash equivalents</t>
        </is>
      </c>
      <c r="B6" s="11" t="inlineStr">
        <is>
          <t>Financial Asset</t>
        </is>
      </c>
      <c r="C6" s="13" t="n">
        <v>1177736</v>
      </c>
      <c r="D6" s="13" t="n">
        <v>1358292</v>
      </c>
      <c r="E6" s="13" t="n">
        <v>903280</v>
      </c>
      <c r="F6" s="13" t="n">
        <v>1193560</v>
      </c>
      <c r="G6" s="13" t="n">
        <v>893239</v>
      </c>
    </row>
    <row r="7">
      <c r="A7" s="11" t="inlineStr">
        <is>
          <t>Derivative financial assets</t>
        </is>
      </c>
      <c r="B7" s="11">
        <f>IF('Accounting Judgment'!$F$5="","Financial Asset",'Accounting Judgment'!$F$5)</f>
        <v/>
      </c>
      <c r="C7" s="13" t="n">
        <v>27103</v>
      </c>
      <c r="D7" s="13" t="n">
        <v>124551</v>
      </c>
      <c r="E7" s="13" t="n">
        <v>132101</v>
      </c>
      <c r="F7" s="13" t="n">
        <v>111658</v>
      </c>
      <c r="G7" s="13" t="n">
        <v>94803</v>
      </c>
      <c r="H7" s="11" t="inlineStr">
        <is>
          <t>⚠ Review: Generic financial-asset concept — financial vs operating purpose/hedging judgment</t>
        </is>
      </c>
    </row>
    <row r="8">
      <c r="A8" s="11" t="inlineStr">
        <is>
          <t>Income taxes receivable</t>
        </is>
      </c>
      <c r="B8" s="11" t="inlineStr">
        <is>
          <t>Operating Working Capital Asset</t>
        </is>
      </c>
      <c r="C8" s="13" t="n">
        <v>2992</v>
      </c>
      <c r="D8" s="13" t="n">
        <v>2612</v>
      </c>
      <c r="E8" s="13" t="n">
        <v>23660</v>
      </c>
      <c r="F8" s="13" t="n">
        <v>2210</v>
      </c>
      <c r="G8" s="13" t="n">
        <v>8042</v>
      </c>
    </row>
    <row r="9">
      <c r="A9" s="11" t="inlineStr">
        <is>
          <t>Inventories</t>
        </is>
      </c>
      <c r="B9" s="11" t="inlineStr">
        <is>
          <t>Operating Working Capital Asset</t>
        </is>
      </c>
      <c r="C9" s="13" t="n">
        <v>394868</v>
      </c>
      <c r="D9" s="13" t="n">
        <v>485928</v>
      </c>
      <c r="E9" s="13" t="n">
        <v>449254</v>
      </c>
      <c r="F9" s="13" t="n">
        <v>474460</v>
      </c>
      <c r="G9" s="13" t="n">
        <v>510958</v>
      </c>
    </row>
    <row r="10">
      <c r="A10" s="11" t="inlineStr">
        <is>
          <t>Other assets</t>
        </is>
      </c>
      <c r="B10" s="11">
        <f>IF('Accounting Judgment'!$F$6="","Operating Working Capital Asset",'Accounting Judgment'!$F$6)</f>
        <v/>
      </c>
      <c r="C10" s="13" t="n">
        <v>15270</v>
      </c>
      <c r="D10" s="13" t="n">
        <v>23835</v>
      </c>
      <c r="E10" s="13" t="n">
        <v>25372</v>
      </c>
      <c r="F10" s="13" t="n">
        <v>26897</v>
      </c>
      <c r="G10" s="13" t="n">
        <v>24662</v>
      </c>
      <c r="H10" s="11" t="inlineStr">
        <is>
          <t>⚠ Review: Explicit residual balance-sheet concept identifies side/horizon but not economic nature — operating vs financial judgment</t>
        </is>
      </c>
    </row>
    <row r="11">
      <c r="A11" s="11" t="inlineStr">
        <is>
          <t>Other financial assets</t>
        </is>
      </c>
      <c r="B11" s="11">
        <f>IF('Accounting Judgment'!$F$7="","Financial Asset",'Accounting Judgment'!$F$7)</f>
        <v/>
      </c>
      <c r="C11" s="13" t="n">
        <v>56157</v>
      </c>
      <c r="D11" s="13" t="n">
        <v>123446</v>
      </c>
      <c r="E11" s="13" t="n">
        <v>576194</v>
      </c>
      <c r="F11" s="13" t="n">
        <v>470554</v>
      </c>
      <c r="G11" s="13" t="n">
        <v>899701</v>
      </c>
      <c r="H11" s="11" t="inlineStr">
        <is>
          <t>⚠ Review: Generic financial-asset concept — financial vs operating purpose/hedging judgment</t>
        </is>
      </c>
    </row>
    <row r="12">
      <c r="A12" s="11" t="inlineStr">
        <is>
          <t>Trade and other receivables</t>
        </is>
      </c>
      <c r="B12" s="11" t="inlineStr">
        <is>
          <t>Operating Working Capital Asset</t>
        </is>
      </c>
      <c r="C12" s="13" t="n">
        <v>50546</v>
      </c>
      <c r="D12" s="13" t="n">
        <v>60184</v>
      </c>
      <c r="E12" s="13" t="n">
        <v>66831</v>
      </c>
      <c r="F12" s="13" t="n">
        <v>83929</v>
      </c>
      <c r="G12" s="13" t="n">
        <v>96407</v>
      </c>
    </row>
    <row r="13">
      <c r="A13" s="11" t="inlineStr">
        <is>
          <t>Current tax liabilities</t>
        </is>
      </c>
      <c r="B13" s="11" t="inlineStr">
        <is>
          <t>Operating Working Capital Liability</t>
        </is>
      </c>
      <c r="C13" s="13" t="n">
        <v>38606</v>
      </c>
      <c r="D13" s="13" t="n">
        <v>77162</v>
      </c>
      <c r="E13" s="13" t="n">
        <v>65428</v>
      </c>
      <c r="F13" s="13" t="n">
        <v>65525</v>
      </c>
      <c r="G13" s="13" t="n">
        <v>73072</v>
      </c>
    </row>
    <row r="14">
      <c r="A14" s="11" t="inlineStr">
        <is>
          <t>Derivative financial liabilities</t>
        </is>
      </c>
      <c r="B14" s="11">
        <f>IF('Accounting Judgment'!$F$8="","Financial Liability",'Accounting Judgment'!$F$8)</f>
        <v/>
      </c>
      <c r="C14" s="13" t="n">
        <v>2493</v>
      </c>
      <c r="D14" s="13" t="n">
        <v>1513</v>
      </c>
      <c r="E14" s="13" t="n">
        <v>3600</v>
      </c>
      <c r="F14" s="13" t="n">
        <v>12716</v>
      </c>
      <c r="G14" s="13" t="n">
        <v>19250</v>
      </c>
      <c r="H14" s="11" t="inlineStr">
        <is>
          <t>⚠ Review: Generic financial-liability concept — financial vs operating purpose/hedging judgment</t>
        </is>
      </c>
    </row>
    <row r="15">
      <c r="A15" s="11" t="inlineStr">
        <is>
          <t>Lease liabilities</t>
        </is>
      </c>
      <c r="B15" s="11">
        <f>IF('Accounting Judgment'!$F$9="","Operating Long-Term Liability",'Accounting Judgment'!$F$9)</f>
        <v/>
      </c>
      <c r="C15" s="13" t="n">
        <v>117083</v>
      </c>
      <c r="D15" s="13" t="n">
        <v>123885</v>
      </c>
      <c r="E15" s="13" t="n">
        <v>126992</v>
      </c>
      <c r="F15" s="13" t="n">
        <v>130744</v>
      </c>
      <c r="G15" s="13" t="n">
        <v>126830</v>
      </c>
      <c r="H15" s="11" t="inlineStr">
        <is>
          <t>⚠ Review: Lease liability concept — operating vs financial judgment</t>
        </is>
      </c>
    </row>
    <row r="16">
      <c r="A16" s="11" t="inlineStr">
        <is>
          <t>Other financial liabilities</t>
        </is>
      </c>
      <c r="B16" s="11">
        <f>IF('Accounting Judgment'!$F$10="","Financial Liability",'Accounting Judgment'!$F$10)</f>
        <v/>
      </c>
      <c r="C16" s="13" t="n">
        <v>104969</v>
      </c>
      <c r="D16" s="13" t="n">
        <v>209286</v>
      </c>
      <c r="E16" s="13" t="n">
        <v>61913</v>
      </c>
      <c r="F16" s="13" t="n">
        <v>104770</v>
      </c>
      <c r="G16" s="13" t="n">
        <v>150942</v>
      </c>
      <c r="H16" s="11" t="inlineStr">
        <is>
          <t>⚠ Review: Generic financial-liability concept — financial vs operating purpose/hedging judgment</t>
        </is>
      </c>
    </row>
    <row r="17">
      <c r="A17" s="11" t="inlineStr">
        <is>
          <t>Other liabilities</t>
        </is>
      </c>
      <c r="B17" s="11">
        <f>IF('Accounting Judgment'!$F$11="","Operating Working Capital Liability",'Accounting Judgment'!$F$11)</f>
        <v/>
      </c>
      <c r="C17" s="13" t="n">
        <v>95652</v>
      </c>
      <c r="D17" s="13" t="n">
        <v>111519</v>
      </c>
      <c r="E17" s="13" t="n">
        <v>129782</v>
      </c>
      <c r="F17" s="13" t="n">
        <v>148201</v>
      </c>
      <c r="G17" s="13" t="n">
        <v>149394</v>
      </c>
      <c r="H17" s="11" t="inlineStr">
        <is>
          <t>⚠ Review: Explicit residual balance-sheet concept identifies side/horizon but not economic nature — operating vs financial judgment</t>
        </is>
      </c>
    </row>
    <row r="18">
      <c r="A18" s="11" t="inlineStr">
        <is>
          <t>Provisions</t>
        </is>
      </c>
      <c r="B18" s="11" t="inlineStr">
        <is>
          <t>Operating Working Capital Liability</t>
        </is>
      </c>
      <c r="C18" s="13" t="n">
        <v>2149</v>
      </c>
      <c r="D18" s="13" t="n">
        <v>2581</v>
      </c>
      <c r="E18" s="13" t="n">
        <v>2642</v>
      </c>
      <c r="F18" s="13" t="n">
        <v>1774</v>
      </c>
      <c r="G18" s="13" t="n">
        <v>1651</v>
      </c>
    </row>
    <row r="19">
      <c r="A19" s="11" t="inlineStr">
        <is>
          <t>Trade and other payables</t>
        </is>
      </c>
      <c r="B19" s="11" t="inlineStr">
        <is>
          <t>Operating Working Capital Liability</t>
        </is>
      </c>
      <c r="C19" s="13" t="n">
        <v>220057</v>
      </c>
      <c r="D19" s="13" t="n">
        <v>350294</v>
      </c>
      <c r="E19" s="13" t="n">
        <v>338901</v>
      </c>
      <c r="F19" s="13" t="n">
        <v>388656</v>
      </c>
      <c r="G19" s="13" t="n">
        <v>390149</v>
      </c>
    </row>
    <row r="20">
      <c r="A20" s="11" t="inlineStr">
        <is>
          <t>Capital stock</t>
        </is>
      </c>
      <c r="B20" s="11" t="inlineStr">
        <is>
          <t>Equity</t>
        </is>
      </c>
      <c r="C20" s="13" t="n">
        <v>10273</v>
      </c>
      <c r="D20" s="13" t="n">
        <v>10273</v>
      </c>
      <c r="E20" s="13" t="n">
        <v>10273</v>
      </c>
      <c r="F20" s="13" t="n">
        <v>10273</v>
      </c>
      <c r="G20" s="13" t="n">
        <v>10273</v>
      </c>
    </row>
    <row r="21">
      <c r="A21" s="11" t="inlineStr">
        <is>
          <t>Capital surplus</t>
        </is>
      </c>
      <c r="B21" s="11" t="inlineStr">
        <is>
          <t>Equity</t>
        </is>
      </c>
      <c r="C21" s="13" t="n">
        <v>25360</v>
      </c>
      <c r="D21" s="13" t="n">
        <v>27834</v>
      </c>
      <c r="E21" s="13" t="n">
        <v>28531</v>
      </c>
      <c r="F21" s="13" t="n">
        <v>29712</v>
      </c>
      <c r="G21" s="13" t="n">
        <v>30998</v>
      </c>
    </row>
    <row r="22">
      <c r="A22" s="11" t="inlineStr">
        <is>
          <t>Equity attributable to owners of the Parent</t>
        </is>
      </c>
      <c r="B22" s="11" t="inlineStr">
        <is>
          <t>Equity</t>
        </is>
      </c>
      <c r="C22" s="13" t="n">
        <v>1116484</v>
      </c>
      <c r="D22" s="13" t="n">
        <v>1561652</v>
      </c>
      <c r="E22" s="13" t="n">
        <v>1821405</v>
      </c>
      <c r="F22" s="13" t="n">
        <v>2016535</v>
      </c>
      <c r="G22" s="13" t="n">
        <v>2273115</v>
      </c>
    </row>
    <row r="23">
      <c r="A23" s="11" t="inlineStr">
        <is>
          <t>Non-controlling interests</t>
        </is>
      </c>
      <c r="B23" s="11" t="inlineStr">
        <is>
          <t>Equity</t>
        </is>
      </c>
      <c r="C23" s="13" t="n">
        <v>45813</v>
      </c>
      <c r="D23" s="13" t="n">
        <v>53750</v>
      </c>
      <c r="E23" s="13" t="n">
        <v>51955</v>
      </c>
      <c r="F23" s="13" t="n">
        <v>51718</v>
      </c>
      <c r="G23" s="13" t="n">
        <v>54385</v>
      </c>
    </row>
    <row r="24">
      <c r="A24" s="11" t="inlineStr">
        <is>
          <t>Other components of equity</t>
        </is>
      </c>
      <c r="B24" s="11" t="inlineStr">
        <is>
          <t>Equity</t>
        </is>
      </c>
      <c r="C24" s="13" t="n">
        <v>41031</v>
      </c>
      <c r="D24" s="13" t="n">
        <v>263255</v>
      </c>
      <c r="E24" s="13" t="n">
        <v>298965</v>
      </c>
      <c r="F24" s="13" t="n">
        <v>225104</v>
      </c>
      <c r="G24" s="13" t="n">
        <v>189936</v>
      </c>
    </row>
    <row r="25">
      <c r="A25" s="11" t="inlineStr">
        <is>
          <t>Retained earnings</t>
        </is>
      </c>
      <c r="B25" s="11" t="inlineStr">
        <is>
          <t>Equity</t>
        </is>
      </c>
      <c r="C25" s="13" t="n">
        <v>1054791</v>
      </c>
      <c r="D25" s="13" t="n">
        <v>1275102</v>
      </c>
      <c r="E25" s="13" t="n">
        <v>1498348</v>
      </c>
      <c r="F25" s="13" t="n">
        <v>1766073</v>
      </c>
      <c r="G25" s="13" t="n">
        <v>2056437</v>
      </c>
    </row>
    <row r="26">
      <c r="A26" s="11" t="inlineStr">
        <is>
          <t>Treasury stock, at cost</t>
        </is>
      </c>
      <c r="B26" s="11" t="inlineStr">
        <is>
          <t>Equity</t>
        </is>
      </c>
      <c r="C26" s="13" t="n">
        <v>-14973</v>
      </c>
      <c r="D26" s="13" t="n">
        <v>-14813</v>
      </c>
      <c r="E26" s="13" t="n">
        <v>-14714</v>
      </c>
      <c r="F26" s="13" t="n">
        <v>-14628</v>
      </c>
      <c r="G26" s="13" t="n">
        <v>-14529</v>
      </c>
    </row>
    <row r="27">
      <c r="A27" s="11" t="inlineStr">
        <is>
          <t>Deferred tax assets</t>
        </is>
      </c>
      <c r="B27" s="11" t="inlineStr">
        <is>
          <t>Operating Long-Term Asset</t>
        </is>
      </c>
      <c r="C27" s="13" t="n">
        <v>37125</v>
      </c>
      <c r="D27" s="13" t="n">
        <v>8506</v>
      </c>
      <c r="E27" s="13" t="n">
        <v>38208</v>
      </c>
      <c r="F27" s="13" t="n">
        <v>32432</v>
      </c>
      <c r="G27" s="13" t="n">
        <v>40889</v>
      </c>
      <c r="H27" s="11" t="inlineStr">
        <is>
          <t>⚠ Review: Deferred tax asset concept — operating vs exclude judgment</t>
        </is>
      </c>
    </row>
    <row r="28">
      <c r="A28" s="11" t="inlineStr">
        <is>
          <t>Derivative financial assets</t>
        </is>
      </c>
      <c r="B28" s="11">
        <f>IF('Accounting Judgment'!$F$12="","Financial Asset",'Accounting Judgment'!$F$12)</f>
        <v/>
      </c>
      <c r="C28" s="13" t="n">
        <v>22552</v>
      </c>
      <c r="D28" s="13" t="n">
        <v>134240</v>
      </c>
      <c r="E28" s="13" t="n">
        <v>114151</v>
      </c>
      <c r="F28" s="13" t="n">
        <v>66995</v>
      </c>
      <c r="G28" s="13" t="n">
        <v>33882</v>
      </c>
      <c r="H28" s="11" t="inlineStr">
        <is>
          <t>⚠ Review: Generic financial-asset concept — financial vs operating purpose/hedging judgment</t>
        </is>
      </c>
    </row>
    <row r="29">
      <c r="A29" s="11" t="inlineStr">
        <is>
          <t>Financial assets</t>
        </is>
      </c>
      <c r="B29" s="11">
        <f>IF('Accounting Judgment'!$F$13="","Financial Asset",'Accounting Judgment'!$F$13)</f>
        <v/>
      </c>
      <c r="C29" s="13" t="n">
        <v>67122</v>
      </c>
      <c r="D29" s="13" t="n">
        <v>164340</v>
      </c>
      <c r="E29" s="13" t="n">
        <v>240363</v>
      </c>
      <c r="F29" s="13" t="n">
        <v>336302</v>
      </c>
      <c r="G29" s="13" t="n">
        <v>312438</v>
      </c>
      <c r="H29" s="11" t="inlineStr">
        <is>
          <t>⚠ Review: Generic financial-asset concept — financial vs operating purpose/hedging judgment</t>
        </is>
      </c>
    </row>
    <row r="30">
      <c r="A30" s="11" t="inlineStr">
        <is>
          <t>Goodwill</t>
        </is>
      </c>
      <c r="B30" s="11" t="inlineStr">
        <is>
          <t>Operating Long-Term Asset</t>
        </is>
      </c>
      <c r="C30" s="13" t="n">
        <v>8092</v>
      </c>
      <c r="D30" s="13" t="n">
        <v>8092</v>
      </c>
      <c r="E30" s="13" t="n">
        <v>8092</v>
      </c>
      <c r="F30" s="13" t="n">
        <v>8092</v>
      </c>
      <c r="G30" s="13" t="n">
        <v>8092</v>
      </c>
    </row>
    <row r="31">
      <c r="A31" s="11" t="inlineStr">
        <is>
          <t>Intangible assets</t>
        </is>
      </c>
      <c r="B31" s="11" t="inlineStr">
        <is>
          <t>Operating Long-Term Asset</t>
        </is>
      </c>
      <c r="C31" s="13" t="n">
        <v>66939</v>
      </c>
      <c r="D31" s="13" t="n">
        <v>76621</v>
      </c>
      <c r="E31" s="13" t="n">
        <v>87300</v>
      </c>
      <c r="F31" s="13" t="n">
        <v>92568</v>
      </c>
      <c r="G31" s="13" t="n">
        <v>91606</v>
      </c>
    </row>
    <row r="32">
      <c r="A32" s="11" t="inlineStr">
        <is>
          <t>Investments in associates accounted for using the equity method</t>
        </is>
      </c>
      <c r="B32" s="11">
        <f>IF('Accounting Judgment'!$F$14="","Operating Long-Term Asset",'Accounting Judgment'!$F$14)</f>
        <v/>
      </c>
      <c r="C32" s="13" t="n">
        <v>18236</v>
      </c>
      <c r="D32" s="13" t="n">
        <v>18557</v>
      </c>
      <c r="E32" s="13" t="n">
        <v>18974</v>
      </c>
      <c r="F32" s="13" t="n">
        <v>19559</v>
      </c>
      <c r="G32" s="13" t="n">
        <v>31361</v>
      </c>
      <c r="H32" s="11" t="inlineStr">
        <is>
          <t>⚠ Review: Equity-method investment concept — operating vs financial judgment</t>
        </is>
      </c>
    </row>
    <row r="33">
      <c r="A33" s="11" t="inlineStr">
        <is>
          <t>Other assets</t>
        </is>
      </c>
      <c r="B33" s="11">
        <f>IF('Accounting Judgment'!$F$15="","Operating Long-Term Asset",'Accounting Judgment'!$F$15)</f>
        <v/>
      </c>
      <c r="C33" s="13" t="n">
        <v>6520</v>
      </c>
      <c r="D33" s="13" t="n">
        <v>3690</v>
      </c>
      <c r="E33" s="13" t="n">
        <v>8846</v>
      </c>
      <c r="F33" s="13" t="n">
        <v>5888</v>
      </c>
      <c r="G33" s="13" t="n">
        <v>3803</v>
      </c>
      <c r="H33" s="11" t="inlineStr">
        <is>
          <t>⚠ Review: Explicit residual balance-sheet concept identifies side/horizon but not economic nature — operating vs financial judgment</t>
        </is>
      </c>
    </row>
    <row r="34">
      <c r="A34" s="11" t="inlineStr">
        <is>
          <t>Property, plant and equipment</t>
        </is>
      </c>
      <c r="B34" s="11" t="inlineStr">
        <is>
          <t>Operating Long-Term Asset</t>
        </is>
      </c>
      <c r="C34" s="13" t="n">
        <v>168177</v>
      </c>
      <c r="D34" s="13" t="n">
        <v>195226</v>
      </c>
      <c r="E34" s="13" t="n">
        <v>221877</v>
      </c>
      <c r="F34" s="13" t="n">
        <v>245742</v>
      </c>
      <c r="G34" s="13" t="n">
        <v>332351</v>
      </c>
    </row>
    <row r="35">
      <c r="A35" s="11" t="inlineStr">
        <is>
          <t>Right-of-use assets</t>
        </is>
      </c>
      <c r="B35" s="11" t="inlineStr">
        <is>
          <t>Operating Long-Term Asset</t>
        </is>
      </c>
      <c r="C35" s="13" t="n">
        <v>390537</v>
      </c>
      <c r="D35" s="13" t="n">
        <v>395634</v>
      </c>
      <c r="E35" s="13" t="n">
        <v>389183</v>
      </c>
      <c r="F35" s="13" t="n">
        <v>416712</v>
      </c>
      <c r="G35" s="13" t="n">
        <v>477111</v>
      </c>
      <c r="H35" s="11" t="inlineStr">
        <is>
          <t>⚠ Review: Lease/ROU asset concept — operating vs financial judgment</t>
        </is>
      </c>
    </row>
    <row r="36">
      <c r="A36" s="11" t="inlineStr">
        <is>
          <t>Deferred tax liabilities</t>
        </is>
      </c>
      <c r="B36" s="11" t="inlineStr">
        <is>
          <t>Operating Long-Term Liability</t>
        </is>
      </c>
      <c r="C36" s="13" t="n">
        <v>9860</v>
      </c>
      <c r="D36" s="13" t="n">
        <v>44258</v>
      </c>
      <c r="E36" s="13" t="n">
        <v>67039</v>
      </c>
      <c r="F36" s="13" t="n">
        <v>31896</v>
      </c>
      <c r="G36" s="13" t="n">
        <v>22539</v>
      </c>
      <c r="H36" s="11" t="inlineStr">
        <is>
          <t>⚠ Review: Deferred tax liability concept — operating vs exclude judgment</t>
        </is>
      </c>
    </row>
    <row r="37">
      <c r="A37" s="11" t="inlineStr">
        <is>
          <t>Derivative financial liabilities</t>
        </is>
      </c>
      <c r="B37" s="11">
        <f>IF('Accounting Judgment'!$F$16="","Financial Liability",'Accounting Judgment'!$F$16)</f>
        <v/>
      </c>
      <c r="C37" s="13" t="n">
        <v>1042</v>
      </c>
      <c r="D37" s="13" t="n">
        <v>44</v>
      </c>
      <c r="E37" s="13" t="n">
        <v>1410</v>
      </c>
      <c r="F37" s="13" t="n">
        <v>21385</v>
      </c>
      <c r="G37" s="13" t="n">
        <v>12110</v>
      </c>
      <c r="H37" s="11" t="inlineStr">
        <is>
          <t>⚠ Review: Generic financial-liability concept — financial vs operating purpose/hedging judgment</t>
        </is>
      </c>
    </row>
    <row r="38">
      <c r="A38" s="11" t="inlineStr">
        <is>
          <t>Financial liabilities</t>
        </is>
      </c>
      <c r="B38" s="11">
        <f>IF('Accounting Judgment'!$F$17="","Financial Liability",'Accounting Judgment'!$F$17)</f>
        <v/>
      </c>
      <c r="C38" s="13" t="n">
        <v>370799</v>
      </c>
      <c r="D38" s="13" t="n">
        <v>241022</v>
      </c>
      <c r="E38" s="13" t="n">
        <v>241068</v>
      </c>
      <c r="F38" s="13" t="n">
        <v>211147</v>
      </c>
      <c r="G38" s="13" t="n">
        <v>141071</v>
      </c>
      <c r="H38" s="11" t="inlineStr">
        <is>
          <t>⚠ Review: Generic financial-liability concept — financial vs operating purpose/hedging judgment</t>
        </is>
      </c>
    </row>
    <row r="39">
      <c r="A39" s="11" t="inlineStr">
        <is>
          <t>Lease liabilities</t>
        </is>
      </c>
      <c r="B39" s="11">
        <f>IF('Accounting Judgment'!$F$18="","Operating Long-Term Liability",'Accounting Judgment'!$F$18)</f>
        <v/>
      </c>
      <c r="C39" s="13" t="n">
        <v>343574</v>
      </c>
      <c r="D39" s="13" t="n">
        <v>356840</v>
      </c>
      <c r="E39" s="13" t="n">
        <v>338657</v>
      </c>
      <c r="F39" s="13" t="n">
        <v>347318</v>
      </c>
      <c r="G39" s="13" t="n">
        <v>386670</v>
      </c>
      <c r="H39" s="11" t="inlineStr">
        <is>
          <t>⚠ Review: Lease liability concept — operating vs financial judgment</t>
        </is>
      </c>
    </row>
    <row r="40">
      <c r="A40" s="11" t="inlineStr">
        <is>
          <t>Other liabilities</t>
        </is>
      </c>
      <c r="B40" s="11">
        <f>IF('Accounting Judgment'!$F$19="","Operating Long-Term Liability",'Accounting Judgment'!$F$19)</f>
        <v/>
      </c>
      <c r="C40" s="13" t="n">
        <v>2342</v>
      </c>
      <c r="D40" s="13" t="n">
        <v>2171</v>
      </c>
      <c r="E40" s="13" t="n">
        <v>2007</v>
      </c>
      <c r="F40" s="13" t="n">
        <v>2521</v>
      </c>
      <c r="G40" s="13" t="n">
        <v>2457</v>
      </c>
      <c r="H40" s="11" t="inlineStr">
        <is>
          <t>⚠ Review: Explicit residual balance-sheet concept identifies side/horizon but not economic nature — operating vs financial judgment</t>
        </is>
      </c>
    </row>
    <row r="41">
      <c r="A41" s="11" t="inlineStr">
        <is>
          <t>Provisions</t>
        </is>
      </c>
      <c r="B41" s="11" t="inlineStr">
        <is>
          <t>Operating Long-Term Liability</t>
        </is>
      </c>
      <c r="C41" s="13" t="n">
        <v>39046</v>
      </c>
      <c r="D41" s="13" t="n">
        <v>47780</v>
      </c>
      <c r="E41" s="13" t="n">
        <v>50888</v>
      </c>
      <c r="F41" s="13" t="n">
        <v>52652</v>
      </c>
      <c r="G41" s="13" t="n">
        <v>55711</v>
      </c>
    </row>
    <row r="42"/>
    <row r="43">
      <c r="A43" s="11" t="inlineStr">
        <is>
          <t>CONDENSED INCOME STATEMENT</t>
        </is>
      </c>
      <c r="B43" s="12" t="n">
        <v>44439</v>
      </c>
      <c r="C43" s="12" t="n">
        <v>44804</v>
      </c>
      <c r="D43" s="12" t="n">
        <v>45169</v>
      </c>
      <c r="E43" s="12" t="n">
        <v>45535</v>
      </c>
      <c r="F43" s="12" t="n">
        <v>45900</v>
      </c>
    </row>
    <row r="44">
      <c r="A44" s="11" t="inlineStr">
        <is>
          <t>Revenue</t>
        </is>
      </c>
      <c r="B44" s="14">
        <f>'Income Statement'!B21</f>
        <v/>
      </c>
      <c r="C44" s="14">
        <f>'Income Statement'!C21</f>
        <v/>
      </c>
      <c r="D44" s="14">
        <f>'Income Statement'!D21</f>
        <v/>
      </c>
      <c r="E44" s="14">
        <f>'Income Statement'!E21</f>
        <v/>
      </c>
      <c r="F44" s="14">
        <f>'Income Statement'!F21</f>
        <v/>
      </c>
    </row>
    <row r="45">
      <c r="A45" s="11" t="inlineStr">
        <is>
          <t>Net Income</t>
        </is>
      </c>
      <c r="B45" s="14">
        <f>'Income Statement'!B20</f>
        <v/>
      </c>
      <c r="C45" s="14">
        <f>'Income Statement'!C20</f>
        <v/>
      </c>
      <c r="D45" s="14">
        <f>'Income Statement'!D20</f>
        <v/>
      </c>
      <c r="E45" s="14">
        <f>'Income Statement'!E20</f>
        <v/>
      </c>
      <c r="F45" s="14">
        <f>'Income Statement'!F20</f>
        <v/>
      </c>
    </row>
    <row r="46">
      <c r="A46" s="11" t="inlineStr">
        <is>
          <t>Pretax Income</t>
        </is>
      </c>
      <c r="B46" s="11">
        <f>'Income Statement'!B19</f>
        <v/>
      </c>
      <c r="C46" s="11">
        <f>'Income Statement'!C19</f>
        <v/>
      </c>
      <c r="D46" s="11">
        <f>'Income Statement'!D19</f>
        <v/>
      </c>
      <c r="E46" s="11">
        <f>'Income Statement'!E19</f>
        <v/>
      </c>
      <c r="F46" s="11">
        <f>'Income Statement'!F19</f>
        <v/>
      </c>
    </row>
    <row r="47">
      <c r="A47" s="11" t="inlineStr">
        <is>
          <t>Tax Expense</t>
        </is>
      </c>
      <c r="B47" s="11">
        <f>'Income Statement'!B13</f>
        <v/>
      </c>
      <c r="C47" s="11">
        <f>'Income Statement'!C13</f>
        <v/>
      </c>
      <c r="D47" s="11">
        <f>'Income Statement'!D13</f>
        <v/>
      </c>
      <c r="E47" s="11">
        <f>'Income Statement'!E13</f>
        <v/>
      </c>
      <c r="F47" s="11">
        <f>'Income Statement'!F13</f>
        <v/>
      </c>
    </row>
    <row r="48">
      <c r="A48" s="11" t="inlineStr">
        <is>
          <t>Interest Expense</t>
        </is>
      </c>
      <c r="B48" s="11">
        <f>'Income Statement'!B10</f>
        <v/>
      </c>
      <c r="C48" s="11">
        <f>'Income Statement'!C10</f>
        <v/>
      </c>
      <c r="D48" s="11">
        <f>'Income Statement'!D10</f>
        <v/>
      </c>
      <c r="E48" s="11">
        <f>'Income Statement'!E10</f>
        <v/>
      </c>
      <c r="F48" s="11">
        <f>'Income Statement'!F10</f>
        <v/>
      </c>
    </row>
    <row r="49">
      <c r="A49" s="11" t="inlineStr">
        <is>
          <t>Interest Income</t>
        </is>
      </c>
      <c r="B49" s="11">
        <f>'Income Statement'!B11</f>
        <v/>
      </c>
      <c r="C49" s="11">
        <f>'Income Statement'!C11</f>
        <v/>
      </c>
      <c r="D49" s="11">
        <f>'Income Statement'!D11</f>
        <v/>
      </c>
      <c r="E49" s="11">
        <f>'Income Statement'!E11</f>
        <v/>
      </c>
      <c r="F49" s="11">
        <f>'Income Statement'!F11</f>
        <v/>
      </c>
    </row>
    <row r="50">
      <c r="A50" s="11" t="inlineStr">
        <is>
          <t>Lease Interest Expense (disclosed)</t>
        </is>
      </c>
      <c r="B50" s="11">
        <f>'Income Statement'!B26</f>
        <v/>
      </c>
      <c r="C50" s="11">
        <f>'Income Statement'!C26</f>
        <v/>
      </c>
      <c r="D50" s="11">
        <f>'Income Statement'!D26</f>
        <v/>
      </c>
      <c r="E50" s="11">
        <f>'Income Statement'!E26</f>
        <v/>
      </c>
      <c r="F50" s="11">
        <f>'Income Statement'!F26</f>
        <v/>
      </c>
    </row>
    <row r="51">
      <c r="A51" s="11" t="inlineStr">
        <is>
          <t>Effective Tax Rate</t>
        </is>
      </c>
      <c r="B51" s="15">
        <f>IF(B46=0,NA(),-B47/B46)</f>
        <v/>
      </c>
      <c r="C51" s="15">
        <f>IF(C46=0,NA(),-C47/C46)</f>
        <v/>
      </c>
      <c r="D51" s="15">
        <f>IF(D46=0,NA(),-D47/D46)</f>
        <v/>
      </c>
      <c r="E51" s="15">
        <f>IF(E46=0,NA(),-E47/E46)</f>
        <v/>
      </c>
      <c r="F51" s="15">
        <f>IF(F46=0,NA(),-F47/F46)</f>
        <v/>
      </c>
    </row>
    <row r="52">
      <c r="A52" s="11" t="inlineStr">
        <is>
          <t>Net Interest</t>
        </is>
      </c>
      <c r="B52" s="16">
        <f>-(B48+B49)-IF(AND($B$15="Operating Long-Term Liability",$B$39="Operating Long-Term Liability"),B50,IF(AND($B$15="Financial Liability",$B$39="Financial Liability"),0,NA()))</f>
        <v/>
      </c>
      <c r="C52" s="16">
        <f>-(C48+C49)-IF(AND($B$15="Operating Long-Term Liability",$B$39="Operating Long-Term Liability"),C50,IF(AND($B$15="Financial Liability",$B$39="Financial Liability"),0,NA()))</f>
        <v/>
      </c>
      <c r="D52" s="16">
        <f>-(D48+D49)-IF(AND($B$15="Operating Long-Term Liability",$B$39="Operating Long-Term Liability"),D50,IF(AND($B$15="Financial Liability",$B$39="Financial Liability"),0,NA()))</f>
        <v/>
      </c>
      <c r="E52" s="16">
        <f>-(E48+E49)-IF(AND($B$15="Operating Long-Term Liability",$B$39="Operating Long-Term Liability"),E50,IF(AND($B$15="Financial Liability",$B$39="Financial Liability"),0,NA()))</f>
        <v/>
      </c>
      <c r="F52" s="16">
        <f>-(F48+F49)-IF(AND($B$15="Operating Long-Term Liability",$B$39="Operating Long-Term Liability"),F50,IF(AND($B$15="Financial Liability",$B$39="Financial Liability"),0,NA()))</f>
        <v/>
      </c>
    </row>
    <row r="53">
      <c r="A53" s="11" t="inlineStr">
        <is>
          <t>Net Interest After Tax</t>
        </is>
      </c>
      <c r="B53" s="16">
        <f>IF(B52=0,0,IF(ISNA(B51),NA(),B52*(1-B51)))</f>
        <v/>
      </c>
      <c r="C53" s="16">
        <f>IF(C52=0,0,IF(ISNA(C51),NA(),C52*(1-C51)))</f>
        <v/>
      </c>
      <c r="D53" s="16">
        <f>IF(D52=0,0,IF(ISNA(D51),NA(),D52*(1-D51)))</f>
        <v/>
      </c>
      <c r="E53" s="16">
        <f>IF(E52=0,0,IF(ISNA(E51),NA(),E52*(1-E51)))</f>
        <v/>
      </c>
      <c r="F53" s="16">
        <f>IF(F52=0,0,IF(ISNA(F51),NA(),F52*(1-F51)))</f>
        <v/>
      </c>
    </row>
    <row r="54">
      <c r="A54" s="11" t="inlineStr">
        <is>
          <t>NOPAT</t>
        </is>
      </c>
      <c r="B54" s="16">
        <f>B45+B53</f>
        <v/>
      </c>
      <c r="C54" s="16">
        <f>C45+C53</f>
        <v/>
      </c>
      <c r="D54" s="16">
        <f>D45+D53</f>
        <v/>
      </c>
      <c r="E54" s="16">
        <f>E45+E53</f>
        <v/>
      </c>
      <c r="F54" s="16">
        <f>F45+F53</f>
        <v/>
      </c>
    </row>
    <row r="55"/>
    <row r="56">
      <c r="A56" s="11" t="inlineStr">
        <is>
          <t>CONDENSED BALANCE SHEET</t>
        </is>
      </c>
    </row>
    <row r="57">
      <c r="A57" s="11" t="inlineStr">
        <is>
          <t>Operating Working Capital Assets</t>
        </is>
      </c>
      <c r="B57" s="16">
        <f>SUMIF($B$6:$B$41,"Operating Working Capital Asset",C$6:C$41)</f>
        <v/>
      </c>
      <c r="C57" s="16">
        <f>SUMIF($B$6:$B$41,"Operating Working Capital Asset",D$6:D$41)</f>
        <v/>
      </c>
      <c r="D57" s="16">
        <f>SUMIF($B$6:$B$41,"Operating Working Capital Asset",E$6:E$41)</f>
        <v/>
      </c>
      <c r="E57" s="16">
        <f>SUMIF($B$6:$B$41,"Operating Working Capital Asset",F$6:F$41)</f>
        <v/>
      </c>
      <c r="F57" s="16">
        <f>SUMIF($B$6:$B$41,"Operating Working Capital Asset",G$6:G$41)</f>
        <v/>
      </c>
    </row>
    <row r="58">
      <c r="A58" s="11" t="inlineStr">
        <is>
          <t>Operating Working Capital Liabilities</t>
        </is>
      </c>
      <c r="B58" s="16">
        <f>SUMIF($B$6:$B$41,"Operating Working Capital Liability",C$6:C$41)</f>
        <v/>
      </c>
      <c r="C58" s="16">
        <f>SUMIF($B$6:$B$41,"Operating Working Capital Liability",D$6:D$41)</f>
        <v/>
      </c>
      <c r="D58" s="16">
        <f>SUMIF($B$6:$B$41,"Operating Working Capital Liability",E$6:E$41)</f>
        <v/>
      </c>
      <c r="E58" s="16">
        <f>SUMIF($B$6:$B$41,"Operating Working Capital Liability",F$6:F$41)</f>
        <v/>
      </c>
      <c r="F58" s="16">
        <f>SUMIF($B$6:$B$41,"Operating Working Capital Liability",G$6:G$41)</f>
        <v/>
      </c>
    </row>
    <row r="59">
      <c r="A59" s="11" t="inlineStr">
        <is>
          <t>NOWC</t>
        </is>
      </c>
      <c r="B59" s="16">
        <f>B57-B58</f>
        <v/>
      </c>
      <c r="C59" s="16">
        <f>C57-C58</f>
        <v/>
      </c>
      <c r="D59" s="16">
        <f>D57-D58</f>
        <v/>
      </c>
      <c r="E59" s="16">
        <f>E57-E58</f>
        <v/>
      </c>
      <c r="F59" s="16">
        <f>F57-F58</f>
        <v/>
      </c>
    </row>
    <row r="60">
      <c r="A60" s="11" t="inlineStr">
        <is>
          <t>Operating Long-Term Assets</t>
        </is>
      </c>
      <c r="B60" s="16">
        <f>SUMIF($B$6:$B$41,"Operating Long-Term Asset",C$6:C$41)</f>
        <v/>
      </c>
      <c r="C60" s="16">
        <f>SUMIF($B$6:$B$41,"Operating Long-Term Asset",D$6:D$41)</f>
        <v/>
      </c>
      <c r="D60" s="16">
        <f>SUMIF($B$6:$B$41,"Operating Long-Term Asset",E$6:E$41)</f>
        <v/>
      </c>
      <c r="E60" s="16">
        <f>SUMIF($B$6:$B$41,"Operating Long-Term Asset",F$6:F$41)</f>
        <v/>
      </c>
      <c r="F60" s="16">
        <f>SUMIF($B$6:$B$41,"Operating Long-Term Asset",G$6:G$41)</f>
        <v/>
      </c>
    </row>
    <row r="61">
      <c r="A61" s="11" t="inlineStr">
        <is>
          <t>Operating Long-Term Liabilities</t>
        </is>
      </c>
      <c r="B61" s="16">
        <f>SUMIF($B$6:$B$41,"Operating Long-Term Liability",C$6:C$41)</f>
        <v/>
      </c>
      <c r="C61" s="16">
        <f>SUMIF($B$6:$B$41,"Operating Long-Term Liability",D$6:D$41)</f>
        <v/>
      </c>
      <c r="D61" s="16">
        <f>SUMIF($B$6:$B$41,"Operating Long-Term Liability",E$6:E$41)</f>
        <v/>
      </c>
      <c r="E61" s="16">
        <f>SUMIF($B$6:$B$41,"Operating Long-Term Liability",F$6:F$41)</f>
        <v/>
      </c>
      <c r="F61" s="16">
        <f>SUMIF($B$6:$B$41,"Operating Long-Term Liability",G$6:G$41)</f>
        <v/>
      </c>
    </row>
    <row r="62">
      <c r="A62" s="11" t="inlineStr">
        <is>
          <t>NOLA</t>
        </is>
      </c>
      <c r="B62" s="16">
        <f>B60-B61</f>
        <v/>
      </c>
      <c r="C62" s="16">
        <f>C60-C61</f>
        <v/>
      </c>
      <c r="D62" s="16">
        <f>D60-D61</f>
        <v/>
      </c>
      <c r="E62" s="16">
        <f>E60-E61</f>
        <v/>
      </c>
      <c r="F62" s="16">
        <f>F60-F61</f>
        <v/>
      </c>
    </row>
    <row r="63">
      <c r="A63" s="11" t="inlineStr">
        <is>
          <t>NOA</t>
        </is>
      </c>
      <c r="B63" s="16">
        <f>B59+B62</f>
        <v/>
      </c>
      <c r="C63" s="16">
        <f>C59+C62</f>
        <v/>
      </c>
      <c r="D63" s="16">
        <f>D59+D62</f>
        <v/>
      </c>
      <c r="E63" s="16">
        <f>E59+E62</f>
        <v/>
      </c>
      <c r="F63" s="16">
        <f>F59+F62</f>
        <v/>
      </c>
    </row>
    <row r="64">
      <c r="A64" s="11" t="inlineStr">
        <is>
          <t>Financial Assets</t>
        </is>
      </c>
      <c r="B64" s="16">
        <f>SUMIF($B$6:$B$41,"Financial Asset",C$6:C$41)</f>
        <v/>
      </c>
      <c r="C64" s="16">
        <f>SUMIF($B$6:$B$41,"Financial Asset",D$6:D$41)</f>
        <v/>
      </c>
      <c r="D64" s="16">
        <f>SUMIF($B$6:$B$41,"Financial Asset",E$6:E$41)</f>
        <v/>
      </c>
      <c r="E64" s="16">
        <f>SUMIF($B$6:$B$41,"Financial Asset",F$6:F$41)</f>
        <v/>
      </c>
      <c r="F64" s="16">
        <f>SUMIF($B$6:$B$41,"Financial Asset",G$6:G$41)</f>
        <v/>
      </c>
    </row>
    <row r="65">
      <c r="A65" s="11" t="inlineStr">
        <is>
          <t>Financial Liabilities</t>
        </is>
      </c>
      <c r="B65" s="16">
        <f>SUMIF($B$6:$B$41,"Financial Liability",C$6:C$41)</f>
        <v/>
      </c>
      <c r="C65" s="16">
        <f>SUMIF($B$6:$B$41,"Financial Liability",D$6:D$41)</f>
        <v/>
      </c>
      <c r="D65" s="16">
        <f>SUMIF($B$6:$B$41,"Financial Liability",E$6:E$41)</f>
        <v/>
      </c>
      <c r="E65" s="16">
        <f>SUMIF($B$6:$B$41,"Financial Liability",F$6:F$41)</f>
        <v/>
      </c>
      <c r="F65" s="16">
        <f>SUMIF($B$6:$B$41,"Financial Liability",G$6:G$41)</f>
        <v/>
      </c>
    </row>
    <row r="66">
      <c r="A66" s="11" t="inlineStr">
        <is>
          <t>Net Debt</t>
        </is>
      </c>
      <c r="B66" s="16">
        <f>B65-B64</f>
        <v/>
      </c>
      <c r="C66" s="16">
        <f>C65-C64</f>
        <v/>
      </c>
      <c r="D66" s="16">
        <f>D65-D64</f>
        <v/>
      </c>
      <c r="E66" s="16">
        <f>E65-E64</f>
        <v/>
      </c>
      <c r="F66" s="16">
        <f>F65-F64</f>
        <v/>
      </c>
    </row>
    <row r="67">
      <c r="A67" s="11" t="inlineStr">
        <is>
          <t>Equity (NOA - Net Debt)</t>
        </is>
      </c>
      <c r="B67" s="16">
        <f>B63-B66</f>
        <v/>
      </c>
      <c r="C67" s="16">
        <f>C63-C66</f>
        <v/>
      </c>
      <c r="D67" s="16">
        <f>D63-D66</f>
        <v/>
      </c>
      <c r="E67" s="16">
        <f>E63-E66</f>
        <v/>
      </c>
      <c r="F67" s="16">
        <f>F63-F66</f>
        <v/>
      </c>
    </row>
    <row r="68">
      <c r="A68" s="11" t="inlineStr">
        <is>
          <t>Reported Equity</t>
        </is>
      </c>
      <c r="B68" s="13">
        <f>'Balance Sheet'!B30</f>
        <v/>
      </c>
      <c r="C68" s="13">
        <f>'Balance Sheet'!C30</f>
        <v/>
      </c>
      <c r="D68" s="13">
        <f>'Balance Sheet'!D30</f>
        <v/>
      </c>
      <c r="E68" s="13">
        <f>'Balance Sheet'!E30</f>
        <v/>
      </c>
      <c r="F68" s="13">
        <f>'Balance Sheet'!F30</f>
        <v/>
      </c>
    </row>
    <row r="69">
      <c r="A69" s="11" t="inlineStr">
        <is>
          <t>Total Capital</t>
        </is>
      </c>
      <c r="B69" s="13">
        <f>B66+B67</f>
        <v/>
      </c>
      <c r="C69" s="13">
        <f>C66+C67</f>
        <v/>
      </c>
      <c r="D69" s="13">
        <f>D66+D67</f>
        <v/>
      </c>
      <c r="E69" s="13">
        <f>E66+E67</f>
        <v/>
      </c>
      <c r="F69" s="13">
        <f>F66+F67</f>
        <v/>
      </c>
    </row>
    <row r="70">
      <c r="A70" s="11" t="inlineStr">
        <is>
          <t>CHECK</t>
        </is>
      </c>
      <c r="B70" s="11">
        <f>IF(ABS(B67-B68)&lt;1,"OK","CHECK")</f>
        <v/>
      </c>
      <c r="C70" s="11">
        <f>IF(ABS(C67-C68)&lt;1,"OK","CHECK")</f>
        <v/>
      </c>
      <c r="D70" s="11">
        <f>IF(ABS(D67-D68)&lt;1,"OK","CHECK")</f>
        <v/>
      </c>
      <c r="E70" s="11">
        <f>IF(ABS(E67-E68)&lt;1,"OK","CHECK")</f>
        <v/>
      </c>
      <c r="F70" s="11">
        <f>IF(ABS(F67-F68)&lt;1,"OK","CHECK")</f>
        <v/>
      </c>
    </row>
  </sheetData>
  <dataValidations count="1">
    <dataValidation sqref="B6 B8 B9 B12 B13 B18 B19 B20 B21 B22 B23 B24 B25 B26 B27 B30 B31 B34 B35 B36 B41" showDropDown="0" showInputMessage="0" showErrorMessage="0" allowBlank="0" type="list">
      <formula1>"Operating Working Capital Asset,Operating Working Capital Liability,Operating Long-Term Asset,Operating Long-Term Liability,Financial Asset,Financial Liability,Equity,Exclude"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FAST RETAILING CO., LTD. — DuPont Decomposition</t>
        </is>
      </c>
    </row>
    <row r="2">
      <c r="A2" s="11" t="inlineStr">
        <is>
          <t>ROE = RNOA + FLEV × Spread</t>
        </is>
      </c>
    </row>
    <row r="3"/>
    <row r="4">
      <c r="A4" s="11" t="inlineStr">
        <is>
          <t>Metric</t>
        </is>
      </c>
      <c r="B4" s="12" t="n">
        <v>44439</v>
      </c>
      <c r="C4" s="12" t="n">
        <v>44804</v>
      </c>
      <c r="D4" s="12" t="n">
        <v>45169</v>
      </c>
      <c r="E4" s="12" t="n">
        <v>45535</v>
      </c>
      <c r="F4" s="12" t="n">
        <v>45900</v>
      </c>
    </row>
    <row r="5">
      <c r="A5" s="11" t="inlineStr">
        <is>
          <t>Sales Growth</t>
        </is>
      </c>
      <c r="B5" s="11" t="inlineStr">
        <is>
          <t>N/A</t>
        </is>
      </c>
      <c r="C5" s="15">
        <f>IF('Condensed Financials'!B44=0,NA(),'Condensed Financials'!C44/'Condensed Financials'!B44-1)</f>
        <v/>
      </c>
      <c r="D5" s="15">
        <f>IF('Condensed Financials'!C44=0,NA(),'Condensed Financials'!D44/'Condensed Financials'!C44-1)</f>
        <v/>
      </c>
      <c r="E5" s="15">
        <f>IF('Condensed Financials'!D44=0,NA(),'Condensed Financials'!E44/'Condensed Financials'!D44-1)</f>
        <v/>
      </c>
      <c r="F5" s="15">
        <f>IF('Condensed Financials'!E44=0,NA(),'Condensed Financials'!F44/'Condensed Financials'!E44-1)</f>
        <v/>
      </c>
    </row>
    <row r="6">
      <c r="A6" s="11" t="inlineStr">
        <is>
          <t>NOPAT Margin</t>
        </is>
      </c>
      <c r="B6" s="15">
        <f>IF('Condensed Financials'!B44=0,NA(),'Condensed Financials'!B54/'Condensed Financials'!B44)</f>
        <v/>
      </c>
      <c r="C6" s="15">
        <f>IF('Condensed Financials'!C44=0,NA(),'Condensed Financials'!C54/'Condensed Financials'!C44)</f>
        <v/>
      </c>
      <c r="D6" s="15">
        <f>IF('Condensed Financials'!D44=0,NA(),'Condensed Financials'!D54/'Condensed Financials'!D44)</f>
        <v/>
      </c>
      <c r="E6" s="15">
        <f>IF('Condensed Financials'!E44=0,NA(),'Condensed Financials'!E54/'Condensed Financials'!E44)</f>
        <v/>
      </c>
      <c r="F6" s="15">
        <f>IF('Condensed Financials'!F44=0,NA(),'Condensed Financials'!F54/'Condensed Financials'!F44)</f>
        <v/>
      </c>
    </row>
    <row r="7">
      <c r="A7" s="11" t="inlineStr">
        <is>
          <t>RNOA</t>
        </is>
      </c>
      <c r="B7" s="11" t="inlineStr">
        <is>
          <t>N/A</t>
        </is>
      </c>
      <c r="C7" s="15">
        <f>IF((('Condensed Financials'!C63+'Condensed Financials'!B63)/2)=0,NA(),'Condensed Financials'!C54/(('Condensed Financials'!C63+'Condensed Financials'!B63)/2))</f>
        <v/>
      </c>
      <c r="D7" s="15">
        <f>IF((('Condensed Financials'!D63+'Condensed Financials'!C63)/2)=0,NA(),'Condensed Financials'!D54/(('Condensed Financials'!D63+'Condensed Financials'!C63)/2))</f>
        <v/>
      </c>
      <c r="E7" s="15">
        <f>IF((('Condensed Financials'!E63+'Condensed Financials'!D63)/2)=0,NA(),'Condensed Financials'!E54/(('Condensed Financials'!E63+'Condensed Financials'!D63)/2))</f>
        <v/>
      </c>
      <c r="F7" s="15">
        <f>IF((('Condensed Financials'!F63+'Condensed Financials'!E63)/2)=0,NA(),'Condensed Financials'!F54/(('Condensed Financials'!F63+'Condensed Financials'!E63)/2))</f>
        <v/>
      </c>
    </row>
    <row r="8">
      <c r="A8" s="11" t="inlineStr">
        <is>
          <t>After-tax CoD</t>
        </is>
      </c>
      <c r="B8" s="11" t="inlineStr">
        <is>
          <t>N/A</t>
        </is>
      </c>
      <c r="C8" s="15">
        <f>IF((('Condensed Financials'!C66+'Condensed Financials'!B66)/2)=0,NA(),'Condensed Financials'!C53/(('Condensed Financials'!C66+'Condensed Financials'!B66)/2))</f>
        <v/>
      </c>
      <c r="D8" s="15">
        <f>IF((('Condensed Financials'!D66+'Condensed Financials'!C66)/2)=0,NA(),'Condensed Financials'!D53/(('Condensed Financials'!D66+'Condensed Financials'!C66)/2))</f>
        <v/>
      </c>
      <c r="E8" s="15">
        <f>IF((('Condensed Financials'!E66+'Condensed Financials'!D66)/2)=0,NA(),'Condensed Financials'!E53/(('Condensed Financials'!E66+'Condensed Financials'!D66)/2))</f>
        <v/>
      </c>
      <c r="F8" s="15">
        <f>IF((('Condensed Financials'!F66+'Condensed Financials'!E66)/2)=0,NA(),'Condensed Financials'!F53/(('Condensed Financials'!F66+'Condensed Financials'!E66)/2))</f>
        <v/>
      </c>
    </row>
    <row r="9">
      <c r="A9" s="11" t="inlineStr">
        <is>
          <t>Spread</t>
        </is>
      </c>
      <c r="B9" s="11" t="inlineStr">
        <is>
          <t>N/A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</row>
    <row r="10">
      <c r="A10" s="11" t="inlineStr">
        <is>
          <t>FLEV</t>
        </is>
      </c>
      <c r="B10" s="11" t="inlineStr">
        <is>
          <t>N/A</t>
        </is>
      </c>
      <c r="C10" s="14">
        <f>IF((('Condensed Financials'!C67+'Condensed Financials'!B67)/2)=0,NA(),(('Condensed Financials'!C66+'Condensed Financials'!B66)/2)/(('Condensed Financials'!C67+'Condensed Financials'!B67)/2))</f>
        <v/>
      </c>
      <c r="D10" s="14">
        <f>IF((('Condensed Financials'!D67+'Condensed Financials'!C67)/2)=0,NA(),(('Condensed Financials'!D66+'Condensed Financials'!C66)/2)/(('Condensed Financials'!D67+'Condensed Financials'!C67)/2))</f>
        <v/>
      </c>
      <c r="E10" s="14">
        <f>IF((('Condensed Financials'!E67+'Condensed Financials'!D67)/2)=0,NA(),(('Condensed Financials'!E66+'Condensed Financials'!D66)/2)/(('Condensed Financials'!E67+'Condensed Financials'!D67)/2))</f>
        <v/>
      </c>
      <c r="F10" s="14">
        <f>IF((('Condensed Financials'!F67+'Condensed Financials'!E67)/2)=0,NA(),(('Condensed Financials'!F66+'Condensed Financials'!E66)/2)/(('Condensed Financials'!F67+'Condensed Financials'!E67)/2))</f>
        <v/>
      </c>
    </row>
    <row r="11">
      <c r="A11" s="11" t="inlineStr">
        <is>
          <t>ROE (decomposed)</t>
        </is>
      </c>
      <c r="B11" s="11" t="inlineStr">
        <is>
          <t>N/A</t>
        </is>
      </c>
      <c r="C11" s="15">
        <f>C7+C10*(C9)</f>
        <v/>
      </c>
      <c r="D11" s="15">
        <f>D7+D10*(D9)</f>
        <v/>
      </c>
      <c r="E11" s="15">
        <f>E7+E10*(E9)</f>
        <v/>
      </c>
      <c r="F11" s="15">
        <f>F7+F10*(F9)</f>
        <v/>
      </c>
    </row>
    <row r="12">
      <c r="A12" s="11" t="inlineStr">
        <is>
          <t>Actual ROE</t>
        </is>
      </c>
      <c r="B12" s="11" t="inlineStr">
        <is>
          <t>N/A</t>
        </is>
      </c>
      <c r="C12" s="15">
        <f>IF((('Condensed Financials'!C67+'Condensed Financials'!B67)/2)=0,NA(),'Condensed Financials'!C45/(('Condensed Financials'!C67+'Condensed Financials'!B67)/2))</f>
        <v/>
      </c>
      <c r="D12" s="15">
        <f>IF((('Condensed Financials'!D67+'Condensed Financials'!C67)/2)=0,NA(),'Condensed Financials'!D45/(('Condensed Financials'!D67+'Condensed Financials'!C67)/2))</f>
        <v/>
      </c>
      <c r="E12" s="15">
        <f>IF((('Condensed Financials'!E67+'Condensed Financials'!D67)/2)=0,NA(),'Condensed Financials'!E45/(('Condensed Financials'!E67+'Condensed Financials'!D67)/2))</f>
        <v/>
      </c>
      <c r="F12" s="15">
        <f>IF((('Condensed Financials'!F67+'Condensed Financials'!E67)/2)=0,NA(),'Condensed Financials'!F45/(('Condensed Financials'!F67+'Condensed Financials'!E67)/2))</f>
        <v/>
      </c>
    </row>
    <row r="13"/>
    <row r="14">
      <c r="A14" s="11" t="inlineStr">
        <is>
          <t>RNOA DRIVER DECOMPOSITION</t>
        </is>
      </c>
    </row>
    <row r="15">
      <c r="A15" s="11" t="inlineStr">
        <is>
          <t>Average NOA</t>
        </is>
      </c>
      <c r="B15" s="11" t="inlineStr">
        <is>
          <t>N/A</t>
        </is>
      </c>
      <c r="C15" s="16">
        <f>('Condensed Financials'!B63+'Condensed Financials'!C63)/2</f>
        <v/>
      </c>
      <c r="D15" s="16">
        <f>('Condensed Financials'!C63+'Condensed Financials'!D63)/2</f>
        <v/>
      </c>
      <c r="E15" s="16">
        <f>('Condensed Financials'!D63+'Condensed Financials'!E63)/2</f>
        <v/>
      </c>
      <c r="F15" s="16">
        <f>('Condensed Financials'!E63+'Condensed Financials'!F63)/2</f>
        <v/>
      </c>
    </row>
    <row r="16">
      <c r="A16" s="11" t="inlineStr">
        <is>
          <t>NOA Turnover</t>
        </is>
      </c>
      <c r="B16" s="11" t="inlineStr">
        <is>
          <t>N/A</t>
        </is>
      </c>
      <c r="C16" s="17">
        <f>IF(C15=0,NA(),'Condensed Financials'!C44/C15)</f>
        <v/>
      </c>
      <c r="D16" s="17">
        <f>IF(D15=0,NA(),'Condensed Financials'!D44/D15)</f>
        <v/>
      </c>
      <c r="E16" s="17">
        <f>IF(E15=0,NA(),'Condensed Financials'!E44/E15)</f>
        <v/>
      </c>
      <c r="F16" s="17">
        <f>IF(F15=0,NA(),'Condensed Financials'!F44/F15)</f>
        <v/>
      </c>
    </row>
    <row r="17">
      <c r="A17" s="11" t="inlineStr">
        <is>
          <t>NOA Intensity</t>
        </is>
      </c>
      <c r="B17" s="11" t="inlineStr">
        <is>
          <t>N/A</t>
        </is>
      </c>
      <c r="C17" s="17">
        <f>IF('Condensed Financials'!C44=0,NA(),C15/'Condensed Financials'!C44)</f>
        <v/>
      </c>
      <c r="D17" s="17">
        <f>IF('Condensed Financials'!D44=0,NA(),D15/'Condensed Financials'!D44)</f>
        <v/>
      </c>
      <c r="E17" s="17">
        <f>IF('Condensed Financials'!E44=0,NA(),E15/'Condensed Financials'!E44)</f>
        <v/>
      </c>
      <c r="F17" s="17">
        <f>IF('Condensed Financials'!F44=0,NA(),F15/'Condensed Financials'!F44)</f>
        <v/>
      </c>
    </row>
    <row r="18">
      <c r="A18" s="11" t="inlineStr">
        <is>
          <t>RNOA from Margin × Turnover</t>
        </is>
      </c>
      <c r="B18" s="11" t="inlineStr">
        <is>
          <t>N/A</t>
        </is>
      </c>
      <c r="C18" s="15">
        <f>C6*C16</f>
        <v/>
      </c>
      <c r="D18" s="15">
        <f>D6*D16</f>
        <v/>
      </c>
      <c r="E18" s="15">
        <f>E6*E16</f>
        <v/>
      </c>
      <c r="F18" s="15">
        <f>F6*F16</f>
        <v/>
      </c>
    </row>
    <row r="19">
      <c r="A19" s="11" t="inlineStr">
        <is>
          <t>RNOA DRIVER CHECK</t>
        </is>
      </c>
      <c r="B19" s="11" t="inlineStr">
        <is>
          <t>N/A</t>
        </is>
      </c>
      <c r="C19" s="11">
        <f>IF(ISNA(C18),"N/A",IF(ISNA(C7),"CHECK",IF(ABS(C18-C7)&lt;0.0000001,"OK","CHECK")))</f>
        <v/>
      </c>
      <c r="D19" s="11">
        <f>IF(ISNA(D18),"N/A",IF(ISNA(D7),"CHECK",IF(ABS(D18-D7)&lt;0.0000001,"OK","CHECK")))</f>
        <v/>
      </c>
      <c r="E19" s="11">
        <f>IF(ISNA(E18),"N/A",IF(ISNA(E7),"CHECK",IF(ABS(E18-E7)&lt;0.0000001,"OK","CHECK")))</f>
        <v/>
      </c>
      <c r="F19" s="11">
        <f>IF(ISNA(F18),"N/A",IF(ISNA(F7),"CHECK",IF(ABS(F18-F7)&lt;0.0000001,"OK","CHECK")))</f>
        <v/>
      </c>
    </row>
    <row r="20"/>
    <row r="21">
      <c r="A21" s="11" t="inlineStr">
        <is>
          <t>RNOA CHANGE ATTRIBUTION</t>
        </is>
      </c>
    </row>
    <row r="22">
      <c r="A22" s="11" t="inlineStr">
        <is>
          <t>Change in NOPAT Margin</t>
        </is>
      </c>
      <c r="B22" s="11" t="inlineStr">
        <is>
          <t>N/A</t>
        </is>
      </c>
      <c r="C22" s="11" t="inlineStr">
        <is>
          <t>N/A</t>
        </is>
      </c>
      <c r="D22" s="15">
        <f>D6-C6</f>
        <v/>
      </c>
      <c r="E22" s="15">
        <f>E6-D6</f>
        <v/>
      </c>
      <c r="F22" s="15">
        <f>F6-E6</f>
        <v/>
      </c>
    </row>
    <row r="23">
      <c r="A23" s="11" t="inlineStr">
        <is>
          <t>Change in NOA Turnover</t>
        </is>
      </c>
      <c r="B23" s="11" t="inlineStr">
        <is>
          <t>N/A</t>
        </is>
      </c>
      <c r="C23" s="11" t="inlineStr">
        <is>
          <t>N/A</t>
        </is>
      </c>
      <c r="D23" s="17">
        <f>D16-C16</f>
        <v/>
      </c>
      <c r="E23" s="17">
        <f>E16-D16</f>
        <v/>
      </c>
      <c r="F23" s="17">
        <f>F16-E16</f>
        <v/>
      </c>
    </row>
    <row r="24">
      <c r="A24" s="11" t="inlineStr">
        <is>
          <t>Direct Change in RNOA</t>
        </is>
      </c>
      <c r="B24" s="11" t="inlineStr">
        <is>
          <t>N/A</t>
        </is>
      </c>
      <c r="C24" s="11" t="inlineStr">
        <is>
          <t>N/A</t>
        </is>
      </c>
      <c r="D24" s="15">
        <f>D7-C7</f>
        <v/>
      </c>
      <c r="E24" s="15">
        <f>E7-D7</f>
        <v/>
      </c>
      <c r="F24" s="15">
        <f>F7-E7</f>
        <v/>
      </c>
    </row>
    <row r="25">
      <c r="A25" s="11" t="inlineStr">
        <is>
          <t>Margin Effect on RNOA Change</t>
        </is>
      </c>
      <c r="B25" s="11" t="inlineStr">
        <is>
          <t>N/A</t>
        </is>
      </c>
      <c r="C25" s="11" t="inlineStr">
        <is>
          <t>N/A</t>
        </is>
      </c>
      <c r="D25" s="15">
        <f>D22*((D16+C16)/2)</f>
        <v/>
      </c>
      <c r="E25" s="15">
        <f>E22*((E16+D16)/2)</f>
        <v/>
      </c>
      <c r="F25" s="15">
        <f>F22*((F16+E16)/2)</f>
        <v/>
      </c>
    </row>
    <row r="26">
      <c r="A26" s="11" t="inlineStr">
        <is>
          <t>Turnover Effect on RNOA Change</t>
        </is>
      </c>
      <c r="B26" s="11" t="inlineStr">
        <is>
          <t>N/A</t>
        </is>
      </c>
      <c r="C26" s="11" t="inlineStr">
        <is>
          <t>N/A</t>
        </is>
      </c>
      <c r="D26" s="15">
        <f>D23*((D6+C6)/2)</f>
        <v/>
      </c>
      <c r="E26" s="15">
        <f>E23*((E6+D6)/2)</f>
        <v/>
      </c>
      <c r="F26" s="15">
        <f>F23*((F6+E6)/2)</f>
        <v/>
      </c>
    </row>
    <row r="27">
      <c r="A27" s="11" t="inlineStr">
        <is>
          <t>RNOA Change from Drivers</t>
        </is>
      </c>
      <c r="B27" s="11" t="inlineStr">
        <is>
          <t>N/A</t>
        </is>
      </c>
      <c r="C27" s="11" t="inlineStr">
        <is>
          <t>N/A</t>
        </is>
      </c>
      <c r="D27" s="15">
        <f>D25+D26</f>
        <v/>
      </c>
      <c r="E27" s="15">
        <f>E25+E26</f>
        <v/>
      </c>
      <c r="F27" s="15">
        <f>F25+F26</f>
        <v/>
      </c>
    </row>
    <row r="28">
      <c r="A28" s="11" t="inlineStr">
        <is>
          <t>RNOA CHANGE DRIVER CHECK</t>
        </is>
      </c>
      <c r="B28" s="11" t="inlineStr">
        <is>
          <t>N/A</t>
        </is>
      </c>
      <c r="C28" s="11" t="inlineStr">
        <is>
          <t>N/A</t>
        </is>
      </c>
      <c r="D28" s="11">
        <f>IF(OR(ISNA(D27),ISNA(D24)),"N/A",IF(ABS(D27-D24)&lt;0.0000001,"OK","CHECK"))</f>
        <v/>
      </c>
      <c r="E28" s="11">
        <f>IF(OR(ISNA(E27),ISNA(E24)),"N/A",IF(ABS(E27-E24)&lt;0.0000001,"OK","CHECK"))</f>
        <v/>
      </c>
      <c r="F28" s="11">
        <f>IF(OR(ISNA(F27),ISNA(F24)),"N/A",IF(ABS(F27-F24)&lt;0.0000001,"OK","CHECK"))</f>
        <v/>
      </c>
    </row>
    <row r="29"/>
    <row r="30">
      <c r="A30" s="11" t="inlineStr">
        <is>
          <t>ROE OPERATING / FINANCING ATTRIBUTION</t>
        </is>
      </c>
    </row>
    <row r="31">
      <c r="A31" s="11" t="inlineStr">
        <is>
          <t>Financing Contribution to ROE</t>
        </is>
      </c>
      <c r="B31" s="11" t="inlineStr">
        <is>
          <t>N/A</t>
        </is>
      </c>
      <c r="C31" s="15">
        <f>C10*C9</f>
        <v/>
      </c>
      <c r="D31" s="15">
        <f>D10*D9</f>
        <v/>
      </c>
      <c r="E31" s="15">
        <f>E10*E9</f>
        <v/>
      </c>
      <c r="F31" s="15">
        <f>F10*F9</f>
        <v/>
      </c>
    </row>
    <row r="32">
      <c r="A32" s="11" t="inlineStr">
        <is>
          <t>ROE LEVEL ATTRIBUTION CHECK</t>
        </is>
      </c>
      <c r="B32" s="11" t="inlineStr">
        <is>
          <t>N/A</t>
        </is>
      </c>
      <c r="C32" s="11">
        <f>IF(OR(ISNA(C7),ISNA(C31),ISNA(C11)),"N/A",IF(ABS(C7+C31-C11)&lt;0.0000001,"OK","CHECK"))</f>
        <v/>
      </c>
      <c r="D32" s="11">
        <f>IF(OR(ISNA(D7),ISNA(D31),ISNA(D11)),"N/A",IF(ABS(D7+D31-D11)&lt;0.0000001,"OK","CHECK"))</f>
        <v/>
      </c>
      <c r="E32" s="11">
        <f>IF(OR(ISNA(E7),ISNA(E31),ISNA(E11)),"N/A",IF(ABS(E7+E31-E11)&lt;0.0000001,"OK","CHECK"))</f>
        <v/>
      </c>
      <c r="F32" s="11">
        <f>IF(OR(ISNA(F7),ISNA(F31),ISNA(F11)),"N/A",IF(ABS(F7+F31-F11)&lt;0.0000001,"OK","CHECK"))</f>
        <v/>
      </c>
    </row>
    <row r="33"/>
    <row r="34">
      <c r="A34" s="11" t="inlineStr">
        <is>
          <t>ROE CHANGE ATTRIBUTION</t>
        </is>
      </c>
    </row>
    <row r="35">
      <c r="A35" s="11" t="inlineStr">
        <is>
          <t>Direct Change in Decomposed ROE</t>
        </is>
      </c>
      <c r="B35" s="11" t="inlineStr">
        <is>
          <t>N/A</t>
        </is>
      </c>
      <c r="C35" s="11" t="inlineStr">
        <is>
          <t>N/A</t>
        </is>
      </c>
      <c r="D35" s="15">
        <f>D11-C11</f>
        <v/>
      </c>
      <c r="E35" s="15">
        <f>E11-D11</f>
        <v/>
      </c>
      <c r="F35" s="15">
        <f>F11-E11</f>
        <v/>
      </c>
    </row>
    <row r="36">
      <c r="A36" s="11" t="inlineStr">
        <is>
          <t>Operating Effect on Change in ROE</t>
        </is>
      </c>
      <c r="B36" s="11" t="inlineStr">
        <is>
          <t>N/A</t>
        </is>
      </c>
      <c r="C36" s="11" t="inlineStr">
        <is>
          <t>N/A</t>
        </is>
      </c>
      <c r="D36" s="15">
        <f>D24</f>
        <v/>
      </c>
      <c r="E36" s="15">
        <f>E24</f>
        <v/>
      </c>
      <c r="F36" s="15">
        <f>F24</f>
        <v/>
      </c>
    </row>
    <row r="37">
      <c r="A37" s="11" t="inlineStr">
        <is>
          <t>Leverage Effect on Change in ROE</t>
        </is>
      </c>
      <c r="B37" s="11" t="inlineStr">
        <is>
          <t>N/A</t>
        </is>
      </c>
      <c r="C37" s="11" t="inlineStr">
        <is>
          <t>N/A</t>
        </is>
      </c>
      <c r="D37" s="15">
        <f>(D10-C10)*((D9+C9)/2)</f>
        <v/>
      </c>
      <c r="E37" s="15">
        <f>(E10-D10)*((E9+D9)/2)</f>
        <v/>
      </c>
      <c r="F37" s="15">
        <f>(F10-E10)*((F9+E9)/2)</f>
        <v/>
      </c>
    </row>
    <row r="38">
      <c r="A38" s="11" t="inlineStr">
        <is>
          <t>Spread Effect on Change in ROE</t>
        </is>
      </c>
      <c r="B38" s="11" t="inlineStr">
        <is>
          <t>N/A</t>
        </is>
      </c>
      <c r="C38" s="11" t="inlineStr">
        <is>
          <t>N/A</t>
        </is>
      </c>
      <c r="D38" s="15">
        <f>(D9-C9)*((D10+C10)/2)</f>
        <v/>
      </c>
      <c r="E38" s="15">
        <f>(E9-D9)*((E10+D10)/2)</f>
        <v/>
      </c>
      <c r="F38" s="15">
        <f>(F9-E9)*((F10+E10)/2)</f>
        <v/>
      </c>
    </row>
    <row r="39">
      <c r="A39" s="11" t="inlineStr">
        <is>
          <t>Financing Effect on Change in ROE</t>
        </is>
      </c>
      <c r="B39" s="11" t="inlineStr">
        <is>
          <t>N/A</t>
        </is>
      </c>
      <c r="C39" s="11" t="inlineStr">
        <is>
          <t>N/A</t>
        </is>
      </c>
      <c r="D39" s="15">
        <f>D37+D38</f>
        <v/>
      </c>
      <c r="E39" s="15">
        <f>E37+E38</f>
        <v/>
      </c>
      <c r="F39" s="15">
        <f>F37+F38</f>
        <v/>
      </c>
    </row>
    <row r="40">
      <c r="A40" s="11" t="inlineStr">
        <is>
          <t>Change in ROE from Drivers</t>
        </is>
      </c>
      <c r="B40" s="11" t="inlineStr">
        <is>
          <t>N/A</t>
        </is>
      </c>
      <c r="C40" s="11" t="inlineStr">
        <is>
          <t>N/A</t>
        </is>
      </c>
      <c r="D40" s="15">
        <f>D36+D39</f>
        <v/>
      </c>
      <c r="E40" s="15">
        <f>E36+E39</f>
        <v/>
      </c>
      <c r="F40" s="15">
        <f>F36+F39</f>
        <v/>
      </c>
    </row>
    <row r="41">
      <c r="A41" s="11" t="inlineStr">
        <is>
          <t>ROE CHANGE ATTRIBUTION CHECK</t>
        </is>
      </c>
      <c r="B41" s="11" t="inlineStr">
        <is>
          <t>N/A</t>
        </is>
      </c>
      <c r="C41" s="11" t="inlineStr">
        <is>
          <t>N/A</t>
        </is>
      </c>
      <c r="D41" s="11">
        <f>IF(OR(ISNA(D40),ISNA(D35)),"N/A",IF(ABS(D40-D35)&lt;0.0000001,"OK","CHECK"))</f>
        <v/>
      </c>
      <c r="E41" s="11">
        <f>IF(OR(ISNA(E40),ISNA(E35)),"N/A",IF(ABS(E40-E35)&lt;0.0000001,"OK","CHECK"))</f>
        <v/>
      </c>
      <c r="F41" s="11">
        <f>IF(OR(ISNA(F40),ISNA(F35)),"N/A",IF(ABS(F40-F35)&lt;0.0000001,"OK","CHECK"))</f>
        <v/>
      </c>
    </row>
    <row r="42"/>
    <row r="43">
      <c r="A43" s="11" t="inlineStr">
        <is>
          <t>FIXED-ASSET INTENSITY CONTEXT</t>
        </is>
      </c>
    </row>
    <row r="44">
      <c r="A44" s="11" t="inlineStr">
        <is>
          <t>Property, Plant &amp; Equipment</t>
        </is>
      </c>
      <c r="B44" s="16">
        <f>'Balance Sheet'!B41</f>
        <v/>
      </c>
      <c r="C44" s="16">
        <f>'Balance Sheet'!C41</f>
        <v/>
      </c>
      <c r="D44" s="16">
        <f>'Balance Sheet'!D41</f>
        <v/>
      </c>
      <c r="E44" s="16">
        <f>'Balance Sheet'!E41</f>
        <v/>
      </c>
      <c r="F44" s="16">
        <f>'Balance Sheet'!F41</f>
        <v/>
      </c>
    </row>
    <row r="45">
      <c r="A45" s="11" t="inlineStr">
        <is>
          <t>Depreciation &amp; Amortisation</t>
        </is>
      </c>
      <c r="B45" s="16">
        <f>'Cash Flow Statement'!B15</f>
        <v/>
      </c>
      <c r="C45" s="16">
        <f>'Cash Flow Statement'!C15</f>
        <v/>
      </c>
      <c r="D45" s="16">
        <f>'Cash Flow Statement'!D15</f>
        <v/>
      </c>
      <c r="E45" s="16">
        <f>'Cash Flow Statement'!E15</f>
        <v/>
      </c>
      <c r="F45" s="16">
        <f>'Cash Flow Statement'!F15</f>
        <v/>
      </c>
    </row>
    <row r="46">
      <c r="A46" s="11" t="inlineStr">
        <is>
          <t>Average PP&amp;E</t>
        </is>
      </c>
      <c r="B46" s="11" t="inlineStr">
        <is>
          <t>N/A</t>
        </is>
      </c>
      <c r="C46" s="16">
        <f>(B44+C44)/2</f>
        <v/>
      </c>
      <c r="D46" s="16">
        <f>(C44+D44)/2</f>
        <v/>
      </c>
      <c r="E46" s="16">
        <f>(D44+E44)/2</f>
        <v/>
      </c>
      <c r="F46" s="16">
        <f>(E44+F44)/2</f>
        <v/>
      </c>
    </row>
    <row r="47">
      <c r="A47" s="11" t="inlineStr">
        <is>
          <t>PP&amp;E Turnover</t>
        </is>
      </c>
      <c r="B47" s="11" t="inlineStr">
        <is>
          <t>N/A</t>
        </is>
      </c>
      <c r="C47" s="17">
        <f>IF(C46=0,NA(),'Condensed Financials'!C44/C46)</f>
        <v/>
      </c>
      <c r="D47" s="17">
        <f>IF(D46=0,NA(),'Condensed Financials'!D44/D46)</f>
        <v/>
      </c>
      <c r="E47" s="17">
        <f>IF(E46=0,NA(),'Condensed Financials'!E44/E46)</f>
        <v/>
      </c>
      <c r="F47" s="17">
        <f>IF(F46=0,NA(),'Condensed Financials'!F44/F46)</f>
        <v/>
      </c>
    </row>
    <row r="48">
      <c r="A48" s="11" t="inlineStr">
        <is>
          <t>PP&amp;E Intensity</t>
        </is>
      </c>
      <c r="B48" s="11" t="inlineStr">
        <is>
          <t>N/A</t>
        </is>
      </c>
      <c r="C48" s="15">
        <f>IF('Condensed Financials'!C44=0,NA(),C46/'Condensed Financials'!C44)</f>
        <v/>
      </c>
      <c r="D48" s="15">
        <f>IF('Condensed Financials'!D44=0,NA(),D46/'Condensed Financials'!D44)</f>
        <v/>
      </c>
      <c r="E48" s="15">
        <f>IF('Condensed Financials'!E44=0,NA(),E46/'Condensed Financials'!E44)</f>
        <v/>
      </c>
      <c r="F48" s="15">
        <f>IF('Condensed Financials'!F44=0,NA(),F46/'Condensed Financials'!F44)</f>
        <v/>
      </c>
    </row>
    <row r="49">
      <c r="A49" s="11" t="inlineStr">
        <is>
          <t>Change in PP&amp;E</t>
        </is>
      </c>
      <c r="B49" s="11" t="inlineStr">
        <is>
          <t>N/A</t>
        </is>
      </c>
      <c r="C49" s="16">
        <f>C44-B44</f>
        <v/>
      </c>
      <c r="D49" s="16">
        <f>D44-C44</f>
        <v/>
      </c>
      <c r="E49" s="16">
        <f>E44-D44</f>
        <v/>
      </c>
      <c r="F49" s="16">
        <f>F44-E44</f>
        <v/>
      </c>
    </row>
    <row r="50">
      <c r="A50" s="11" t="inlineStr">
        <is>
          <t>D&amp;A / Revenue</t>
        </is>
      </c>
      <c r="B50" s="15">
        <f>IF('Condensed Financials'!B44=0,NA(),B45/'Condensed Financials'!B44)</f>
        <v/>
      </c>
      <c r="C50" s="15">
        <f>IF('Condensed Financials'!C44=0,NA(),C45/'Condensed Financials'!C44)</f>
        <v/>
      </c>
      <c r="D50" s="15">
        <f>IF('Condensed Financials'!D44=0,NA(),D45/'Condensed Financials'!D44)</f>
        <v/>
      </c>
      <c r="E50" s="15">
        <f>IF('Condensed Financials'!E44=0,NA(),E45/'Condensed Financials'!E44)</f>
        <v/>
      </c>
      <c r="F50" s="15">
        <f>IF('Condensed Financials'!F44=0,NA(),F45/'Condensed Financials'!F44)</f>
        <v/>
      </c>
    </row>
    <row r="51">
      <c r="A51" s="11" t="inlineStr">
        <is>
          <t>D&amp;A / Average PP&amp;E</t>
        </is>
      </c>
      <c r="B51" s="11" t="inlineStr">
        <is>
          <t>N/A</t>
        </is>
      </c>
      <c r="C51" s="15">
        <f>IF(C46=0,NA(),C45/C46)</f>
        <v/>
      </c>
      <c r="D51" s="15">
        <f>IF(D46=0,NA(),D45/D46)</f>
        <v/>
      </c>
      <c r="E51" s="15">
        <f>IF(E46=0,NA(),E45/E46)</f>
        <v/>
      </c>
      <c r="F51" s="15">
        <f>IF(F46=0,NA(),F45/F46)</f>
        <v/>
      </c>
    </row>
    <row r="52">
      <c r="A52" s="11" t="inlineStr">
        <is>
          <t>FIXED-ASSET INTENSITY CHECK</t>
        </is>
      </c>
      <c r="B52" s="11" t="inlineStr">
        <is>
          <t>N/A</t>
        </is>
      </c>
      <c r="C52" s="11">
        <f>IF(OR(ISNA(C47),ISNA(C48)),"N/A",IF(ABS(C47*C48-1)&lt;0.0000001,"OK","CHECK"))</f>
        <v/>
      </c>
      <c r="D52" s="11">
        <f>IF(OR(ISNA(D47),ISNA(D48)),"N/A",IF(ABS(D47*D48-1)&lt;0.0000001,"OK","CHECK"))</f>
        <v/>
      </c>
      <c r="E52" s="11">
        <f>IF(OR(ISNA(E47),ISNA(E48)),"N/A",IF(ABS(E47*E48-1)&lt;0.0000001,"OK","CHECK"))</f>
        <v/>
      </c>
      <c r="F52" s="11">
        <f>IF(OR(ISNA(F47),ISNA(F48)),"N/A",IF(ABS(F47*F48-1)&lt;0.0000001,"OK","CHECK"))</f>
        <v/>
      </c>
    </row>
    <row r="53"/>
    <row r="54">
      <c r="A54" s="11" t="inlineStr">
        <is>
          <t>LEASE LIABILITY CONTEXT</t>
        </is>
      </c>
    </row>
    <row r="55">
      <c r="A55" s="11" t="inlineStr">
        <is>
          <t>Lease Liability</t>
        </is>
      </c>
      <c r="B55" s="16">
        <f>'Balance Sheet'!B18+'Balance Sheet'!B47</f>
        <v/>
      </c>
      <c r="C55" s="16">
        <f>'Balance Sheet'!C18+'Balance Sheet'!C47</f>
        <v/>
      </c>
      <c r="D55" s="16">
        <f>'Balance Sheet'!D18+'Balance Sheet'!D47</f>
        <v/>
      </c>
      <c r="E55" s="16">
        <f>'Balance Sheet'!E18+'Balance Sheet'!E47</f>
        <v/>
      </c>
      <c r="F55" s="16">
        <f>'Balance Sheet'!F18+'Balance Sheet'!F47</f>
        <v/>
      </c>
    </row>
    <row r="56">
      <c r="A56" s="11" t="inlineStr">
        <is>
          <t>Lease Liability / Revenue</t>
        </is>
      </c>
      <c r="B56" s="15">
        <f>IF('Condensed Financials'!B44=0,NA(),B55/'Condensed Financials'!B44)</f>
        <v/>
      </c>
      <c r="C56" s="15">
        <f>IF('Condensed Financials'!C44=0,NA(),C55/'Condensed Financials'!C44)</f>
        <v/>
      </c>
      <c r="D56" s="15">
        <f>IF('Condensed Financials'!D44=0,NA(),D55/'Condensed Financials'!D44)</f>
        <v/>
      </c>
      <c r="E56" s="15">
        <f>IF('Condensed Financials'!E44=0,NA(),E55/'Condensed Financials'!E44)</f>
        <v/>
      </c>
      <c r="F56" s="15">
        <f>IF('Condensed Financials'!F44=0,NA(),F55/'Condensed Financials'!F44)</f>
        <v/>
      </c>
    </row>
    <row r="57">
      <c r="A57" s="11" t="inlineStr">
        <is>
          <t>Change in Lease Liability</t>
        </is>
      </c>
      <c r="B57" s="11" t="inlineStr">
        <is>
          <t>N/A</t>
        </is>
      </c>
      <c r="C57" s="16">
        <f>C55-B55</f>
        <v/>
      </c>
      <c r="D57" s="16">
        <f>D55-C55</f>
        <v/>
      </c>
      <c r="E57" s="16">
        <f>E55-D55</f>
        <v/>
      </c>
      <c r="F57" s="16">
        <f>F55-E55</f>
        <v/>
      </c>
    </row>
    <row r="58">
      <c r="A58" s="11" t="inlineStr">
        <is>
          <t>Lease Liability Growth</t>
        </is>
      </c>
      <c r="B58" s="11" t="inlineStr">
        <is>
          <t>N/A</t>
        </is>
      </c>
      <c r="C58" s="15">
        <f>IF(B55=0,NA(),C55/B55-1)</f>
        <v/>
      </c>
      <c r="D58" s="15">
        <f>IF(C55=0,NA(),D55/C55-1)</f>
        <v/>
      </c>
      <c r="E58" s="15">
        <f>IF(D55=0,NA(),E55/D55-1)</f>
        <v/>
      </c>
      <c r="F58" s="15">
        <f>IF(E55=0,NA(),F55/E55-1)</f>
        <v/>
      </c>
    </row>
    <row r="59"/>
    <row r="60">
      <c r="A60" s="11" t="inlineStr">
        <is>
          <t>LEASE ROU-ASSET CONTEXT</t>
        </is>
      </c>
    </row>
    <row r="61">
      <c r="A61" s="11" t="inlineStr">
        <is>
          <t>Right-of-use Assets</t>
        </is>
      </c>
      <c r="B61" s="13">
        <f>'Balance Sheet'!B42</f>
        <v/>
      </c>
      <c r="C61" s="13">
        <f>'Balance Sheet'!C42</f>
        <v/>
      </c>
      <c r="D61" s="13">
        <f>'Balance Sheet'!D42</f>
        <v/>
      </c>
      <c r="E61" s="13">
        <f>'Balance Sheet'!E42</f>
        <v/>
      </c>
      <c r="F61" s="13">
        <f>'Balance Sheet'!F42</f>
        <v/>
      </c>
    </row>
    <row r="62">
      <c r="A62" s="11" t="inlineStr">
        <is>
          <t>Change in Right-of-use Assets</t>
        </is>
      </c>
      <c r="C62" s="16">
        <f>C61-B61</f>
        <v/>
      </c>
      <c r="D62" s="16">
        <f>D61-C61</f>
        <v/>
      </c>
      <c r="E62" s="16">
        <f>E61-D61</f>
        <v/>
      </c>
      <c r="F62" s="16">
        <f>F61-E61</f>
        <v/>
      </c>
    </row>
    <row r="63">
      <c r="A63" s="11" t="inlineStr">
        <is>
          <t>Right-of-use Assets Growth</t>
        </is>
      </c>
      <c r="C63" s="15">
        <f>IF(B61=0,NA(),C61/B61-1)</f>
        <v/>
      </c>
      <c r="D63" s="15">
        <f>IF(C61=0,NA(),D61/C61-1)</f>
        <v/>
      </c>
      <c r="E63" s="15">
        <f>IF(D61=0,NA(),E61/D61-1)</f>
        <v/>
      </c>
      <c r="F63" s="15">
        <f>IF(E61=0,NA(),F61/E61-1)</f>
        <v/>
      </c>
    </row>
    <row r="64">
      <c r="A64" s="11" t="inlineStr">
        <is>
          <t>Average Right-of-use Assets</t>
        </is>
      </c>
      <c r="C64" s="16">
        <f>(B61+C61)/2</f>
        <v/>
      </c>
      <c r="D64" s="16">
        <f>(C61+D61)/2</f>
        <v/>
      </c>
      <c r="E64" s="16">
        <f>(D61+E61)/2</f>
        <v/>
      </c>
      <c r="F64" s="16">
        <f>(E61+F61)/2</f>
        <v/>
      </c>
    </row>
    <row r="65">
      <c r="A65" s="11" t="inlineStr">
        <is>
          <t>Average Right-of-use Assets / Revenue</t>
        </is>
      </c>
      <c r="C65" s="15">
        <f>IF('Condensed Financials'!C44=0,NA(),C64/'Condensed Financials'!C44)</f>
        <v/>
      </c>
      <c r="D65" s="15">
        <f>IF('Condensed Financials'!D44=0,NA(),D64/'Condensed Financials'!D44)</f>
        <v/>
      </c>
      <c r="E65" s="15">
        <f>IF('Condensed Financials'!E44=0,NA(),E64/'Condensed Financials'!E44)</f>
        <v/>
      </c>
      <c r="F65" s="15">
        <f>IF('Condensed Financials'!F44=0,NA(),F64/'Condensed Financials'!F44)</f>
        <v/>
      </c>
    </row>
    <row r="66"/>
    <row r="67">
      <c r="A67" s="11" t="inlineStr">
        <is>
          <t>DEFERRED-TAX BALANCE CONTEXT</t>
        </is>
      </c>
    </row>
    <row r="68">
      <c r="A68" s="11" t="inlineStr">
        <is>
          <t>Deferred Tax Assets</t>
        </is>
      </c>
      <c r="B68" s="13">
        <f>'Balance Sheet'!B34</f>
        <v/>
      </c>
      <c r="C68" s="13">
        <f>'Balance Sheet'!C34</f>
        <v/>
      </c>
      <c r="D68" s="13">
        <f>'Balance Sheet'!D34</f>
        <v/>
      </c>
      <c r="E68" s="13">
        <f>'Balance Sheet'!E34</f>
        <v/>
      </c>
      <c r="F68" s="13">
        <f>'Balance Sheet'!F34</f>
        <v/>
      </c>
    </row>
    <row r="69">
      <c r="A69" s="11" t="inlineStr">
        <is>
          <t>Deferred Tax Liabilities</t>
        </is>
      </c>
      <c r="B69" s="13">
        <f>'Balance Sheet'!B44</f>
        <v/>
      </c>
      <c r="C69" s="13">
        <f>'Balance Sheet'!C44</f>
        <v/>
      </c>
      <c r="D69" s="13">
        <f>'Balance Sheet'!D44</f>
        <v/>
      </c>
      <c r="E69" s="13">
        <f>'Balance Sheet'!E44</f>
        <v/>
      </c>
      <c r="F69" s="13">
        <f>'Balance Sheet'!F44</f>
        <v/>
      </c>
    </row>
    <row r="70">
      <c r="A70" s="11" t="inlineStr">
        <is>
          <t>Net Deferred-Tax Asset Position (DTA − DTL)</t>
        </is>
      </c>
      <c r="B70" s="16">
        <f>B68-B69</f>
        <v/>
      </c>
      <c r="C70" s="16">
        <f>C68-C69</f>
        <v/>
      </c>
      <c r="D70" s="16">
        <f>D68-D69</f>
        <v/>
      </c>
      <c r="E70" s="16">
        <f>E68-E69</f>
        <v/>
      </c>
      <c r="F70" s="16">
        <f>F68-F69</f>
        <v/>
      </c>
    </row>
    <row r="71">
      <c r="A71" s="11" t="inlineStr">
        <is>
          <t>Change in Deferred Tax Assets</t>
        </is>
      </c>
      <c r="C71" s="16">
        <f>C68-B68</f>
        <v/>
      </c>
      <c r="D71" s="16">
        <f>D68-C68</f>
        <v/>
      </c>
      <c r="E71" s="16">
        <f>E68-D68</f>
        <v/>
      </c>
      <c r="F71" s="16">
        <f>F68-E68</f>
        <v/>
      </c>
    </row>
    <row r="72">
      <c r="A72" s="11" t="inlineStr">
        <is>
          <t>Change in Deferred Tax Liabilities</t>
        </is>
      </c>
      <c r="C72" s="16">
        <f>C69-B69</f>
        <v/>
      </c>
      <c r="D72" s="16">
        <f>D69-C69</f>
        <v/>
      </c>
      <c r="E72" s="16">
        <f>E69-D69</f>
        <v/>
      </c>
      <c r="F72" s="16">
        <f>F69-E69</f>
        <v/>
      </c>
    </row>
    <row r="73">
      <c r="A73" s="11" t="inlineStr">
        <is>
          <t>Change in Net Deferred-Tax Asset Position</t>
        </is>
      </c>
      <c r="C73" s="16">
        <f>C70-B70</f>
        <v/>
      </c>
      <c r="D73" s="16">
        <f>D70-C70</f>
        <v/>
      </c>
      <c r="E73" s="16">
        <f>E70-D70</f>
        <v/>
      </c>
      <c r="F73" s="16">
        <f>F70-E70</f>
        <v/>
      </c>
    </row>
    <row r="74"/>
    <row r="75">
      <c r="A75" s="11" t="inlineStr">
        <is>
          <t>PP&amp;E CAPEX CONTEXT</t>
        </is>
      </c>
    </row>
    <row r="76">
      <c r="A76" s="11" t="inlineStr">
        <is>
          <t>Payments for Property, Plant &amp; Equipment (reported)</t>
        </is>
      </c>
      <c r="B76" s="13">
        <f>'Cash Flow Statement'!B41</f>
        <v/>
      </c>
      <c r="C76" s="13">
        <f>'Cash Flow Statement'!C41</f>
        <v/>
      </c>
      <c r="D76" s="13">
        <f>'Cash Flow Statement'!D41</f>
        <v/>
      </c>
      <c r="E76" s="13">
        <f>'Cash Flow Statement'!E41</f>
        <v/>
      </c>
      <c r="F76" s="13">
        <f>'Cash Flow Statement'!F41</f>
        <v/>
      </c>
    </row>
    <row r="77">
      <c r="A77" s="11" t="inlineStr">
        <is>
          <t>PP&amp;E Capex (−reported)</t>
        </is>
      </c>
      <c r="B77" s="16">
        <f>-B76</f>
        <v/>
      </c>
      <c r="C77" s="16">
        <f>-C76</f>
        <v/>
      </c>
      <c r="D77" s="16">
        <f>-D76</f>
        <v/>
      </c>
      <c r="E77" s="16">
        <f>-E76</f>
        <v/>
      </c>
      <c r="F77" s="16">
        <f>-F76</f>
        <v/>
      </c>
    </row>
    <row r="78">
      <c r="A78" s="11" t="inlineStr">
        <is>
          <t>PP&amp;E Capex / Revenue</t>
        </is>
      </c>
      <c r="B78" s="15">
        <f>IF('Condensed Financials'!B44=0,NA(),B77/'Condensed Financials'!B44)</f>
        <v/>
      </c>
      <c r="C78" s="15">
        <f>IF('Condensed Financials'!C44=0,NA(),C77/'Condensed Financials'!C44)</f>
        <v/>
      </c>
      <c r="D78" s="15">
        <f>IF('Condensed Financials'!D44=0,NA(),D77/'Condensed Financials'!D44)</f>
        <v/>
      </c>
      <c r="E78" s="15">
        <f>IF('Condensed Financials'!E44=0,NA(),E77/'Condensed Financials'!E44)</f>
        <v/>
      </c>
      <c r="F78" s="15">
        <f>IF('Condensed Financials'!F44=0,NA(),F77/'Condensed Financials'!F44)</f>
        <v/>
      </c>
    </row>
    <row r="79"/>
    <row r="80">
      <c r="A80" s="11" t="inlineStr">
        <is>
          <t>LEASE REPAYMENT CONTEXT</t>
        </is>
      </c>
    </row>
    <row r="81">
      <c r="A81" s="11" t="inlineStr">
        <is>
          <t>Repayments of Lease Liabilities (reported)</t>
        </is>
      </c>
      <c r="B81" s="13">
        <f>'Cash Flow Statement'!B47</f>
        <v/>
      </c>
      <c r="C81" s="13">
        <f>'Cash Flow Statement'!C47</f>
        <v/>
      </c>
      <c r="D81" s="13">
        <f>'Cash Flow Statement'!D47</f>
        <v/>
      </c>
      <c r="E81" s="13">
        <f>'Cash Flow Statement'!E47</f>
        <v/>
      </c>
      <c r="F81" s="13">
        <f>'Cash Flow Statement'!F47</f>
        <v/>
      </c>
    </row>
    <row r="82">
      <c r="A82" s="11" t="inlineStr">
        <is>
          <t>Lease Repayments (−reported)</t>
        </is>
      </c>
      <c r="B82" s="16">
        <f>-B81</f>
        <v/>
      </c>
      <c r="C82" s="16">
        <f>-C81</f>
        <v/>
      </c>
      <c r="D82" s="16">
        <f>-D81</f>
        <v/>
      </c>
      <c r="E82" s="16">
        <f>-E81</f>
        <v/>
      </c>
      <c r="F82" s="16">
        <f>-F81</f>
        <v/>
      </c>
    </row>
    <row r="83">
      <c r="A83" s="11" t="inlineStr">
        <is>
          <t>Lease Repayments / Revenue</t>
        </is>
      </c>
      <c r="B83" s="15">
        <f>IF('Condensed Financials'!B44=0,NA(),B82/'Condensed Financials'!B44)</f>
        <v/>
      </c>
      <c r="C83" s="15">
        <f>IF('Condensed Financials'!C44=0,NA(),C82/'Condensed Financials'!C44)</f>
        <v/>
      </c>
      <c r="D83" s="15">
        <f>IF('Condensed Financials'!D44=0,NA(),D82/'Condensed Financials'!D44)</f>
        <v/>
      </c>
      <c r="E83" s="15">
        <f>IF('Condensed Financials'!E44=0,NA(),E82/'Condensed Financials'!E44)</f>
        <v/>
      </c>
      <c r="F83" s="15">
        <f>IF('Condensed Financials'!F44=0,NA(),F82/'Condensed Financials'!F44)</f>
        <v/>
      </c>
    </row>
    <row r="84"/>
    <row r="85">
      <c r="A85" s="11" t="inlineStr">
        <is>
          <t>GOODWILL &amp; INTANGIBLES CONTEXT</t>
        </is>
      </c>
    </row>
    <row r="86">
      <c r="A86" s="11" t="inlineStr">
        <is>
          <t>Goodwill</t>
        </is>
      </c>
      <c r="B86" s="13">
        <f>'Balance Sheet'!B37</f>
        <v/>
      </c>
      <c r="C86" s="13">
        <f>'Balance Sheet'!C37</f>
        <v/>
      </c>
      <c r="D86" s="13">
        <f>'Balance Sheet'!D37</f>
        <v/>
      </c>
      <c r="E86" s="13">
        <f>'Balance Sheet'!E37</f>
        <v/>
      </c>
      <c r="F86" s="13">
        <f>'Balance Sheet'!F37</f>
        <v/>
      </c>
    </row>
    <row r="87">
      <c r="A87" s="11" t="inlineStr">
        <is>
          <t>Change in Goodwill</t>
        </is>
      </c>
      <c r="C87" s="16">
        <f>C86-B86</f>
        <v/>
      </c>
      <c r="D87" s="16">
        <f>D86-C86</f>
        <v/>
      </c>
      <c r="E87" s="16">
        <f>E86-D86</f>
        <v/>
      </c>
      <c r="F87" s="16">
        <f>F86-E86</f>
        <v/>
      </c>
    </row>
    <row r="88">
      <c r="A88" s="11" t="inlineStr">
        <is>
          <t>Goodwill Growth</t>
        </is>
      </c>
      <c r="C88" s="15">
        <f>IF(B86=0,NA(),C86/B86-1)</f>
        <v/>
      </c>
      <c r="D88" s="15">
        <f>IF(C86=0,NA(),D86/C86-1)</f>
        <v/>
      </c>
      <c r="E88" s="15">
        <f>IF(D86=0,NA(),E86/D86-1)</f>
        <v/>
      </c>
      <c r="F88" s="15">
        <f>IF(E86=0,NA(),F86/E86-1)</f>
        <v/>
      </c>
    </row>
    <row r="89">
      <c r="A89" s="11" t="inlineStr">
        <is>
          <t>Average Goodwill</t>
        </is>
      </c>
      <c r="C89" s="16">
        <f>(B86+C86)/2</f>
        <v/>
      </c>
      <c r="D89" s="16">
        <f>(C86+D86)/2</f>
        <v/>
      </c>
      <c r="E89" s="16">
        <f>(D86+E86)/2</f>
        <v/>
      </c>
      <c r="F89" s="16">
        <f>(E86+F86)/2</f>
        <v/>
      </c>
    </row>
    <row r="90">
      <c r="A90" s="11" t="inlineStr">
        <is>
          <t>Average Goodwill / Revenue</t>
        </is>
      </c>
      <c r="C90" s="15">
        <f>IF('Condensed Financials'!C44=0,NA(),C89/'Condensed Financials'!C44)</f>
        <v/>
      </c>
      <c r="D90" s="15">
        <f>IF('Condensed Financials'!D44=0,NA(),D89/'Condensed Financials'!D44)</f>
        <v/>
      </c>
      <c r="E90" s="15">
        <f>IF('Condensed Financials'!E44=0,NA(),E89/'Condensed Financials'!E44)</f>
        <v/>
      </c>
      <c r="F90" s="15">
        <f>IF('Condensed Financials'!F44=0,NA(),F89/'Condensed Financials'!F44)</f>
        <v/>
      </c>
    </row>
    <row r="91">
      <c r="A91" s="11" t="inlineStr">
        <is>
          <t>Intangible Assets</t>
        </is>
      </c>
      <c r="B91" s="13">
        <f>'Balance Sheet'!B38</f>
        <v/>
      </c>
      <c r="C91" s="13">
        <f>'Balance Sheet'!C38</f>
        <v/>
      </c>
      <c r="D91" s="13">
        <f>'Balance Sheet'!D38</f>
        <v/>
      </c>
      <c r="E91" s="13">
        <f>'Balance Sheet'!E38</f>
        <v/>
      </c>
      <c r="F91" s="13">
        <f>'Balance Sheet'!F38</f>
        <v/>
      </c>
    </row>
    <row r="92">
      <c r="A92" s="11" t="inlineStr">
        <is>
          <t>Change in Intangible Assets</t>
        </is>
      </c>
      <c r="C92" s="16">
        <f>C91-B91</f>
        <v/>
      </c>
      <c r="D92" s="16">
        <f>D91-C91</f>
        <v/>
      </c>
      <c r="E92" s="16">
        <f>E91-D91</f>
        <v/>
      </c>
      <c r="F92" s="16">
        <f>F91-E91</f>
        <v/>
      </c>
    </row>
    <row r="93">
      <c r="A93" s="11" t="inlineStr">
        <is>
          <t>Intangible Assets Growth</t>
        </is>
      </c>
      <c r="C93" s="15">
        <f>IF(B91=0,NA(),C91/B91-1)</f>
        <v/>
      </c>
      <c r="D93" s="15">
        <f>IF(C91=0,NA(),D91/C91-1)</f>
        <v/>
      </c>
      <c r="E93" s="15">
        <f>IF(D91=0,NA(),E91/D91-1)</f>
        <v/>
      </c>
      <c r="F93" s="15">
        <f>IF(E91=0,NA(),F91/E91-1)</f>
        <v/>
      </c>
    </row>
    <row r="94">
      <c r="A94" s="11" t="inlineStr">
        <is>
          <t>Average Intangible Assets</t>
        </is>
      </c>
      <c r="C94" s="16">
        <f>(B91+C91)/2</f>
        <v/>
      </c>
      <c r="D94" s="16">
        <f>(C91+D91)/2</f>
        <v/>
      </c>
      <c r="E94" s="16">
        <f>(D91+E91)/2</f>
        <v/>
      </c>
      <c r="F94" s="16">
        <f>(E91+F91)/2</f>
        <v/>
      </c>
    </row>
    <row r="95">
      <c r="A95" s="11" t="inlineStr">
        <is>
          <t>Average Intangible Assets / Revenue</t>
        </is>
      </c>
      <c r="C95" s="15">
        <f>IF('Condensed Financials'!C44=0,NA(),C94/'Condensed Financials'!C44)</f>
        <v/>
      </c>
      <c r="D95" s="15">
        <f>IF('Condensed Financials'!D44=0,NA(),D94/'Condensed Financials'!D44)</f>
        <v/>
      </c>
      <c r="E95" s="15">
        <f>IF('Condensed Financials'!E44=0,NA(),E94/'Condensed Financials'!E44)</f>
        <v/>
      </c>
      <c r="F95" s="15">
        <f>IF('Condensed Financials'!F44=0,NA(),F94/'Condensed Financials'!F44)</f>
        <v/>
      </c>
    </row>
    <row r="96">
      <c r="A96" s="11" t="inlineStr">
        <is>
          <t>Goodwill &amp; Intangibles</t>
        </is>
      </c>
      <c r="B96" s="13">
        <f>B86+B91</f>
        <v/>
      </c>
      <c r="C96" s="13">
        <f>C86+C91</f>
        <v/>
      </c>
      <c r="D96" s="13">
        <f>D86+D91</f>
        <v/>
      </c>
      <c r="E96" s="13">
        <f>E86+E91</f>
        <v/>
      </c>
      <c r="F96" s="13">
        <f>F86+F91</f>
        <v/>
      </c>
    </row>
    <row r="97">
      <c r="A97" s="11" t="inlineStr">
        <is>
          <t>Change in Goodwill &amp; Intangibles</t>
        </is>
      </c>
      <c r="C97" s="16">
        <f>C96-B96</f>
        <v/>
      </c>
      <c r="D97" s="16">
        <f>D96-C96</f>
        <v/>
      </c>
      <c r="E97" s="16">
        <f>E96-D96</f>
        <v/>
      </c>
      <c r="F97" s="16">
        <f>F96-E96</f>
        <v/>
      </c>
    </row>
    <row r="98">
      <c r="A98" s="11" t="inlineStr">
        <is>
          <t>Goodwill &amp; Intangibles Growth</t>
        </is>
      </c>
      <c r="C98" s="15">
        <f>IF(B96=0,NA(),C96/B96-1)</f>
        <v/>
      </c>
      <c r="D98" s="15">
        <f>IF(C96=0,NA(),D96/C96-1)</f>
        <v/>
      </c>
      <c r="E98" s="15">
        <f>IF(D96=0,NA(),E96/D96-1)</f>
        <v/>
      </c>
      <c r="F98" s="15">
        <f>IF(E96=0,NA(),F96/E96-1)</f>
        <v/>
      </c>
    </row>
    <row r="99">
      <c r="A99" s="11" t="inlineStr">
        <is>
          <t>Average Goodwill &amp; Intangibles</t>
        </is>
      </c>
      <c r="C99" s="16">
        <f>(B96+C96)/2</f>
        <v/>
      </c>
      <c r="D99" s="16">
        <f>(C96+D96)/2</f>
        <v/>
      </c>
      <c r="E99" s="16">
        <f>(D96+E96)/2</f>
        <v/>
      </c>
      <c r="F99" s="16">
        <f>(E96+F96)/2</f>
        <v/>
      </c>
    </row>
    <row r="100">
      <c r="A100" s="11" t="inlineStr">
        <is>
          <t>Average Goodwill &amp; Intangibles / Revenue</t>
        </is>
      </c>
      <c r="C100" s="15">
        <f>IF('Condensed Financials'!C44=0,NA(),C99/'Condensed Financials'!C44)</f>
        <v/>
      </c>
      <c r="D100" s="15">
        <f>IF('Condensed Financials'!D44=0,NA(),D99/'Condensed Financials'!D44)</f>
        <v/>
      </c>
      <c r="E100" s="15">
        <f>IF('Condensed Financials'!E44=0,NA(),E99/'Condensed Financials'!E44)</f>
        <v/>
      </c>
      <c r="F100" s="15">
        <f>IF('Condensed Financials'!F44=0,NA(),F99/'Condensed Financials'!F44)</f>
        <v/>
      </c>
    </row>
    <row r="101">
      <c r="A101" s="11" t="inlineStr">
        <is>
          <t>Payments for Intangible Assets (reported)</t>
        </is>
      </c>
      <c r="B101" s="13">
        <f>'Cash Flow Statement'!B38</f>
        <v/>
      </c>
      <c r="C101" s="13">
        <f>'Cash Flow Statement'!C38</f>
        <v/>
      </c>
      <c r="D101" s="13">
        <f>'Cash Flow Statement'!D38</f>
        <v/>
      </c>
      <c r="E101" s="13">
        <f>'Cash Flow Statement'!E38</f>
        <v/>
      </c>
      <c r="F101" s="13">
        <f>'Cash Flow Statement'!F38</f>
        <v/>
      </c>
    </row>
    <row r="102">
      <c r="A102" s="11" t="inlineStr">
        <is>
          <t>Intangible Payments (−reported)</t>
        </is>
      </c>
      <c r="B102" s="16">
        <f>-B101</f>
        <v/>
      </c>
      <c r="C102" s="16">
        <f>-C101</f>
        <v/>
      </c>
      <c r="D102" s="16">
        <f>-D101</f>
        <v/>
      </c>
      <c r="E102" s="16">
        <f>-E101</f>
        <v/>
      </c>
      <c r="F102" s="16">
        <f>-F101</f>
        <v/>
      </c>
    </row>
    <row r="103">
      <c r="A103" s="11" t="inlineStr">
        <is>
          <t>Intangible Payments / Revenue</t>
        </is>
      </c>
      <c r="B103" s="15">
        <f>IF('Condensed Financials'!B44=0,NA(),B102/'Condensed Financials'!B44)</f>
        <v/>
      </c>
      <c r="C103" s="15">
        <f>IF('Condensed Financials'!C44=0,NA(),C102/'Condensed Financials'!C44)</f>
        <v/>
      </c>
      <c r="D103" s="15">
        <f>IF('Condensed Financials'!D44=0,NA(),D102/'Condensed Financials'!D44)</f>
        <v/>
      </c>
      <c r="E103" s="15">
        <f>IF('Condensed Financials'!E44=0,NA(),E102/'Condensed Financials'!E44)</f>
        <v/>
      </c>
      <c r="F103" s="15">
        <f>IF('Condensed Financials'!F44=0,NA(),F102/'Condensed Financials'!F44)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28" customWidth="1" min="4" max="4"/>
    <col width="32" customWidth="1" min="5" max="5"/>
    <col width="28" customWidth="1" min="6" max="6"/>
    <col width="40" customWidth="1" min="7" max="7"/>
    <col width="44" customWidth="1" min="8" max="8"/>
  </cols>
  <sheetData>
    <row r="1">
      <c r="A1" s="11" t="inlineStr">
        <is>
          <t>Accounting Judgment</t>
        </is>
      </c>
    </row>
    <row r="2">
      <c r="A2" s="11" t="inlineStr">
        <is>
          <t>The supplied treatment is the model's reference treatment, not a universal accounting truth. Compare it with the listed alternative(s), choose the treatment you would defend, and explain the economic consequence.</t>
        </is>
      </c>
    </row>
    <row r="3">
      <c r="A3" s="11" t="inlineStr">
        <is>
          <t>Choose a treatment in column F only. That choice drives the matching Condensed Financials classification and downstream historical schedules; leaving F blank uses the supplied reference treatment. Columns D:E are display context and must not be edited. Enter your rationale and economic consequence in G:H. Formula Check grades formula cells against the treatment currently selected in F and validates that the generated classification links remain intact; it does not grade the judgment response itself. Do not edit the linked Condensed Financials classification cell directly.</t>
        </is>
      </c>
    </row>
    <row r="4">
      <c r="A4" s="11" t="inlineStr">
        <is>
          <t>Order</t>
        </is>
      </c>
      <c r="B4" s="11" t="inlineStr">
        <is>
          <t>Line item</t>
        </is>
      </c>
      <c r="C4" s="11" t="inlineStr">
        <is>
          <t>Topic</t>
        </is>
      </c>
      <c r="D4" s="11" t="inlineStr">
        <is>
          <t>Supplied reference treatment</t>
        </is>
      </c>
      <c r="E4" s="11" t="inlineStr">
        <is>
          <t>Alternative(s) to evaluate</t>
        </is>
      </c>
      <c r="F4" s="11" t="inlineStr">
        <is>
          <t>Treatment to defend</t>
        </is>
      </c>
      <c r="G4" s="11" t="inlineStr">
        <is>
          <t>Rationale</t>
        </is>
      </c>
      <c r="H4" s="11" t="inlineStr">
        <is>
          <t>Economic consequence</t>
        </is>
      </c>
    </row>
    <row r="5">
      <c r="A5" s="11" t="n">
        <v>1</v>
      </c>
      <c r="B5" s="11" t="inlineStr">
        <is>
          <t>Derivative financial assets</t>
        </is>
      </c>
      <c r="C5" s="11" t="inlineStr">
        <is>
          <t>Current financial asset: financial vs operating</t>
        </is>
      </c>
      <c r="D5" s="11" t="inlineStr">
        <is>
          <t>Financial Asset</t>
        </is>
      </c>
      <c r="E5" s="11" t="inlineStr">
        <is>
          <t>Operating Working Capital Asset</t>
        </is>
      </c>
      <c r="F5" s="18" t="inlineStr">
        <is>
          <t>Financial Asset</t>
        </is>
      </c>
      <c r="G5" s="18" t="inlineStr">
        <is>
          <t>The reference model treats a generically disclosed current financial instrument as a financial asset absent evidence that it is integral to normal operations or an operating hedge.</t>
        </is>
      </c>
      <c r="H5" s="18" t="inlineStr">
        <is>
          <t>Financial-asset treatment lowers Net Debt; operating-WC treatment raises NOWC/NOA by the same balance. Implied equity is unchanged by the classification switch alone.</t>
        </is>
      </c>
    </row>
    <row r="6">
      <c r="A6" s="11" t="n">
        <v>2</v>
      </c>
      <c r="B6" s="11" t="inlineStr">
        <is>
          <t>Other assets</t>
        </is>
      </c>
      <c r="C6" s="11" t="inlineStr">
        <is>
          <t>Other current asset: operating vs financial</t>
        </is>
      </c>
      <c r="D6" s="11" t="inlineStr">
        <is>
          <t>Operating Working Capital Asset</t>
        </is>
      </c>
      <c r="E6" s="11" t="inlineStr">
        <is>
          <t>Financial Asset</t>
        </is>
      </c>
      <c r="F6" s="18" t="inlineStr">
        <is>
          <t>Operating Working Capital Asset</t>
        </is>
      </c>
      <c r="G6" s="18" t="inlineStr">
        <is>
          <t>The residual current-asset concept proves balance-sheet side and horizon but not whether the balance is operating working capital or a financial asset in economic substance.</t>
        </is>
      </c>
      <c r="H6" s="18" t="inlineStr">
        <is>
          <t>Operating-WC treatment raises NOWC/NOA; financial-asset treatment lowers Net Debt by the same balance. Implied equity is unchanged by the classification switch alone.</t>
        </is>
      </c>
    </row>
    <row r="7">
      <c r="A7" s="11" t="n">
        <v>3</v>
      </c>
      <c r="B7" s="11" t="inlineStr">
        <is>
          <t>Other financial assets</t>
        </is>
      </c>
      <c r="C7" s="11" t="inlineStr">
        <is>
          <t>Current financial asset: financial vs operating</t>
        </is>
      </c>
      <c r="D7" s="11" t="inlineStr">
        <is>
          <t>Financial Asset</t>
        </is>
      </c>
      <c r="E7" s="11" t="inlineStr">
        <is>
          <t>Operating Working Capital Asset</t>
        </is>
      </c>
      <c r="F7" s="18" t="inlineStr">
        <is>
          <t>Financial Asset</t>
        </is>
      </c>
      <c r="G7" s="18" t="inlineStr">
        <is>
          <t>The reference model treats a generically disclosed current financial instrument as a financial asset absent evidence that it is integral to normal operations or an operating hedge.</t>
        </is>
      </c>
      <c r="H7" s="18" t="inlineStr">
        <is>
          <t>Financial-asset treatment lowers Net Debt; operating-WC treatment raises NOWC/NOA by the same balance. Implied equity is unchanged by the classification switch alone.</t>
        </is>
      </c>
    </row>
    <row r="8">
      <c r="A8" s="11" t="n">
        <v>4</v>
      </c>
      <c r="B8" s="11" t="inlineStr">
        <is>
          <t>Derivative financial liabilities</t>
        </is>
      </c>
      <c r="C8" s="11" t="inlineStr">
        <is>
          <t>Current financial liability: financial vs operating</t>
        </is>
      </c>
      <c r="D8" s="11" t="inlineStr">
        <is>
          <t>Financial Liability</t>
        </is>
      </c>
      <c r="E8" s="11" t="inlineStr">
        <is>
          <t>Operating Working Capital Liability</t>
        </is>
      </c>
      <c r="F8" s="18" t="inlineStr">
        <is>
          <t>Financial Liability</t>
        </is>
      </c>
      <c r="G8" s="18" t="inlineStr">
        <is>
          <t>The reference model treats a generically disclosed current financial instrument as a financial liability absent evidence that it is an operating payable or operating hedge.</t>
        </is>
      </c>
      <c r="H8" s="18" t="inlineStr">
        <is>
          <t>Financial-liability treatment raises Net Debt; operating-WC-liability treatment lowers NOWC/NOA by the same balance. Implied equity is unchanged by the classification switch alone.</t>
        </is>
      </c>
    </row>
    <row r="9">
      <c r="A9" s="11" t="n">
        <v>5</v>
      </c>
      <c r="B9" s="11" t="inlineStr">
        <is>
          <t>Lease liabilities</t>
        </is>
      </c>
      <c r="C9" s="11" t="inlineStr">
        <is>
          <t>Lease liability operating vs financing</t>
        </is>
      </c>
      <c r="D9" s="11" t="inlineStr">
        <is>
          <t>Operating Long-Term Liability</t>
        </is>
      </c>
      <c r="E9" s="11" t="inlineStr">
        <is>
          <t>Financial Liability</t>
        </is>
      </c>
      <c r="F9" s="18" t="inlineStr">
        <is>
          <t>Operating Long-Term Liability</t>
        </is>
      </c>
      <c r="G9" s="18" t="inlineStr">
        <is>
          <t>The reference model keeps the liability in operating long-term liabilities under its current lease convention. Treating it as a financial liability is also defensible when the lease obligation is viewed as debt-like financing.</t>
        </is>
      </c>
      <c r="H9" s="18" t="inlineStr">
        <is>
          <t>Operating-liability treatment lowers NOLA/NOA; financial-liability treatment raises Net Debt by the same balance. Implied equity is unchanged from this classification switch alone, but RNOA versus FLEV/Spread interpretation changes.</t>
        </is>
      </c>
    </row>
    <row r="10">
      <c r="A10" s="11" t="n">
        <v>6</v>
      </c>
      <c r="B10" s="11" t="inlineStr">
        <is>
          <t>Other financial liabilities</t>
        </is>
      </c>
      <c r="C10" s="11" t="inlineStr">
        <is>
          <t>Current financial liability: financial vs operating</t>
        </is>
      </c>
      <c r="D10" s="11" t="inlineStr">
        <is>
          <t>Financial Liability</t>
        </is>
      </c>
      <c r="E10" s="11" t="inlineStr">
        <is>
          <t>Operating Working Capital Liability</t>
        </is>
      </c>
      <c r="F10" s="18" t="inlineStr">
        <is>
          <t>Financial Liability</t>
        </is>
      </c>
      <c r="G10" s="18" t="inlineStr">
        <is>
          <t>The reference model treats a generically disclosed current financial instrument as a financial liability absent evidence that it is an operating payable or operating hedge.</t>
        </is>
      </c>
      <c r="H10" s="18" t="inlineStr">
        <is>
          <t>Financial-liability treatment raises Net Debt; operating-WC-liability treatment lowers NOWC/NOA by the same balance. Implied equity is unchanged by the classification switch alone.</t>
        </is>
      </c>
    </row>
    <row r="11">
      <c r="A11" s="11" t="n">
        <v>7</v>
      </c>
      <c r="B11" s="11" t="inlineStr">
        <is>
          <t>Other liabilities</t>
        </is>
      </c>
      <c r="C11" s="11" t="inlineStr">
        <is>
          <t>Other current liability: operating vs financial</t>
        </is>
      </c>
      <c r="D11" s="11" t="inlineStr">
        <is>
          <t>Operating Working Capital Liability</t>
        </is>
      </c>
      <c r="E11" s="11" t="inlineStr">
        <is>
          <t>Financial Liability</t>
        </is>
      </c>
      <c r="F11" s="18" t="inlineStr">
        <is>
          <t>Operating Working Capital Liability</t>
        </is>
      </c>
      <c r="G11" s="18" t="inlineStr">
        <is>
          <t>The residual current-liability concept proves balance-sheet side and horizon but not whether the balance is an operating working-capital liability or a financial liability in economic substance.</t>
        </is>
      </c>
      <c r="H11" s="18" t="inlineStr">
        <is>
          <t>Operating-WC-liability treatment lowers NOWC/NOA; financial-liability treatment raises Net Debt by the same balance. Implied equity is unchanged by the classification switch alone.</t>
        </is>
      </c>
    </row>
    <row r="12">
      <c r="A12" s="11" t="n">
        <v>8</v>
      </c>
      <c r="B12" s="11" t="inlineStr">
        <is>
          <t>Derivative financial assets</t>
        </is>
      </c>
      <c r="C12" s="11" t="inlineStr">
        <is>
          <t>Non-current financial asset: financial vs operating</t>
        </is>
      </c>
      <c r="D12" s="11" t="inlineStr">
        <is>
          <t>Financial Asset</t>
        </is>
      </c>
      <c r="E12" s="11" t="inlineStr">
        <is>
          <t>Operating Long-Term Asset</t>
        </is>
      </c>
      <c r="F12" s="18" t="inlineStr">
        <is>
          <t>Financial Asset</t>
        </is>
      </c>
      <c r="G12" s="18" t="inlineStr">
        <is>
          <t>The reference model treats a generically disclosed non-current financial instrument as a financial asset absent evidence that it is strategically or operationally required.</t>
        </is>
      </c>
      <c r="H12" s="18" t="inlineStr">
        <is>
          <t>Financial-asset treatment lowers Net Debt; operating-LT treatment raises NOLA/NOA by the same balance. Implied equity is unchanged by the classification switch alone.</t>
        </is>
      </c>
    </row>
    <row r="13">
      <c r="A13" s="11" t="n">
        <v>9</v>
      </c>
      <c r="B13" s="11" t="inlineStr">
        <is>
          <t>Financial assets</t>
        </is>
      </c>
      <c r="C13" s="11" t="inlineStr">
        <is>
          <t>Non-current financial asset: financial vs operating</t>
        </is>
      </c>
      <c r="D13" s="11" t="inlineStr">
        <is>
          <t>Financial Asset</t>
        </is>
      </c>
      <c r="E13" s="11" t="inlineStr">
        <is>
          <t>Operating Long-Term Asset</t>
        </is>
      </c>
      <c r="F13" s="18" t="inlineStr">
        <is>
          <t>Financial Asset</t>
        </is>
      </c>
      <c r="G13" s="18" t="inlineStr">
        <is>
          <t>The reference model treats a generically disclosed non-current financial instrument as a financial asset absent evidence that it is strategically or operationally required.</t>
        </is>
      </c>
      <c r="H13" s="18" t="inlineStr">
        <is>
          <t>Financial-asset treatment lowers Net Debt; operating-LT treatment raises NOLA/NOA by the same balance. Implied equity is unchanged by the classification switch alone.</t>
        </is>
      </c>
    </row>
    <row r="14">
      <c r="A14" s="11" t="n">
        <v>10</v>
      </c>
      <c r="B14" s="11" t="inlineStr">
        <is>
          <t>Investments in associates accounted for using the equity method</t>
        </is>
      </c>
      <c r="C14" s="11" t="inlineStr">
        <is>
          <t>Equity-method investment operating vs financing</t>
        </is>
      </c>
      <c r="D14" s="11" t="inlineStr">
        <is>
          <t>Operating Long-Term Asset</t>
        </is>
      </c>
      <c r="E14" s="11" t="inlineStr">
        <is>
          <t>Financial Asset</t>
        </is>
      </c>
      <c r="F14" s="18" t="inlineStr">
        <is>
          <t>Operating Long-Term Asset</t>
        </is>
      </c>
      <c r="G14" s="18" t="inlineStr">
        <is>
          <t>The reference model treats the investment as an operating long-term asset when it is viewed as strategically tied to the operating business. Financial-asset treatment is defensible when the holding is primarily non-operating/investment in nature.</t>
        </is>
      </c>
      <c r="H14" s="18" t="inlineStr">
        <is>
          <t>Operating-asset treatment raises NOLA/NOA; financial-asset treatment lowers Net Debt by the same balance. Implied equity is unchanged from this classification switch alone, but RNOA and leverage interpretation change.</t>
        </is>
      </c>
    </row>
    <row r="15">
      <c r="A15" s="11" t="n">
        <v>11</v>
      </c>
      <c r="B15" s="11" t="inlineStr">
        <is>
          <t>Other assets</t>
        </is>
      </c>
      <c r="C15" s="11" t="inlineStr">
        <is>
          <t>Other non-current asset: operating vs financial</t>
        </is>
      </c>
      <c r="D15" s="11" t="inlineStr">
        <is>
          <t>Operating Long-Term Asset</t>
        </is>
      </c>
      <c r="E15" s="11" t="inlineStr">
        <is>
          <t>Financial Asset</t>
        </is>
      </c>
      <c r="F15" s="18" t="inlineStr">
        <is>
          <t>Operating Long-Term Asset</t>
        </is>
      </c>
      <c r="G15" s="18" t="inlineStr">
        <is>
          <t>The residual non-current-asset concept proves balance-sheet side and horizon but not whether the balance is an operating long-term asset or a financial asset in economic substance.</t>
        </is>
      </c>
      <c r="H15" s="18" t="inlineStr">
        <is>
          <t>Operating-LT treatment raises NOLA/NOA; financial-asset treatment lowers Net Debt by the same balance. Implied equity is unchanged by the classification switch alone.</t>
        </is>
      </c>
    </row>
    <row r="16">
      <c r="A16" s="11" t="n">
        <v>12</v>
      </c>
      <c r="B16" s="11" t="inlineStr">
        <is>
          <t>Derivative financial liabilities</t>
        </is>
      </c>
      <c r="C16" s="11" t="inlineStr">
        <is>
          <t>Non-current financial liability: financial vs operating</t>
        </is>
      </c>
      <c r="D16" s="11" t="inlineStr">
        <is>
          <t>Financial Liability</t>
        </is>
      </c>
      <c r="E16" s="11" t="inlineStr">
        <is>
          <t>Operating Long-Term Liability</t>
        </is>
      </c>
      <c r="F16" s="18" t="inlineStr">
        <is>
          <t>Financial Liability</t>
        </is>
      </c>
      <c r="G16" s="18" t="inlineStr">
        <is>
          <t>The reference model treats a generically disclosed non-current financial instrument as a financial liability absent evidence that it is an operating long-term obligation or operating hedge.</t>
        </is>
      </c>
      <c r="H16" s="18" t="inlineStr">
        <is>
          <t>Financial-liability treatment raises Net Debt; operating-LT-liability treatment lowers NOLA/NOA by the same balance. Implied equity is unchanged by the classification switch alone.</t>
        </is>
      </c>
    </row>
    <row r="17">
      <c r="A17" s="11" t="n">
        <v>13</v>
      </c>
      <c r="B17" s="11" t="inlineStr">
        <is>
          <t>Financial liabilities</t>
        </is>
      </c>
      <c r="C17" s="11" t="inlineStr">
        <is>
          <t>Non-current financial liability: financial vs operating</t>
        </is>
      </c>
      <c r="D17" s="11" t="inlineStr">
        <is>
          <t>Financial Liability</t>
        </is>
      </c>
      <c r="E17" s="11" t="inlineStr">
        <is>
          <t>Operating Long-Term Liability</t>
        </is>
      </c>
      <c r="F17" s="18" t="inlineStr">
        <is>
          <t>Financial Liability</t>
        </is>
      </c>
      <c r="G17" s="18" t="inlineStr">
        <is>
          <t>The reference model treats a generically disclosed non-current financial instrument as a financial liability absent evidence that it is an operating long-term obligation or operating hedge.</t>
        </is>
      </c>
      <c r="H17" s="18" t="inlineStr">
        <is>
          <t>Financial-liability treatment raises Net Debt; operating-LT-liability treatment lowers NOLA/NOA by the same balance. Implied equity is unchanged by the classification switch alone.</t>
        </is>
      </c>
    </row>
    <row r="18">
      <c r="A18" s="11" t="n">
        <v>14</v>
      </c>
      <c r="B18" s="11" t="inlineStr">
        <is>
          <t>Lease liabilities</t>
        </is>
      </c>
      <c r="C18" s="11" t="inlineStr">
        <is>
          <t>Lease liability operating vs financing</t>
        </is>
      </c>
      <c r="D18" s="11" t="inlineStr">
        <is>
          <t>Operating Long-Term Liability</t>
        </is>
      </c>
      <c r="E18" s="11" t="inlineStr">
        <is>
          <t>Financial Liability</t>
        </is>
      </c>
      <c r="F18" s="18" t="inlineStr">
        <is>
          <t>Operating Long-Term Liability</t>
        </is>
      </c>
      <c r="G18" s="18" t="inlineStr">
        <is>
          <t>The reference model keeps the liability in operating long-term liabilities under its current lease convention. Treating it as a financial liability is also defensible when the lease obligation is viewed as debt-like financing.</t>
        </is>
      </c>
      <c r="H18" s="18" t="inlineStr">
        <is>
          <t>Operating-liability treatment lowers NOLA/NOA; financial-liability treatment raises Net Debt by the same balance. Implied equity is unchanged from this classification switch alone, but RNOA versus FLEV/Spread interpretation changes.</t>
        </is>
      </c>
    </row>
    <row r="19">
      <c r="A19" s="11" t="n">
        <v>15</v>
      </c>
      <c r="B19" s="11" t="inlineStr">
        <is>
          <t>Other liabilities</t>
        </is>
      </c>
      <c r="C19" s="11" t="inlineStr">
        <is>
          <t>Other non-current liability: operating vs financial</t>
        </is>
      </c>
      <c r="D19" s="11" t="inlineStr">
        <is>
          <t>Operating Long-Term Liability</t>
        </is>
      </c>
      <c r="E19" s="11" t="inlineStr">
        <is>
          <t>Financial Liability</t>
        </is>
      </c>
      <c r="F19" s="18" t="inlineStr">
        <is>
          <t>Operating Long-Term Liability</t>
        </is>
      </c>
      <c r="G19" s="18" t="inlineStr">
        <is>
          <t>The residual non-current-liability concept proves balance-sheet side and horizon but not whether the balance is an operating long-term liability or a financial liability in economic substance.</t>
        </is>
      </c>
      <c r="H19" s="18" t="inlineStr">
        <is>
          <t>Operating-LT-liability treatment lowers NOLA/NOA; financial-liability treatment raises Net Debt by the same balance. Implied equity is unchanged by the classification switch alone.</t>
        </is>
      </c>
    </row>
  </sheetData>
  <dataValidations count="15">
    <dataValidation sqref="F5" showDropDown="0" showInputMessage="0" showErrorMessage="0" allowBlank="1" type="list">
      <formula1>"Financial Asset,Operating Working Capital Asset"</formula1>
    </dataValidation>
    <dataValidation sqref="F6" showDropDown="0" showInputMessage="0" showErrorMessage="0" allowBlank="1" type="list">
      <formula1>"Operating Working Capital Asset,Financial Asset"</formula1>
    </dataValidation>
    <dataValidation sqref="F7" showDropDown="0" showInputMessage="0" showErrorMessage="0" allowBlank="1" type="list">
      <formula1>"Financial Asset,Operating Working Capital Asset"</formula1>
    </dataValidation>
    <dataValidation sqref="F8" showDropDown="0" showInputMessage="0" showErrorMessage="0" allowBlank="1" type="list">
      <formula1>"Financial Liability,Operating Working Capital Liability"</formula1>
    </dataValidation>
    <dataValidation sqref="F9" showDropDown="0" showInputMessage="0" showErrorMessage="0" allowBlank="1" type="list">
      <formula1>"Operating Long-Term Liability,Financial Liability"</formula1>
    </dataValidation>
    <dataValidation sqref="F10" showDropDown="0" showInputMessage="0" showErrorMessage="0" allowBlank="1" type="list">
      <formula1>"Financial Liability,Operating Working Capital Liability"</formula1>
    </dataValidation>
    <dataValidation sqref="F11" showDropDown="0" showInputMessage="0" showErrorMessage="0" allowBlank="1" type="list">
      <formula1>"Operating Working Capital Liability,Financial Liability"</formula1>
    </dataValidation>
    <dataValidation sqref="F12" showDropDown="0" showInputMessage="0" showErrorMessage="0" allowBlank="1" type="list">
      <formula1>"Financial Asset,Operating Long-Term Asset"</formula1>
    </dataValidation>
    <dataValidation sqref="F13" showDropDown="0" showInputMessage="0" showErrorMessage="0" allowBlank="1" type="list">
      <formula1>"Financial Asset,Operating Long-Term Asset"</formula1>
    </dataValidation>
    <dataValidation sqref="F14" showDropDown="0" showInputMessage="0" showErrorMessage="0" allowBlank="1" type="list">
      <formula1>"Operating Long-Term Asset,Financial Asset"</formula1>
    </dataValidation>
    <dataValidation sqref="F15" showDropDown="0" showInputMessage="0" showErrorMessage="0" allowBlank="1" type="list">
      <formula1>"Operating Long-Term Asset,Financial Asset"</formula1>
    </dataValidation>
    <dataValidation sqref="F16" showDropDown="0" showInputMessage="0" showErrorMessage="0" allowBlank="1" type="list">
      <formula1>"Financial Liability,Operating Long-Term Liability"</formula1>
    </dataValidation>
    <dataValidation sqref="F17" showDropDown="0" showInputMessage="0" showErrorMessage="0" allowBlank="1" type="list">
      <formula1>"Financial Liability,Operating Long-Term Liability"</formula1>
    </dataValidation>
    <dataValidation sqref="F18" showDropDown="0" showInputMessage="0" showErrorMessage="0" allowBlank="1" type="list">
      <formula1>"Operating Long-Term Liability,Financial Liability"</formula1>
    </dataValidation>
    <dataValidation sqref="F19" showDropDown="0" showInputMessage="0" showErrorMessage="0" allowBlank="1" type="list">
      <formula1>"Operating Long-Term Liability,Financial Liability"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FAST RETAILING CO., LTD. — Ownership Attribution</t>
        </is>
      </c>
    </row>
    <row r="2">
      <c r="A2" s="11" t="inlineStr">
        <is>
          <t>Parent / NCI profit and equity bridges and parent ROE. Consolidated DuPont / NOA / Net Debt remain unchanged; parent ROE is a separate shareholder-attribution diagnostic.</t>
        </is>
      </c>
    </row>
    <row r="3"/>
    <row r="4">
      <c r="A4" s="11" t="inlineStr">
        <is>
          <t>Metric</t>
        </is>
      </c>
      <c r="B4" s="12" t="n">
        <v>44439</v>
      </c>
      <c r="C4" s="12" t="n">
        <v>44804</v>
      </c>
      <c r="D4" s="12" t="n">
        <v>45169</v>
      </c>
      <c r="E4" s="12" t="n">
        <v>45535</v>
      </c>
      <c r="F4" s="12" t="n">
        <v>45900</v>
      </c>
    </row>
    <row r="5">
      <c r="A5" s="11" t="inlineStr">
        <is>
          <t>Parent Profit</t>
        </is>
      </c>
      <c r="B5" s="16">
        <f>'Income Statement'!B18</f>
        <v/>
      </c>
      <c r="C5" s="16">
        <f>'Income Statement'!C18</f>
        <v/>
      </c>
      <c r="D5" s="16">
        <f>'Income Statement'!D18</f>
        <v/>
      </c>
      <c r="E5" s="16">
        <f>'Income Statement'!E18</f>
        <v/>
      </c>
      <c r="F5" s="16">
        <f>'Income Statement'!F18</f>
        <v/>
      </c>
    </row>
    <row r="6">
      <c r="A6" s="11" t="inlineStr">
        <is>
          <t>NCI Profit</t>
        </is>
      </c>
      <c r="B6" s="16">
        <f>'Income Statement'!B14</f>
        <v/>
      </c>
      <c r="C6" s="16">
        <f>'Income Statement'!C14</f>
        <v/>
      </c>
      <c r="D6" s="16">
        <f>'Income Statement'!D14</f>
        <v/>
      </c>
      <c r="E6" s="16">
        <f>'Income Statement'!E14</f>
        <v/>
      </c>
      <c r="F6" s="16">
        <f>'Income Statement'!F14</f>
        <v/>
      </c>
    </row>
    <row r="7">
      <c r="A7" s="11" t="inlineStr">
        <is>
          <t>Total Profit</t>
        </is>
      </c>
      <c r="B7" s="13">
        <f>'Income Statement'!B20</f>
        <v/>
      </c>
      <c r="C7" s="13">
        <f>'Income Statement'!C20</f>
        <v/>
      </c>
      <c r="D7" s="13">
        <f>'Income Statement'!D20</f>
        <v/>
      </c>
      <c r="E7" s="13">
        <f>'Income Statement'!E20</f>
        <v/>
      </c>
      <c r="F7" s="13">
        <f>'Income Statement'!F20</f>
        <v/>
      </c>
    </row>
    <row r="8">
      <c r="A8" s="11" t="inlineStr">
        <is>
          <t>Profit Attribution Gap</t>
        </is>
      </c>
      <c r="B8" s="16">
        <f>B5+B6-B7</f>
        <v/>
      </c>
      <c r="C8" s="16">
        <f>C5+C6-C7</f>
        <v/>
      </c>
      <c r="D8" s="16">
        <f>D5+D6-D7</f>
        <v/>
      </c>
      <c r="E8" s="16">
        <f>E5+E6-E7</f>
        <v/>
      </c>
      <c r="F8" s="16">
        <f>F5+F6-F7</f>
        <v/>
      </c>
    </row>
    <row r="9"/>
    <row r="10">
      <c r="A10" s="11" t="inlineStr">
        <is>
          <t>Parent Equity</t>
        </is>
      </c>
      <c r="B10" s="16">
        <f>'Balance Sheet'!B26</f>
        <v/>
      </c>
      <c r="C10" s="16">
        <f>'Balance Sheet'!C26</f>
        <v/>
      </c>
      <c r="D10" s="16">
        <f>'Balance Sheet'!D26</f>
        <v/>
      </c>
      <c r="E10" s="16">
        <f>'Balance Sheet'!E26</f>
        <v/>
      </c>
      <c r="F10" s="16">
        <f>'Balance Sheet'!F26</f>
        <v/>
      </c>
    </row>
    <row r="11">
      <c r="A11" s="11" t="inlineStr">
        <is>
          <t>NCI Equity</t>
        </is>
      </c>
      <c r="B11" s="16">
        <f>'Balance Sheet'!B27</f>
        <v/>
      </c>
      <c r="C11" s="16">
        <f>'Balance Sheet'!C27</f>
        <v/>
      </c>
      <c r="D11" s="16">
        <f>'Balance Sheet'!D27</f>
        <v/>
      </c>
      <c r="E11" s="16">
        <f>'Balance Sheet'!E27</f>
        <v/>
      </c>
      <c r="F11" s="16">
        <f>'Balance Sheet'!F27</f>
        <v/>
      </c>
    </row>
    <row r="12">
      <c r="A12" s="11" t="inlineStr">
        <is>
          <t>Total Equity</t>
        </is>
      </c>
      <c r="B12" s="13">
        <f>'Balance Sheet'!B30</f>
        <v/>
      </c>
      <c r="C12" s="13">
        <f>'Balance Sheet'!C30</f>
        <v/>
      </c>
      <c r="D12" s="13">
        <f>'Balance Sheet'!D30</f>
        <v/>
      </c>
      <c r="E12" s="13">
        <f>'Balance Sheet'!E30</f>
        <v/>
      </c>
      <c r="F12" s="13">
        <f>'Balance Sheet'!F30</f>
        <v/>
      </c>
    </row>
    <row r="13">
      <c r="A13" s="11" t="inlineStr">
        <is>
          <t>Equity Attribution Gap</t>
        </is>
      </c>
      <c r="B13" s="16">
        <f>B10+B11-B12</f>
        <v/>
      </c>
      <c r="C13" s="16">
        <f>C10+C11-C12</f>
        <v/>
      </c>
      <c r="D13" s="16">
        <f>D10+D11-D12</f>
        <v/>
      </c>
      <c r="E13" s="16">
        <f>E10+E11-E12</f>
        <v/>
      </c>
      <c r="F13" s="16">
        <f>F10+F11-F12</f>
        <v/>
      </c>
    </row>
    <row r="14"/>
    <row r="15">
      <c r="A15" s="11" t="inlineStr">
        <is>
          <t>Parent ROE</t>
        </is>
      </c>
      <c r="B15" s="11" t="inlineStr">
        <is>
          <t>N/A</t>
        </is>
      </c>
      <c r="C15" s="15">
        <f>IF((C10+B10)=0,NA(),C5/((C10+B10)/2))</f>
        <v/>
      </c>
      <c r="D15" s="15">
        <f>IF((D10+C10)=0,NA(),D5/((D10+C10)/2))</f>
        <v/>
      </c>
      <c r="E15" s="15">
        <f>IF((E10+D10)=0,NA(),E5/((E10+D10)/2))</f>
        <v/>
      </c>
      <c r="F15" s="15">
        <f>IF((F10+E10)=0,NA(),F5/((F10+E10)/2))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FAST RETAILING CO., LTD. — Earnings Quality</t>
        </is>
      </c>
    </row>
    <row r="2">
      <c r="A2" s="11" t="inlineStr">
        <is>
          <t>Historical cash-conversion and accrual diagnostics. These are mechanical diagnostics, not an automatic quality score.</t>
        </is>
      </c>
    </row>
    <row r="3"/>
    <row r="4">
      <c r="A4" s="11" t="inlineStr">
        <is>
          <t>Metric</t>
        </is>
      </c>
      <c r="B4" s="12" t="n">
        <v>44439</v>
      </c>
      <c r="C4" s="12" t="n">
        <v>44804</v>
      </c>
      <c r="D4" s="12" t="n">
        <v>45169</v>
      </c>
      <c r="E4" s="12" t="n">
        <v>45535</v>
      </c>
      <c r="F4" s="12" t="n">
        <v>45900</v>
      </c>
    </row>
    <row r="5">
      <c r="A5" s="11" t="inlineStr">
        <is>
          <t>Operating Cash Flow</t>
        </is>
      </c>
      <c r="B5" s="16">
        <f>'Cash Flow Statement'!B30</f>
        <v/>
      </c>
      <c r="C5" s="16">
        <f>'Cash Flow Statement'!C30</f>
        <v/>
      </c>
      <c r="D5" s="16">
        <f>'Cash Flow Statement'!D30</f>
        <v/>
      </c>
      <c r="E5" s="16">
        <f>'Cash Flow Statement'!E30</f>
        <v/>
      </c>
      <c r="F5" s="16">
        <f>'Cash Flow Statement'!F30</f>
        <v/>
      </c>
    </row>
    <row r="6">
      <c r="A6" s="11" t="inlineStr">
        <is>
          <t>Reported Net Income</t>
        </is>
      </c>
      <c r="B6" s="13">
        <f>'Condensed Financials'!B45</f>
        <v/>
      </c>
      <c r="C6" s="13">
        <f>'Condensed Financials'!C45</f>
        <v/>
      </c>
      <c r="D6" s="13">
        <f>'Condensed Financials'!D45</f>
        <v/>
      </c>
      <c r="E6" s="13">
        <f>'Condensed Financials'!E45</f>
        <v/>
      </c>
      <c r="F6" s="13">
        <f>'Condensed Financials'!F45</f>
        <v/>
      </c>
    </row>
    <row r="7">
      <c r="A7" s="11" t="inlineStr">
        <is>
          <t>Cash Conversion Ratio</t>
        </is>
      </c>
      <c r="B7" s="17">
        <f>IF(B6=0,NA(),B5/B6)</f>
        <v/>
      </c>
      <c r="C7" s="17">
        <f>IF(C6=0,NA(),C5/C6)</f>
        <v/>
      </c>
      <c r="D7" s="17">
        <f>IF(D6=0,NA(),D5/D6)</f>
        <v/>
      </c>
      <c r="E7" s="17">
        <f>IF(E6=0,NA(),E5/E6)</f>
        <v/>
      </c>
      <c r="F7" s="17">
        <f>IF(F6=0,NA(),F5/F6)</f>
        <v/>
      </c>
    </row>
    <row r="8">
      <c r="A8" s="11" t="inlineStr">
        <is>
          <t>Total Accruals (Net Income - CFO)</t>
        </is>
      </c>
      <c r="B8" s="16">
        <f>B6-B5</f>
        <v/>
      </c>
      <c r="C8" s="16">
        <f>C6-C5</f>
        <v/>
      </c>
      <c r="D8" s="16">
        <f>D6-D5</f>
        <v/>
      </c>
      <c r="E8" s="16">
        <f>E6-E5</f>
        <v/>
      </c>
      <c r="F8" s="16">
        <f>F6-F5</f>
        <v/>
      </c>
    </row>
    <row r="9"/>
    <row r="10">
      <c r="A10" s="11" t="inlineStr">
        <is>
          <t>Total Assets</t>
        </is>
      </c>
      <c r="B10" s="13">
        <f>'Balance Sheet'!B7</f>
        <v/>
      </c>
      <c r="C10" s="13">
        <f>'Balance Sheet'!C7</f>
        <v/>
      </c>
      <c r="D10" s="13">
        <f>'Balance Sheet'!D7</f>
        <v/>
      </c>
      <c r="E10" s="13">
        <f>'Balance Sheet'!E7</f>
        <v/>
      </c>
      <c r="F10" s="13">
        <f>'Balance Sheet'!F7</f>
        <v/>
      </c>
    </row>
    <row r="11">
      <c r="A11" s="11" t="inlineStr">
        <is>
          <t>Average Total Assets</t>
        </is>
      </c>
      <c r="C11" s="16">
        <f>(B10+C10)/2</f>
        <v/>
      </c>
      <c r="D11" s="16">
        <f>(C10+D10)/2</f>
        <v/>
      </c>
      <c r="E11" s="16">
        <f>(D10+E10)/2</f>
        <v/>
      </c>
      <c r="F11" s="16">
        <f>(E10+F10)/2</f>
        <v/>
      </c>
    </row>
    <row r="12">
      <c r="A12" s="11" t="inlineStr">
        <is>
          <t>Accrual Ratio</t>
        </is>
      </c>
      <c r="C12" s="15">
        <f>IF(C11=0,NA(),C8/C11)</f>
        <v/>
      </c>
      <c r="D12" s="15">
        <f>IF(D11=0,NA(),D8/D11)</f>
        <v/>
      </c>
      <c r="E12" s="15">
        <f>IF(E11=0,NA(),E8/E11)</f>
        <v/>
      </c>
      <c r="F12" s="15">
        <f>IF(F11=0,NA(),F8/F11)</f>
        <v/>
      </c>
    </row>
    <row r="13"/>
    <row r="14">
      <c r="A14" s="11" t="inlineStr">
        <is>
          <t>EARNINGS QUALITY TREND DIAGNOSTICS</t>
        </is>
      </c>
    </row>
    <row r="15">
      <c r="A15" s="11" t="inlineStr">
        <is>
          <t>Change in Operating Cash Flow</t>
        </is>
      </c>
      <c r="B15" s="11" t="inlineStr">
        <is>
          <t>N/A</t>
        </is>
      </c>
      <c r="C15" s="16">
        <f>C5-B5</f>
        <v/>
      </c>
      <c r="D15" s="16">
        <f>D5-C5</f>
        <v/>
      </c>
      <c r="E15" s="16">
        <f>E5-D5</f>
        <v/>
      </c>
      <c r="F15" s="16">
        <f>F5-E5</f>
        <v/>
      </c>
    </row>
    <row r="16">
      <c r="A16" s="11" t="inlineStr">
        <is>
          <t>Change in Cash Conversion Ratio</t>
        </is>
      </c>
      <c r="B16" s="11" t="inlineStr">
        <is>
          <t>N/A</t>
        </is>
      </c>
      <c r="C16" s="17">
        <f>C7-B7</f>
        <v/>
      </c>
      <c r="D16" s="17">
        <f>D7-C7</f>
        <v/>
      </c>
      <c r="E16" s="17">
        <f>E7-D7</f>
        <v/>
      </c>
      <c r="F16" s="17">
        <f>F7-E7</f>
        <v/>
      </c>
    </row>
    <row r="17">
      <c r="A17" s="11" t="inlineStr">
        <is>
          <t>Change in Total Accruals</t>
        </is>
      </c>
      <c r="B17" s="11" t="inlineStr">
        <is>
          <t>N/A</t>
        </is>
      </c>
      <c r="C17" s="16">
        <f>C8-B8</f>
        <v/>
      </c>
      <c r="D17" s="16">
        <f>D8-C8</f>
        <v/>
      </c>
      <c r="E17" s="16">
        <f>E8-D8</f>
        <v/>
      </c>
      <c r="F17" s="16">
        <f>F8-E8</f>
        <v/>
      </c>
    </row>
    <row r="18">
      <c r="A18" s="11" t="inlineStr">
        <is>
          <t>Change in Accrual Ratio</t>
        </is>
      </c>
      <c r="B18" s="11" t="inlineStr">
        <is>
          <t>N/A</t>
        </is>
      </c>
      <c r="C18" s="11" t="inlineStr">
        <is>
          <t>N/A</t>
        </is>
      </c>
      <c r="D18" s="15">
        <f>D12-C12</f>
        <v/>
      </c>
      <c r="E18" s="15">
        <f>E12-D12</f>
        <v/>
      </c>
      <c r="F18" s="15">
        <f>F12-E12</f>
        <v/>
      </c>
    </row>
    <row r="19">
      <c r="A19" s="11" t="inlineStr">
        <is>
          <t>EARNINGS QUALITY CHANGE CHECK</t>
        </is>
      </c>
      <c r="B19" s="11" t="inlineStr">
        <is>
          <t>N/A</t>
        </is>
      </c>
      <c r="C19" s="11">
        <f>IF(ABS(C17-((C6-B6)-C15))&lt;0.01,"OK","CHECK")</f>
        <v/>
      </c>
      <c r="D19" s="11">
        <f>IF(ABS(D17-((D6-C6)-D15))&lt;0.01,"OK","CHECK")</f>
        <v/>
      </c>
      <c r="E19" s="11">
        <f>IF(ABS(E17-((E6-D6)-E15))&lt;0.01,"OK","CHECK")</f>
        <v/>
      </c>
      <c r="F19" s="11">
        <f>IF(ABS(F17-((F6-E6)-F15))&lt;0.01,"OK","CHECK")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Working Capital Analysis</t>
        </is>
      </c>
    </row>
    <row r="2">
      <c r="A2" s="11" t="inlineStr">
        <is>
          <t>Relate classified operating working capital to Revenue and identify how much incremental NOWC accompanies changes in sales.</t>
        </is>
      </c>
    </row>
    <row r="3">
      <c r="A3" s="11" t="inlineStr">
        <is>
          <t>These are diagnostics, not automatic judgments. Positive Change in NOWC is an operating cash use; negative Change in NOWC is a release. Annual data alone does not prove seasonality or deterioration.</t>
        </is>
      </c>
    </row>
    <row r="4"/>
    <row r="5">
      <c r="A5" s="11" t="inlineStr">
        <is>
          <t>Metric</t>
        </is>
      </c>
      <c r="B5" s="12" t="n">
        <v>44439</v>
      </c>
      <c r="C5" s="12" t="n">
        <v>44804</v>
      </c>
      <c r="D5" s="12" t="n">
        <v>45169</v>
      </c>
      <c r="E5" s="12" t="n">
        <v>45535</v>
      </c>
      <c r="F5" s="12" t="n">
        <v>45900</v>
      </c>
    </row>
    <row r="6">
      <c r="A6" s="11" t="inlineStr">
        <is>
          <t>Revenue</t>
        </is>
      </c>
      <c r="B6" s="13">
        <f>'Condensed Financials'!B44</f>
        <v/>
      </c>
      <c r="C6" s="13">
        <f>'Condensed Financials'!C44</f>
        <v/>
      </c>
      <c r="D6" s="13">
        <f>'Condensed Financials'!D44</f>
        <v/>
      </c>
      <c r="E6" s="13">
        <f>'Condensed Financials'!E44</f>
        <v/>
      </c>
      <c r="F6" s="13">
        <f>'Condensed Financials'!F44</f>
        <v/>
      </c>
    </row>
    <row r="7">
      <c r="A7" s="11" t="inlineStr">
        <is>
          <t>Operating Working Capital Assets</t>
        </is>
      </c>
      <c r="B7" s="13">
        <f>'Condensed Financials'!B57</f>
        <v/>
      </c>
      <c r="C7" s="13">
        <f>'Condensed Financials'!C57</f>
        <v/>
      </c>
      <c r="D7" s="13">
        <f>'Condensed Financials'!D57</f>
        <v/>
      </c>
      <c r="E7" s="13">
        <f>'Condensed Financials'!E57</f>
        <v/>
      </c>
      <c r="F7" s="13">
        <f>'Condensed Financials'!F57</f>
        <v/>
      </c>
    </row>
    <row r="8">
      <c r="A8" s="11" t="inlineStr">
        <is>
          <t>Operating Working Capital Liabilities</t>
        </is>
      </c>
      <c r="B8" s="13">
        <f>'Condensed Financials'!B58</f>
        <v/>
      </c>
      <c r="C8" s="13">
        <f>'Condensed Financials'!C58</f>
        <v/>
      </c>
      <c r="D8" s="13">
        <f>'Condensed Financials'!D58</f>
        <v/>
      </c>
      <c r="E8" s="13">
        <f>'Condensed Financials'!E58</f>
        <v/>
      </c>
      <c r="F8" s="13">
        <f>'Condensed Financials'!F58</f>
        <v/>
      </c>
    </row>
    <row r="9">
      <c r="A9" s="11" t="inlineStr">
        <is>
          <t>NOWC</t>
        </is>
      </c>
      <c r="B9" s="13">
        <f>'Condensed Financials'!B59</f>
        <v/>
      </c>
      <c r="C9" s="13">
        <f>'Condensed Financials'!C59</f>
        <v/>
      </c>
      <c r="D9" s="13">
        <f>'Condensed Financials'!D59</f>
        <v/>
      </c>
      <c r="E9" s="13">
        <f>'Condensed Financials'!E59</f>
        <v/>
      </c>
      <c r="F9" s="13">
        <f>'Condensed Financials'!F59</f>
        <v/>
      </c>
    </row>
    <row r="10"/>
    <row r="11">
      <c r="A11" s="11" t="inlineStr">
        <is>
          <t>OWCA / Revenue</t>
        </is>
      </c>
      <c r="B11" s="15">
        <f>IF(B6=0,NA(),B7/B6)</f>
        <v/>
      </c>
      <c r="C11" s="15">
        <f>IF(C6=0,NA(),C7/C6)</f>
        <v/>
      </c>
      <c r="D11" s="15">
        <f>IF(D6=0,NA(),D7/D6)</f>
        <v/>
      </c>
      <c r="E11" s="15">
        <f>IF(E6=0,NA(),E7/E6)</f>
        <v/>
      </c>
      <c r="F11" s="15">
        <f>IF(F6=0,NA(),F7/F6)</f>
        <v/>
      </c>
    </row>
    <row r="12">
      <c r="A12" s="11" t="inlineStr">
        <is>
          <t>OWCL / Revenue</t>
        </is>
      </c>
      <c r="B12" s="15">
        <f>IF(B6=0,NA(),B8/B6)</f>
        <v/>
      </c>
      <c r="C12" s="15">
        <f>IF(C6=0,NA(),C8/C6)</f>
        <v/>
      </c>
      <c r="D12" s="15">
        <f>IF(D6=0,NA(),D8/D6)</f>
        <v/>
      </c>
      <c r="E12" s="15">
        <f>IF(E6=0,NA(),E8/E6)</f>
        <v/>
      </c>
      <c r="F12" s="15">
        <f>IF(F6=0,NA(),F8/F6)</f>
        <v/>
      </c>
    </row>
    <row r="13">
      <c r="A13" s="11" t="inlineStr">
        <is>
          <t>NOWC / Revenue</t>
        </is>
      </c>
      <c r="B13" s="15">
        <f>IF(B6=0,NA(),B9/B6)</f>
        <v/>
      </c>
      <c r="C13" s="15">
        <f>IF(C6=0,NA(),C9/C6)</f>
        <v/>
      </c>
      <c r="D13" s="15">
        <f>IF(D6=0,NA(),D9/D6)</f>
        <v/>
      </c>
      <c r="E13" s="15">
        <f>IF(E6=0,NA(),E9/E6)</f>
        <v/>
      </c>
      <c r="F13" s="15">
        <f>IF(F6=0,NA(),F9/F6)</f>
        <v/>
      </c>
    </row>
    <row r="14">
      <c r="A14" s="11" t="inlineStr">
        <is>
          <t>Change in Revenue</t>
        </is>
      </c>
      <c r="B14" s="11" t="inlineStr">
        <is>
          <t>N/A</t>
        </is>
      </c>
      <c r="C14" s="16">
        <f>C6-B6</f>
        <v/>
      </c>
      <c r="D14" s="16">
        <f>D6-C6</f>
        <v/>
      </c>
      <c r="E14" s="16">
        <f>E6-D6</f>
        <v/>
      </c>
      <c r="F14" s="16">
        <f>F6-E6</f>
        <v/>
      </c>
    </row>
    <row r="15">
      <c r="A15" s="11" t="inlineStr">
        <is>
          <t>Change in NOWC</t>
        </is>
      </c>
      <c r="B15" s="11" t="inlineStr">
        <is>
          <t>N/A</t>
        </is>
      </c>
      <c r="C15" s="16">
        <f>C9-B9</f>
        <v/>
      </c>
      <c r="D15" s="16">
        <f>D9-C9</f>
        <v/>
      </c>
      <c r="E15" s="16">
        <f>E9-D9</f>
        <v/>
      </c>
      <c r="F15" s="16">
        <f>F9-E9</f>
        <v/>
      </c>
    </row>
    <row r="16">
      <c r="A16" s="11" t="inlineStr">
        <is>
          <t>Incremental NOWC / Change in Revenue</t>
        </is>
      </c>
      <c r="B16" s="11" t="inlineStr">
        <is>
          <t>N/A</t>
        </is>
      </c>
      <c r="C16" s="15">
        <f>IF(C14=0,NA(),C15/C14)</f>
        <v/>
      </c>
      <c r="D16" s="15">
        <f>IF(D14=0,NA(),D15/D14)</f>
        <v/>
      </c>
      <c r="E16" s="15">
        <f>IF(E14=0,NA(),E15/E14)</f>
        <v/>
      </c>
      <c r="F16" s="15">
        <f>IF(F14=0,NA(),F15/F14)</f>
        <v/>
      </c>
    </row>
    <row r="17"/>
    <row r="18">
      <c r="A18" s="11" t="inlineStr">
        <is>
          <t>WORKING-CAPITAL DRIVER DECOMPOSITION</t>
        </is>
      </c>
    </row>
    <row r="19">
      <c r="A19" s="11" t="inlineStr">
        <is>
          <t>Change in OWCA</t>
        </is>
      </c>
      <c r="B19" s="11" t="inlineStr">
        <is>
          <t>N/A</t>
        </is>
      </c>
      <c r="C19" s="16">
        <f>C7-B7</f>
        <v/>
      </c>
      <c r="D19" s="16">
        <f>D7-C7</f>
        <v/>
      </c>
      <c r="E19" s="16">
        <f>E7-D7</f>
        <v/>
      </c>
      <c r="F19" s="16">
        <f>F7-E7</f>
        <v/>
      </c>
    </row>
    <row r="20">
      <c r="A20" s="11" t="inlineStr">
        <is>
          <t>Change in OWCL</t>
        </is>
      </c>
      <c r="B20" s="11" t="inlineStr">
        <is>
          <t>N/A</t>
        </is>
      </c>
      <c r="C20" s="16">
        <f>C8-B8</f>
        <v/>
      </c>
      <c r="D20" s="16">
        <f>D8-C8</f>
        <v/>
      </c>
      <c r="E20" s="16">
        <f>E8-D8</f>
        <v/>
      </c>
      <c r="F20" s="16">
        <f>F8-E8</f>
        <v/>
      </c>
    </row>
    <row r="21">
      <c r="A21" s="11" t="inlineStr">
        <is>
          <t>Change in NOWC from Components</t>
        </is>
      </c>
      <c r="B21" s="11" t="inlineStr">
        <is>
          <t>N/A</t>
        </is>
      </c>
      <c r="C21" s="16">
        <f>C19-C20</f>
        <v/>
      </c>
      <c r="D21" s="16">
        <f>D19-D20</f>
        <v/>
      </c>
      <c r="E21" s="16">
        <f>E19-E20</f>
        <v/>
      </c>
      <c r="F21" s="16">
        <f>F19-F20</f>
        <v/>
      </c>
    </row>
    <row r="22">
      <c r="A22" s="11" t="inlineStr">
        <is>
          <t>Incremental OWCA / Change in Revenue</t>
        </is>
      </c>
      <c r="B22" s="11" t="inlineStr">
        <is>
          <t>N/A</t>
        </is>
      </c>
      <c r="C22" s="15">
        <f>IF(C14=0,NA(),C19/C14)</f>
        <v/>
      </c>
      <c r="D22" s="15">
        <f>IF(D14=0,NA(),D19/D14)</f>
        <v/>
      </c>
      <c r="E22" s="15">
        <f>IF(E14=0,NA(),E19/E14)</f>
        <v/>
      </c>
      <c r="F22" s="15">
        <f>IF(F14=0,NA(),F19/F14)</f>
        <v/>
      </c>
    </row>
    <row r="23">
      <c r="A23" s="11" t="inlineStr">
        <is>
          <t>Incremental OWCL / Change in Revenue</t>
        </is>
      </c>
      <c r="B23" s="11" t="inlineStr">
        <is>
          <t>N/A</t>
        </is>
      </c>
      <c r="C23" s="15">
        <f>IF(C14=0,NA(),C20/C14)</f>
        <v/>
      </c>
      <c r="D23" s="15">
        <f>IF(D14=0,NA(),D20/D14)</f>
        <v/>
      </c>
      <c r="E23" s="15">
        <f>IF(E14=0,NA(),E20/E14)</f>
        <v/>
      </c>
      <c r="F23" s="15">
        <f>IF(F14=0,NA(),F20/F14)</f>
        <v/>
      </c>
    </row>
    <row r="24">
      <c r="A24" s="11" t="inlineStr">
        <is>
          <t>DRIVER DECOMPOSITION CHECK</t>
        </is>
      </c>
      <c r="B24" s="11" t="inlineStr">
        <is>
          <t>N/A</t>
        </is>
      </c>
      <c r="C24" s="11">
        <f>IF(ABS(C21-C15)&lt;0.01,"OK","CHECK")</f>
        <v/>
      </c>
      <c r="D24" s="11">
        <f>IF(ABS(D21-D15)&lt;0.01,"OK","CHECK")</f>
        <v/>
      </c>
      <c r="E24" s="11">
        <f>IF(ABS(E21-E15)&lt;0.01,"OK","CHECK")</f>
        <v/>
      </c>
      <c r="F24" s="11">
        <f>IF(ABS(F21-F15)&lt;0.01,"OK","CHECK")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FAST RETAILING CO., LTD. — Per Share Analysis</t>
        </is>
      </c>
    </row>
    <row r="2">
      <c r="A2" s="11" t="inlineStr">
        <is>
          <t>Historical per-share diagnostics using supplied diluted weighted-average shares. Share counts are source inputs, not practice cells.</t>
        </is>
      </c>
    </row>
    <row r="3"/>
    <row r="4">
      <c r="A4" s="11" t="inlineStr">
        <is>
          <t>Metric</t>
        </is>
      </c>
      <c r="B4" s="12" t="n">
        <v>44439</v>
      </c>
      <c r="C4" s="12" t="n">
        <v>44804</v>
      </c>
      <c r="D4" s="12" t="n">
        <v>45169</v>
      </c>
      <c r="E4" s="12" t="n">
        <v>45535</v>
      </c>
      <c r="F4" s="12" t="n">
        <v>45900</v>
      </c>
    </row>
    <row r="5">
      <c r="A5" s="11" t="inlineStr">
        <is>
          <t>Parent-Attributable Profit</t>
        </is>
      </c>
      <c r="B5" s="13">
        <f>'Income Statement'!B18</f>
        <v/>
      </c>
      <c r="C5" s="13">
        <f>'Income Statement'!C18</f>
        <v/>
      </c>
      <c r="D5" s="13">
        <f>'Income Statement'!D18</f>
        <v/>
      </c>
      <c r="E5" s="13">
        <f>'Income Statement'!E18</f>
        <v/>
      </c>
      <c r="F5" s="13">
        <f>'Income Statement'!F18</f>
        <v/>
      </c>
    </row>
    <row r="6">
      <c r="A6" s="11" t="inlineStr">
        <is>
          <t>NOPAT</t>
        </is>
      </c>
      <c r="B6" s="13">
        <f>'Condensed Financials'!B54</f>
        <v/>
      </c>
      <c r="C6" s="13">
        <f>'Condensed Financials'!C54</f>
        <v/>
      </c>
      <c r="D6" s="13">
        <f>'Condensed Financials'!D54</f>
        <v/>
      </c>
      <c r="E6" s="13">
        <f>'Condensed Financials'!E54</f>
        <v/>
      </c>
      <c r="F6" s="13">
        <f>'Condensed Financials'!F54</f>
        <v/>
      </c>
    </row>
    <row r="7">
      <c r="A7" s="11" t="inlineStr">
        <is>
          <t>Diluted Weighted-Average Shares</t>
        </is>
      </c>
      <c r="B7" s="19" t="n">
        <v>306.871785</v>
      </c>
      <c r="C7" s="19" t="n">
        <v>306.969624</v>
      </c>
      <c r="D7" s="19" t="n">
        <v>307.13887</v>
      </c>
      <c r="E7" s="19" t="n">
        <v>307.231804</v>
      </c>
      <c r="F7" s="19" t="n">
        <v>307.247804</v>
      </c>
    </row>
    <row r="8">
      <c r="A8" s="11" t="inlineStr">
        <is>
          <t>Share Basis: Split-adjusted comparable basis</t>
        </is>
      </c>
    </row>
    <row r="9">
      <c r="A9" s="11" t="inlineStr">
        <is>
          <t>Diluted EPS (Comparable Basis)</t>
        </is>
      </c>
      <c r="B9" s="20">
        <f>IF(B7&lt;=0,NA(),B5/B7)</f>
        <v/>
      </c>
      <c r="C9" s="20">
        <f>IF(C7&lt;=0,NA(),C5/C7)</f>
        <v/>
      </c>
      <c r="D9" s="20">
        <f>IF(D7&lt;=0,NA(),D5/D7)</f>
        <v/>
      </c>
      <c r="E9" s="20">
        <f>IF(E7&lt;=0,NA(),E5/E7)</f>
        <v/>
      </c>
      <c r="F9" s="20">
        <f>IF(F7&lt;=0,NA(),F5/F7)</f>
        <v/>
      </c>
    </row>
    <row r="10">
      <c r="A10" s="11" t="inlineStr">
        <is>
          <t>NOPAT per Diluted Share</t>
        </is>
      </c>
      <c r="B10" s="20">
        <f>IF(B7&lt;=0,NA(),B6/B7)</f>
        <v/>
      </c>
      <c r="C10" s="20">
        <f>IF(C7&lt;=0,NA(),C6/C7)</f>
        <v/>
      </c>
      <c r="D10" s="20">
        <f>IF(D7&lt;=0,NA(),D6/D7)</f>
        <v/>
      </c>
      <c r="E10" s="20">
        <f>IF(E7&lt;=0,NA(),E6/E7)</f>
        <v/>
      </c>
      <c r="F10" s="20">
        <f>IF(F7&lt;=0,NA(),F6/F7)</f>
        <v/>
      </c>
    </row>
    <row r="11"/>
    <row r="12">
      <c r="A12" s="11" t="inlineStr">
        <is>
          <t>Change in Diluted EPS</t>
        </is>
      </c>
      <c r="B12" s="11" t="inlineStr">
        <is>
          <t>N/A</t>
        </is>
      </c>
      <c r="C12" s="20">
        <f>C9-B9</f>
        <v/>
      </c>
      <c r="D12" s="20">
        <f>D9-C9</f>
        <v/>
      </c>
      <c r="E12" s="20">
        <f>E9-D9</f>
        <v/>
      </c>
      <c r="F12" s="20">
        <f>F9-E9</f>
        <v/>
      </c>
    </row>
    <row r="13">
      <c r="A13" s="11" t="inlineStr">
        <is>
          <t>Change in Diluted Weighted-Average Shares</t>
        </is>
      </c>
      <c r="B13" s="11" t="inlineStr">
        <is>
          <t>N/A</t>
        </is>
      </c>
      <c r="C13" s="21">
        <f>C7-B7</f>
        <v/>
      </c>
      <c r="D13" s="21">
        <f>D7-C7</f>
        <v/>
      </c>
      <c r="E13" s="21">
        <f>E7-D7</f>
        <v/>
      </c>
      <c r="F13" s="21">
        <f>F7-E7</f>
        <v/>
      </c>
    </row>
    <row r="14"/>
    <row r="15">
      <c r="A15" s="11" t="inlineStr">
        <is>
          <t>DILUTED EPS CHANGE ATTRIBUTION</t>
        </is>
      </c>
    </row>
    <row r="16">
      <c r="A16" s="11" t="inlineStr">
        <is>
          <t>Change in Per-Share Earnings Numerator</t>
        </is>
      </c>
      <c r="B16" s="11" t="inlineStr">
        <is>
          <t>N/A</t>
        </is>
      </c>
      <c r="C16" s="16">
        <f>C5-B5</f>
        <v/>
      </c>
      <c r="D16" s="16">
        <f>D5-C5</f>
        <v/>
      </c>
      <c r="E16" s="16">
        <f>E5-D5</f>
        <v/>
      </c>
      <c r="F16" s="16">
        <f>F5-E5</f>
        <v/>
      </c>
    </row>
    <row r="17">
      <c r="A17" s="11" t="inlineStr">
        <is>
          <t>Earnings Effect on Change in Diluted EPS</t>
        </is>
      </c>
      <c r="B17" s="11" t="inlineStr">
        <is>
          <t>N/A</t>
        </is>
      </c>
      <c r="C17" s="20">
        <f>C16*((1/C7+1/B7)/2)</f>
        <v/>
      </c>
      <c r="D17" s="20">
        <f>D16*((1/D7+1/C7)/2)</f>
        <v/>
      </c>
      <c r="E17" s="20">
        <f>E16*((1/E7+1/D7)/2)</f>
        <v/>
      </c>
      <c r="F17" s="20">
        <f>F16*((1/F7+1/E7)/2)</f>
        <v/>
      </c>
    </row>
    <row r="18">
      <c r="A18" s="11" t="inlineStr">
        <is>
          <t>Share-Count Effect on Change in Diluted EPS</t>
        </is>
      </c>
      <c r="B18" s="11" t="inlineStr">
        <is>
          <t>N/A</t>
        </is>
      </c>
      <c r="C18" s="20">
        <f>((1/C7)-(1/B7))*((C5+B5)/2)</f>
        <v/>
      </c>
      <c r="D18" s="20">
        <f>((1/D7)-(1/C7))*((D5+C5)/2)</f>
        <v/>
      </c>
      <c r="E18" s="20">
        <f>((1/E7)-(1/D7))*((E5+D5)/2)</f>
        <v/>
      </c>
      <c r="F18" s="20">
        <f>((1/F7)-(1/E7))*((F5+E5)/2)</f>
        <v/>
      </c>
    </row>
    <row r="19">
      <c r="A19" s="11" t="inlineStr">
        <is>
          <t>Diluted EPS Change from Drivers</t>
        </is>
      </c>
      <c r="B19" s="11" t="inlineStr">
        <is>
          <t>N/A</t>
        </is>
      </c>
      <c r="C19" s="20">
        <f>C17+C18</f>
        <v/>
      </c>
      <c r="D19" s="20">
        <f>D17+D18</f>
        <v/>
      </c>
      <c r="E19" s="20">
        <f>E17+E18</f>
        <v/>
      </c>
      <c r="F19" s="20">
        <f>F17+F18</f>
        <v/>
      </c>
    </row>
    <row r="20">
      <c r="A20" s="11" t="inlineStr">
        <is>
          <t>DILUTED EPS CHANGE ATTRIBUTION CHECK</t>
        </is>
      </c>
      <c r="B20" s="11" t="inlineStr">
        <is>
          <t>N/A</t>
        </is>
      </c>
      <c r="C20" s="11">
        <f>IF(ABS(C19-C12)&lt;0.0000001,"OK","CHECK")</f>
        <v/>
      </c>
      <c r="D20" s="11">
        <f>IF(ABS(D19-D12)&lt;0.0000001,"OK","CHECK")</f>
        <v/>
      </c>
      <c r="E20" s="11">
        <f>IF(ABS(E19-E12)&lt;0.0000001,"OK","CHECK")</f>
        <v/>
      </c>
      <c r="F20" s="11">
        <f>IF(ABS(F19-F12)&lt;0.0000001,"OK","CHECK")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</t>
        </is>
      </c>
      <c r="C1" s="1" t="inlineStr">
        <is>
          <t>title</t>
        </is>
      </c>
      <c r="D1" s="1" t="inlineStr">
        <is>
          <t>short_hint</t>
        </is>
      </c>
      <c r="E1" s="1" t="inlineStr">
        <is>
          <t>semantic_key</t>
        </is>
      </c>
      <c r="F1" s="1" t="inlineStr">
        <is>
          <t>category</t>
        </is>
      </c>
      <c r="G1" s="1" t="inlineStr">
        <is>
          <t>tab</t>
        </is>
      </c>
      <c r="H1" s="1" t="inlineStr">
        <is>
          <t>cell</t>
        </is>
      </c>
      <c r="I1" s="1" t="inlineStr">
        <is>
          <t>formula</t>
        </is>
      </c>
      <c r="J1" s="1" t="inlineStr">
        <is>
          <t>expected_value</t>
        </is>
      </c>
      <c r="K1" s="1" t="inlineStr">
        <is>
          <t>tolerance</t>
        </is>
      </c>
      <c r="L1" s="1" t="inlineStr">
        <is>
          <t>depends_on</t>
        </is>
      </c>
      <c r="M1" s="1" t="inlineStr">
        <is>
          <t>hints</t>
        </is>
      </c>
      <c r="N1" s="1" t="inlineStr">
        <is>
          <t>related_cells</t>
        </is>
      </c>
      <c r="O1" s="1" t="inlineStr">
        <is>
          <t>status</t>
        </is>
      </c>
      <c r="P1" s="1" t="inlineStr">
        <is>
          <t>family_id</t>
        </is>
      </c>
      <c r="Q1" s="1" t="inlineStr">
        <is>
          <t>family_order</t>
        </is>
      </c>
      <c r="R1" s="1" t="inlineStr">
        <is>
          <t>period_index</t>
        </is>
      </c>
      <c r="S1" s="1" t="inlineStr">
        <is>
          <t>period_end</t>
        </is>
      </c>
    </row>
    <row r="2">
      <c r="A2" t="inlineStr">
        <is>
          <t>revenue_link__20210831</t>
        </is>
      </c>
      <c r="B2" t="n">
        <v>1</v>
      </c>
      <c r="C2" t="inlineStr">
        <is>
          <t>Revenue historical source link</t>
        </is>
      </c>
      <c r="D2" t="inlineStr">
        <is>
          <t>Link Revenue from the Income Statement into Condensed Financials.</t>
        </is>
      </c>
      <c r="E2" t="inlineStr">
        <is>
          <t>condensed.revenue_link.2021-08-31</t>
        </is>
      </c>
      <c r="F2" t="inlineStr">
        <is>
          <t>accounting</t>
        </is>
      </c>
      <c r="G2" t="inlineStr">
        <is>
          <t>Condensed Financials</t>
        </is>
      </c>
      <c r="H2" t="inlineStr">
        <is>
          <t>B44</t>
        </is>
      </c>
      <c r="I2">
        <f>'Income Statement'!B21</f>
        <v/>
      </c>
      <c r="J2" t="n">
        <v>2132992</v>
      </c>
      <c r="K2" t="n">
        <v>0.01</v>
      </c>
      <c r="M2" t="inlineStr">
        <is>
          <t>Pull the Revenue line from the Income Statement for the same fiscal period.</t>
        </is>
      </c>
      <c r="O2" t="inlineStr">
        <is>
          <t>pending</t>
        </is>
      </c>
      <c r="P2" t="inlineStr">
        <is>
          <t>revenue_link</t>
        </is>
      </c>
      <c r="Q2" t="n">
        <v>1</v>
      </c>
      <c r="R2" t="n">
        <v>0</v>
      </c>
      <c r="S2" t="inlineStr">
        <is>
          <t>2021-08-31</t>
        </is>
      </c>
    </row>
    <row r="3">
      <c r="A3" t="inlineStr">
        <is>
          <t>revenue_link__20220831</t>
        </is>
      </c>
      <c r="B3" t="n">
        <v>2</v>
      </c>
      <c r="C3" t="inlineStr">
        <is>
          <t>Revenue historical source link</t>
        </is>
      </c>
      <c r="D3" t="inlineStr">
        <is>
          <t>Link Revenue from the Income Statement into Condensed Financials.</t>
        </is>
      </c>
      <c r="E3" t="inlineStr">
        <is>
          <t>condensed.revenue_link.2022-08-31</t>
        </is>
      </c>
      <c r="F3" t="inlineStr">
        <is>
          <t>accounting</t>
        </is>
      </c>
      <c r="G3" t="inlineStr">
        <is>
          <t>Condensed Financials</t>
        </is>
      </c>
      <c r="H3" t="inlineStr">
        <is>
          <t>C44</t>
        </is>
      </c>
      <c r="I3">
        <f>'Income Statement'!C21</f>
        <v/>
      </c>
      <c r="J3" t="n">
        <v>2301122</v>
      </c>
      <c r="K3" t="n">
        <v>0.01</v>
      </c>
      <c r="M3" t="inlineStr">
        <is>
          <t>Pull the Revenue line from the Income Statement for the same fiscal period.</t>
        </is>
      </c>
      <c r="O3" t="inlineStr">
        <is>
          <t>pending</t>
        </is>
      </c>
      <c r="P3" t="inlineStr">
        <is>
          <t>revenue_link</t>
        </is>
      </c>
      <c r="Q3" t="n">
        <v>1</v>
      </c>
      <c r="R3" t="n">
        <v>1</v>
      </c>
      <c r="S3" t="inlineStr">
        <is>
          <t>2022-08-31</t>
        </is>
      </c>
    </row>
    <row r="4">
      <c r="A4" t="inlineStr">
        <is>
          <t>revenue_link__20230831</t>
        </is>
      </c>
      <c r="B4" t="n">
        <v>3</v>
      </c>
      <c r="C4" t="inlineStr">
        <is>
          <t>Revenue historical source link</t>
        </is>
      </c>
      <c r="D4" t="inlineStr">
        <is>
          <t>Link Revenue from the Income Statement into Condensed Financials.</t>
        </is>
      </c>
      <c r="E4" t="inlineStr">
        <is>
          <t>condensed.revenue_link.2023-08-31</t>
        </is>
      </c>
      <c r="F4" t="inlineStr">
        <is>
          <t>accounting</t>
        </is>
      </c>
      <c r="G4" t="inlineStr">
        <is>
          <t>Condensed Financials</t>
        </is>
      </c>
      <c r="H4" t="inlineStr">
        <is>
          <t>D44</t>
        </is>
      </c>
      <c r="I4">
        <f>'Income Statement'!D21</f>
        <v/>
      </c>
      <c r="J4" t="n">
        <v>2766557</v>
      </c>
      <c r="K4" t="n">
        <v>0.01</v>
      </c>
      <c r="M4" t="inlineStr">
        <is>
          <t>Pull the Revenue line from the Income Statement for the same fiscal period.</t>
        </is>
      </c>
      <c r="O4" t="inlineStr">
        <is>
          <t>pending</t>
        </is>
      </c>
      <c r="P4" t="inlineStr">
        <is>
          <t>revenue_link</t>
        </is>
      </c>
      <c r="Q4" t="n">
        <v>1</v>
      </c>
      <c r="R4" t="n">
        <v>2</v>
      </c>
      <c r="S4" t="inlineStr">
        <is>
          <t>2023-08-31</t>
        </is>
      </c>
    </row>
    <row r="5">
      <c r="A5" t="inlineStr">
        <is>
          <t>revenue_link__20240831</t>
        </is>
      </c>
      <c r="B5" t="n">
        <v>4</v>
      </c>
      <c r="C5" t="inlineStr">
        <is>
          <t>Revenue historical source link</t>
        </is>
      </c>
      <c r="D5" t="inlineStr">
        <is>
          <t>Link Revenue from the Income Statement into Condensed Financials.</t>
        </is>
      </c>
      <c r="E5" t="inlineStr">
        <is>
          <t>condensed.revenue_link.2024-08-31</t>
        </is>
      </c>
      <c r="F5" t="inlineStr">
        <is>
          <t>accounting</t>
        </is>
      </c>
      <c r="G5" t="inlineStr">
        <is>
          <t>Condensed Financials</t>
        </is>
      </c>
      <c r="H5" t="inlineStr">
        <is>
          <t>E44</t>
        </is>
      </c>
      <c r="I5">
        <f>'Income Statement'!E21</f>
        <v/>
      </c>
      <c r="J5" t="n">
        <v>3103836</v>
      </c>
      <c r="K5" t="n">
        <v>0.01</v>
      </c>
      <c r="M5" t="inlineStr">
        <is>
          <t>Pull the Revenue line from the Income Statement for the same fiscal period.</t>
        </is>
      </c>
      <c r="O5" t="inlineStr">
        <is>
          <t>pending</t>
        </is>
      </c>
      <c r="P5" t="inlineStr">
        <is>
          <t>revenue_link</t>
        </is>
      </c>
      <c r="Q5" t="n">
        <v>1</v>
      </c>
      <c r="R5" t="n">
        <v>3</v>
      </c>
      <c r="S5" t="inlineStr">
        <is>
          <t>2024-08-31</t>
        </is>
      </c>
    </row>
    <row r="6">
      <c r="A6" t="inlineStr">
        <is>
          <t>revenue_link__20250831</t>
        </is>
      </c>
      <c r="B6" t="n">
        <v>5</v>
      </c>
      <c r="C6" t="inlineStr">
        <is>
          <t>Revenue historical source link</t>
        </is>
      </c>
      <c r="D6" t="inlineStr">
        <is>
          <t>Link Revenue from the Income Statement into Condensed Financials.</t>
        </is>
      </c>
      <c r="E6" t="inlineStr">
        <is>
          <t>condensed.revenue_link.2025-08-31</t>
        </is>
      </c>
      <c r="F6" t="inlineStr">
        <is>
          <t>accounting</t>
        </is>
      </c>
      <c r="G6" t="inlineStr">
        <is>
          <t>Condensed Financials</t>
        </is>
      </c>
      <c r="H6" t="inlineStr">
        <is>
          <t>F44</t>
        </is>
      </c>
      <c r="I6">
        <f>'Income Statement'!F21</f>
        <v/>
      </c>
      <c r="J6" t="n">
        <v>3400539</v>
      </c>
      <c r="K6" t="n">
        <v>0.01</v>
      </c>
      <c r="M6" t="inlineStr">
        <is>
          <t>Pull the Revenue line from the Income Statement for the same fiscal period.</t>
        </is>
      </c>
      <c r="O6" t="inlineStr">
        <is>
          <t>pending</t>
        </is>
      </c>
      <c r="P6" t="inlineStr">
        <is>
          <t>revenue_link</t>
        </is>
      </c>
      <c r="Q6" t="n">
        <v>1</v>
      </c>
      <c r="R6" t="n">
        <v>4</v>
      </c>
      <c r="S6" t="inlineStr">
        <is>
          <t>2025-08-31</t>
        </is>
      </c>
    </row>
    <row r="7">
      <c r="A7" t="inlineStr">
        <is>
          <t>net_income_link__20210831</t>
        </is>
      </c>
      <c r="B7" t="n">
        <v>6</v>
      </c>
      <c r="C7" t="inlineStr">
        <is>
          <t>Net Income historical source link</t>
        </is>
      </c>
      <c r="D7" t="inlineStr">
        <is>
          <t>Link Net Income from the Income Statement into Condensed Financials.</t>
        </is>
      </c>
      <c r="E7" t="inlineStr">
        <is>
          <t>condensed.net_income_link.2021-08-31</t>
        </is>
      </c>
      <c r="F7" t="inlineStr">
        <is>
          <t>accounting</t>
        </is>
      </c>
      <c r="G7" t="inlineStr">
        <is>
          <t>Condensed Financials</t>
        </is>
      </c>
      <c r="H7" t="inlineStr">
        <is>
          <t>B45</t>
        </is>
      </c>
      <c r="I7">
        <f>'Income Statement'!B20</f>
        <v/>
      </c>
      <c r="J7" t="n">
        <v>175684</v>
      </c>
      <c r="K7" t="n">
        <v>0.01</v>
      </c>
      <c r="M7" t="inlineStr">
        <is>
          <t>Pull Net Income from the Income Statement for the same fiscal period.</t>
        </is>
      </c>
      <c r="O7" t="inlineStr">
        <is>
          <t>pending</t>
        </is>
      </c>
      <c r="P7" t="inlineStr">
        <is>
          <t>net_income_link</t>
        </is>
      </c>
      <c r="Q7" t="n">
        <v>2</v>
      </c>
      <c r="R7" t="n">
        <v>0</v>
      </c>
      <c r="S7" t="inlineStr">
        <is>
          <t>2021-08-31</t>
        </is>
      </c>
    </row>
    <row r="8">
      <c r="A8" t="inlineStr">
        <is>
          <t>net_income_link__20220831</t>
        </is>
      </c>
      <c r="B8" t="n">
        <v>7</v>
      </c>
      <c r="C8" t="inlineStr">
        <is>
          <t>Net Income historical source link</t>
        </is>
      </c>
      <c r="D8" t="inlineStr">
        <is>
          <t>Link Net Income from the Income Statement into Condensed Financials.</t>
        </is>
      </c>
      <c r="E8" t="inlineStr">
        <is>
          <t>condensed.net_income_link.2022-08-31</t>
        </is>
      </c>
      <c r="F8" t="inlineStr">
        <is>
          <t>accounting</t>
        </is>
      </c>
      <c r="G8" t="inlineStr">
        <is>
          <t>Condensed Financials</t>
        </is>
      </c>
      <c r="H8" t="inlineStr">
        <is>
          <t>C45</t>
        </is>
      </c>
      <c r="I8">
        <f>'Income Statement'!C20</f>
        <v/>
      </c>
      <c r="J8" t="n">
        <v>284750</v>
      </c>
      <c r="K8" t="n">
        <v>0.01</v>
      </c>
      <c r="M8" t="inlineStr">
        <is>
          <t>Pull Net Income from the Income Statement for the same fiscal period.</t>
        </is>
      </c>
      <c r="O8" t="inlineStr">
        <is>
          <t>pending</t>
        </is>
      </c>
      <c r="P8" t="inlineStr">
        <is>
          <t>net_income_link</t>
        </is>
      </c>
      <c r="Q8" t="n">
        <v>2</v>
      </c>
      <c r="R8" t="n">
        <v>1</v>
      </c>
      <c r="S8" t="inlineStr">
        <is>
          <t>2022-08-31</t>
        </is>
      </c>
    </row>
    <row r="9">
      <c r="A9" t="inlineStr">
        <is>
          <t>net_income_link__20230831</t>
        </is>
      </c>
      <c r="B9" t="n">
        <v>8</v>
      </c>
      <c r="C9" t="inlineStr">
        <is>
          <t>Net Income historical source link</t>
        </is>
      </c>
      <c r="D9" t="inlineStr">
        <is>
          <t>Link Net Income from the Income Statement into Condensed Financials.</t>
        </is>
      </c>
      <c r="E9" t="inlineStr">
        <is>
          <t>condensed.net_income_link.2023-08-31</t>
        </is>
      </c>
      <c r="F9" t="inlineStr">
        <is>
          <t>accounting</t>
        </is>
      </c>
      <c r="G9" t="inlineStr">
        <is>
          <t>Condensed Financials</t>
        </is>
      </c>
      <c r="H9" t="inlineStr">
        <is>
          <t>D45</t>
        </is>
      </c>
      <c r="I9">
        <f>'Income Statement'!D20</f>
        <v/>
      </c>
      <c r="J9" t="n">
        <v>315171</v>
      </c>
      <c r="K9" t="n">
        <v>0.01</v>
      </c>
      <c r="M9" t="inlineStr">
        <is>
          <t>Pull Net Income from the Income Statement for the same fiscal period.</t>
        </is>
      </c>
      <c r="O9" t="inlineStr">
        <is>
          <t>pending</t>
        </is>
      </c>
      <c r="P9" t="inlineStr">
        <is>
          <t>net_income_link</t>
        </is>
      </c>
      <c r="Q9" t="n">
        <v>2</v>
      </c>
      <c r="R9" t="n">
        <v>2</v>
      </c>
      <c r="S9" t="inlineStr">
        <is>
          <t>2023-08-31</t>
        </is>
      </c>
    </row>
    <row r="10">
      <c r="A10" t="inlineStr">
        <is>
          <t>net_income_link__20240831</t>
        </is>
      </c>
      <c r="B10" t="n">
        <v>9</v>
      </c>
      <c r="C10" t="inlineStr">
        <is>
          <t>Net Income historical source link</t>
        </is>
      </c>
      <c r="D10" t="inlineStr">
        <is>
          <t>Link Net Income from the Income Statement into Condensed Financials.</t>
        </is>
      </c>
      <c r="E10" t="inlineStr">
        <is>
          <t>condensed.net_income_link.2024-08-31</t>
        </is>
      </c>
      <c r="F10" t="inlineStr">
        <is>
          <t>accounting</t>
        </is>
      </c>
      <c r="G10" t="inlineStr">
        <is>
          <t>Condensed Financials</t>
        </is>
      </c>
      <c r="H10" t="inlineStr">
        <is>
          <t>E45</t>
        </is>
      </c>
      <c r="I10">
        <f>'Income Statement'!E20</f>
        <v/>
      </c>
      <c r="J10" t="n">
        <v>393605</v>
      </c>
      <c r="K10" t="n">
        <v>0.01</v>
      </c>
      <c r="M10" t="inlineStr">
        <is>
          <t>Pull Net Income from the Income Statement for the same fiscal period.</t>
        </is>
      </c>
      <c r="O10" t="inlineStr">
        <is>
          <t>pending</t>
        </is>
      </c>
      <c r="P10" t="inlineStr">
        <is>
          <t>net_income_link</t>
        </is>
      </c>
      <c r="Q10" t="n">
        <v>2</v>
      </c>
      <c r="R10" t="n">
        <v>3</v>
      </c>
      <c r="S10" t="inlineStr">
        <is>
          <t>2024-08-31</t>
        </is>
      </c>
    </row>
    <row r="11">
      <c r="A11" t="inlineStr">
        <is>
          <t>net_income_link__20250831</t>
        </is>
      </c>
      <c r="B11" t="n">
        <v>10</v>
      </c>
      <c r="C11" t="inlineStr">
        <is>
          <t>Net Income historical source link</t>
        </is>
      </c>
      <c r="D11" t="inlineStr">
        <is>
          <t>Link Net Income from the Income Statement into Condensed Financials.</t>
        </is>
      </c>
      <c r="E11" t="inlineStr">
        <is>
          <t>condensed.net_income_link.2025-08-31</t>
        </is>
      </c>
      <c r="F11" t="inlineStr">
        <is>
          <t>accounting</t>
        </is>
      </c>
      <c r="G11" t="inlineStr">
        <is>
          <t>Condensed Financials</t>
        </is>
      </c>
      <c r="H11" t="inlineStr">
        <is>
          <t>F45</t>
        </is>
      </c>
      <c r="I11">
        <f>'Income Statement'!F20</f>
        <v/>
      </c>
      <c r="J11" t="n">
        <v>459153</v>
      </c>
      <c r="K11" t="n">
        <v>0.01</v>
      </c>
      <c r="M11" t="inlineStr">
        <is>
          <t>Pull Net Income from the Income Statement for the same fiscal period.</t>
        </is>
      </c>
      <c r="O11" t="inlineStr">
        <is>
          <t>pending</t>
        </is>
      </c>
      <c r="P11" t="inlineStr">
        <is>
          <t>net_income_link</t>
        </is>
      </c>
      <c r="Q11" t="n">
        <v>2</v>
      </c>
      <c r="R11" t="n">
        <v>4</v>
      </c>
      <c r="S11" t="inlineStr">
        <is>
          <t>2025-08-31</t>
        </is>
      </c>
    </row>
    <row r="12">
      <c r="A12" t="inlineStr">
        <is>
          <t>effective_tax_rate_fy__20210831</t>
        </is>
      </c>
      <c r="B12" t="n">
        <v>11</v>
      </c>
      <c r="C12" t="inlineStr">
        <is>
          <t>Effective tax rate</t>
        </is>
      </c>
      <c r="D12" t="inlineStr">
        <is>
          <t>Relate tax expense to pretax income using the model's sign convention.</t>
        </is>
      </c>
      <c r="E12" t="inlineStr">
        <is>
          <t>condensed.effective_tax_rate.2021-08-31</t>
        </is>
      </c>
      <c r="F12" t="inlineStr">
        <is>
          <t>accounting</t>
        </is>
      </c>
      <c r="G12" t="inlineStr">
        <is>
          <t>Condensed Financials</t>
        </is>
      </c>
      <c r="H12" t="inlineStr">
        <is>
          <t>B51</t>
        </is>
      </c>
      <c r="I12">
        <f>IF(B46=0,NA(),-B47/B46)</f>
        <v/>
      </c>
      <c r="J12" t="n">
        <v>0.3392158632725522</v>
      </c>
      <c r="K12" t="n">
        <v>0.01</v>
      </c>
      <c r="M12" t="inlineStr">
        <is>
          <t>Effective tax rate uses pretax income in the denominator.|Preserve the model's sign convention for tax expense.|A zero Pretax Income makes Effective Tax Rate undefined (#N/A).</t>
        </is>
      </c>
      <c r="O12" t="inlineStr">
        <is>
          <t>pending</t>
        </is>
      </c>
      <c r="P12" t="inlineStr">
        <is>
          <t>effective_tax_rate_fy</t>
        </is>
      </c>
      <c r="Q12" t="n">
        <v>3</v>
      </c>
      <c r="R12" t="n">
        <v>0</v>
      </c>
      <c r="S12" t="inlineStr">
        <is>
          <t>2021-08-31</t>
        </is>
      </c>
    </row>
    <row r="13">
      <c r="A13" t="inlineStr">
        <is>
          <t>effective_tax_rate_fy__20220831</t>
        </is>
      </c>
      <c r="B13" t="n">
        <v>12</v>
      </c>
      <c r="C13" t="inlineStr">
        <is>
          <t>Effective tax rate</t>
        </is>
      </c>
      <c r="D13" t="inlineStr">
        <is>
          <t>Relate tax expense to pretax income using the model's sign convention.</t>
        </is>
      </c>
      <c r="E13" t="inlineStr">
        <is>
          <t>condensed.effective_tax_rate.2022-08-31</t>
        </is>
      </c>
      <c r="F13" t="inlineStr">
        <is>
          <t>accounting</t>
        </is>
      </c>
      <c r="G13" t="inlineStr">
        <is>
          <t>Condensed Financials</t>
        </is>
      </c>
      <c r="H13" t="inlineStr">
        <is>
          <t>C51</t>
        </is>
      </c>
      <c r="I13">
        <f>IF(C46=0,NA(),-C47/C46)</f>
        <v/>
      </c>
      <c r="J13" t="n">
        <v>0.3115062478239004</v>
      </c>
      <c r="K13" t="n">
        <v>0.01</v>
      </c>
      <c r="M13" t="inlineStr">
        <is>
          <t>Effective tax rate uses pretax income in the denominator.|Preserve the model's sign convention for tax expense.|A zero Pretax Income makes Effective Tax Rate undefined (#N/A).</t>
        </is>
      </c>
      <c r="O13" t="inlineStr">
        <is>
          <t>pending</t>
        </is>
      </c>
      <c r="P13" t="inlineStr">
        <is>
          <t>effective_tax_rate_fy</t>
        </is>
      </c>
      <c r="Q13" t="n">
        <v>3</v>
      </c>
      <c r="R13" t="n">
        <v>1</v>
      </c>
      <c r="S13" t="inlineStr">
        <is>
          <t>2022-08-31</t>
        </is>
      </c>
    </row>
    <row r="14">
      <c r="A14" t="inlineStr">
        <is>
          <t>effective_tax_rate_fy__20230831</t>
        </is>
      </c>
      <c r="B14" t="n">
        <v>13</v>
      </c>
      <c r="C14" t="inlineStr">
        <is>
          <t>Effective tax rate</t>
        </is>
      </c>
      <c r="D14" t="inlineStr">
        <is>
          <t>Relate tax expense to pretax income using the model's sign convention.</t>
        </is>
      </c>
      <c r="E14" t="inlineStr">
        <is>
          <t>condensed.effective_tax_rate.2023-08-31</t>
        </is>
      </c>
      <c r="F14" t="inlineStr">
        <is>
          <t>accounting</t>
        </is>
      </c>
      <c r="G14" t="inlineStr">
        <is>
          <t>Condensed Financials</t>
        </is>
      </c>
      <c r="H14" t="inlineStr">
        <is>
          <t>D51</t>
        </is>
      </c>
      <c r="I14">
        <f>IF(D46=0,NA(),-D47/D46)</f>
        <v/>
      </c>
      <c r="J14" t="n">
        <v>0.2802944843555186</v>
      </c>
      <c r="K14" t="n">
        <v>0.01</v>
      </c>
      <c r="M14" t="inlineStr">
        <is>
          <t>Effective tax rate uses pretax income in the denominator.|Preserve the model's sign convention for tax expense.|A zero Pretax Income makes Effective Tax Rate undefined (#N/A).</t>
        </is>
      </c>
      <c r="O14" t="inlineStr">
        <is>
          <t>pending</t>
        </is>
      </c>
      <c r="P14" t="inlineStr">
        <is>
          <t>effective_tax_rate_fy</t>
        </is>
      </c>
      <c r="Q14" t="n">
        <v>3</v>
      </c>
      <c r="R14" t="n">
        <v>2</v>
      </c>
      <c r="S14" t="inlineStr">
        <is>
          <t>2023-08-31</t>
        </is>
      </c>
    </row>
    <row r="15">
      <c r="A15" t="inlineStr">
        <is>
          <t>effective_tax_rate_fy__20240831</t>
        </is>
      </c>
      <c r="B15" t="n">
        <v>14</v>
      </c>
      <c r="C15" t="inlineStr">
        <is>
          <t>Effective tax rate</t>
        </is>
      </c>
      <c r="D15" t="inlineStr">
        <is>
          <t>Relate tax expense to pretax income using the model's sign convention.</t>
        </is>
      </c>
      <c r="E15" t="inlineStr">
        <is>
          <t>condensed.effective_tax_rate.2024-08-31</t>
        </is>
      </c>
      <c r="F15" t="inlineStr">
        <is>
          <t>accounting</t>
        </is>
      </c>
      <c r="G15" t="inlineStr">
        <is>
          <t>Condensed Financials</t>
        </is>
      </c>
      <c r="H15" t="inlineStr">
        <is>
          <t>E51</t>
        </is>
      </c>
      <c r="I15">
        <f>IF(E46=0,NA(),-E47/E46)</f>
        <v/>
      </c>
      <c r="J15" t="n">
        <v>0.2936032060243969</v>
      </c>
      <c r="K15" t="n">
        <v>0.01</v>
      </c>
      <c r="M15" t="inlineStr">
        <is>
          <t>Effective tax rate uses pretax income in the denominator.|Preserve the model's sign convention for tax expense.|A zero Pretax Income makes Effective Tax Rate undefined (#N/A).</t>
        </is>
      </c>
      <c r="O15" t="inlineStr">
        <is>
          <t>pending</t>
        </is>
      </c>
      <c r="P15" t="inlineStr">
        <is>
          <t>effective_tax_rate_fy</t>
        </is>
      </c>
      <c r="Q15" t="n">
        <v>3</v>
      </c>
      <c r="R15" t="n">
        <v>3</v>
      </c>
      <c r="S15" t="inlineStr">
        <is>
          <t>2024-08-31</t>
        </is>
      </c>
    </row>
    <row r="16">
      <c r="A16" t="inlineStr">
        <is>
          <t>effective_tax_rate_fy__20250831</t>
        </is>
      </c>
      <c r="B16" t="n">
        <v>15</v>
      </c>
      <c r="C16" t="inlineStr">
        <is>
          <t>Effective tax rate</t>
        </is>
      </c>
      <c r="D16" t="inlineStr">
        <is>
          <t>Relate tax expense to pretax income using the model's sign convention.</t>
        </is>
      </c>
      <c r="E16" t="inlineStr">
        <is>
          <t>condensed.effective_tax_rate.2025-08-31</t>
        </is>
      </c>
      <c r="F16" t="inlineStr">
        <is>
          <t>accounting</t>
        </is>
      </c>
      <c r="G16" t="inlineStr">
        <is>
          <t>Condensed Financials</t>
        </is>
      </c>
      <c r="H16" t="inlineStr">
        <is>
          <t>F51</t>
        </is>
      </c>
      <c r="I16">
        <f>IF(F46=0,NA(),-F47/F46)</f>
        <v/>
      </c>
      <c r="J16" t="n">
        <v>0.2942340148853166</v>
      </c>
      <c r="K16" t="n">
        <v>0.01</v>
      </c>
      <c r="M16" t="inlineStr">
        <is>
          <t>Effective tax rate uses pretax income in the denominator.|Preserve the model's sign convention for tax expense.|A zero Pretax Income makes Effective Tax Rate undefined (#N/A).</t>
        </is>
      </c>
      <c r="O16" t="inlineStr">
        <is>
          <t>pending</t>
        </is>
      </c>
      <c r="P16" t="inlineStr">
        <is>
          <t>effective_tax_rate_fy</t>
        </is>
      </c>
      <c r="Q16" t="n">
        <v>3</v>
      </c>
      <c r="R16" t="n">
        <v>4</v>
      </c>
      <c r="S16" t="inlineStr">
        <is>
          <t>2025-08-31</t>
        </is>
      </c>
    </row>
    <row r="17">
      <c r="A17" t="inlineStr">
        <is>
          <t>net_interest_fy__20210831</t>
        </is>
      </c>
      <c r="B17" t="n">
        <v>16</v>
      </c>
      <c r="C17" t="inlineStr">
        <is>
          <t>Net interest</t>
        </is>
      </c>
      <c r="D17" t="inlineStr">
        <is>
          <t>Combine interest expense and interest income into the financing result.</t>
        </is>
      </c>
      <c r="E17" t="inlineStr">
        <is>
          <t>condensed.net_interest.2021-08-31</t>
        </is>
      </c>
      <c r="F17" t="inlineStr">
        <is>
          <t>accounting</t>
        </is>
      </c>
      <c r="G17" t="inlineStr">
        <is>
          <t>Condensed Financials</t>
        </is>
      </c>
      <c r="H17" t="inlineStr">
        <is>
          <t>B52</t>
        </is>
      </c>
      <c r="I17">
        <f>-(B48+B49)-IF(AND($B$15="Operating Long-Term Liability",$B$39="Operating Long-Term Liability"),B50,IF(AND($B$15="Financial Liability",$B$39="Financial Liability"),0,NA()))</f>
        <v/>
      </c>
      <c r="J17" t="n">
        <v>-21708</v>
      </c>
      <c r="K17" t="n">
        <v>0.01</v>
      </c>
      <c r="M17" t="inlineStr">
        <is>
          <t>Net interest consolidates interest expense and interest income.|Use the explicitly supplied Interest Expense and Interest Income lines with the model's sign convention.</t>
        </is>
      </c>
      <c r="O17" t="inlineStr">
        <is>
          <t>pending</t>
        </is>
      </c>
      <c r="P17" t="inlineStr">
        <is>
          <t>net_interest_fy</t>
        </is>
      </c>
      <c r="Q17" t="n">
        <v>4</v>
      </c>
      <c r="R17" t="n">
        <v>0</v>
      </c>
      <c r="S17" t="inlineStr">
        <is>
          <t>2021-08-31</t>
        </is>
      </c>
    </row>
    <row r="18">
      <c r="A18" t="inlineStr">
        <is>
          <t>net_interest_fy__20220831</t>
        </is>
      </c>
      <c r="B18" t="n">
        <v>17</v>
      </c>
      <c r="C18" t="inlineStr">
        <is>
          <t>Net interest</t>
        </is>
      </c>
      <c r="D18" t="inlineStr">
        <is>
          <t>Combine interest expense and interest income into the financing result.</t>
        </is>
      </c>
      <c r="E18" t="inlineStr">
        <is>
          <t>condensed.net_interest.2022-08-31</t>
        </is>
      </c>
      <c r="F18" t="inlineStr">
        <is>
          <t>accounting</t>
        </is>
      </c>
      <c r="G18" t="inlineStr">
        <is>
          <t>Condensed Financials</t>
        </is>
      </c>
      <c r="H18" t="inlineStr">
        <is>
          <t>C52</t>
        </is>
      </c>
      <c r="I18">
        <f>-(C48+C49)-IF(AND($B$15="Operating Long-Term Liability",$B$39="Operating Long-Term Liability"),C50,IF(AND($B$15="Financial Liability",$B$39="Financial Liability"),0,NA()))</f>
        <v/>
      </c>
      <c r="J18" t="n">
        <v>-121017</v>
      </c>
      <c r="K18" t="n">
        <v>0.01</v>
      </c>
      <c r="M18" t="inlineStr">
        <is>
          <t>Net interest consolidates interest expense and interest income.|Use the explicitly supplied Interest Expense and Interest Income lines with the model's sign convention.</t>
        </is>
      </c>
      <c r="O18" t="inlineStr">
        <is>
          <t>pending</t>
        </is>
      </c>
      <c r="P18" t="inlineStr">
        <is>
          <t>net_interest_fy</t>
        </is>
      </c>
      <c r="Q18" t="n">
        <v>4</v>
      </c>
      <c r="R18" t="n">
        <v>1</v>
      </c>
      <c r="S18" t="inlineStr">
        <is>
          <t>2022-08-31</t>
        </is>
      </c>
    </row>
    <row r="19">
      <c r="A19" t="inlineStr">
        <is>
          <t>net_interest_fy__20230831</t>
        </is>
      </c>
      <c r="B19" t="n">
        <v>18</v>
      </c>
      <c r="C19" t="inlineStr">
        <is>
          <t>Net interest</t>
        </is>
      </c>
      <c r="D19" t="inlineStr">
        <is>
          <t>Combine interest expense and interest income into the financing result.</t>
        </is>
      </c>
      <c r="E19" t="inlineStr">
        <is>
          <t>condensed.net_interest.2023-08-31</t>
        </is>
      </c>
      <c r="F19" t="inlineStr">
        <is>
          <t>accounting</t>
        </is>
      </c>
      <c r="G19" t="inlineStr">
        <is>
          <t>Condensed Financials</t>
        </is>
      </c>
      <c r="H19" t="inlineStr">
        <is>
          <t>D52</t>
        </is>
      </c>
      <c r="I19">
        <f>-(D48+D49)-IF(AND($B$15="Operating Long-Term Liability",$B$39="Operating Long-Term Liability"),D50,IF(AND($B$15="Financial Liability",$B$39="Financial Liability"),0,NA()))</f>
        <v/>
      </c>
      <c r="J19" t="n">
        <v>-62015</v>
      </c>
      <c r="K19" t="n">
        <v>0.01</v>
      </c>
      <c r="M19" t="inlineStr">
        <is>
          <t>Net interest consolidates interest expense and interest income.|Use the explicitly supplied Interest Expense and Interest Income lines with the model's sign convention.</t>
        </is>
      </c>
      <c r="O19" t="inlineStr">
        <is>
          <t>pending</t>
        </is>
      </c>
      <c r="P19" t="inlineStr">
        <is>
          <t>net_interest_fy</t>
        </is>
      </c>
      <c r="Q19" t="n">
        <v>4</v>
      </c>
      <c r="R19" t="n">
        <v>2</v>
      </c>
      <c r="S19" t="inlineStr">
        <is>
          <t>2023-08-31</t>
        </is>
      </c>
    </row>
    <row r="20">
      <c r="A20" t="inlineStr">
        <is>
          <t>net_interest_fy__20240831</t>
        </is>
      </c>
      <c r="B20" t="n">
        <v>19</v>
      </c>
      <c r="C20" t="inlineStr">
        <is>
          <t>Net interest</t>
        </is>
      </c>
      <c r="D20" t="inlineStr">
        <is>
          <t>Combine interest expense and interest income into the financing result.</t>
        </is>
      </c>
      <c r="E20" t="inlineStr">
        <is>
          <t>condensed.net_interest.2024-08-31</t>
        </is>
      </c>
      <c r="F20" t="inlineStr">
        <is>
          <t>accounting</t>
        </is>
      </c>
      <c r="G20" t="inlineStr">
        <is>
          <t>Condensed Financials</t>
        </is>
      </c>
      <c r="H20" t="inlineStr">
        <is>
          <t>E52</t>
        </is>
      </c>
      <c r="I20">
        <f>-(E48+E49)-IF(AND($B$15="Operating Long-Term Liability",$B$39="Operating Long-Term Liability"),E50,IF(AND($B$15="Financial Liability",$B$39="Financial Liability"),0,NA()))</f>
        <v/>
      </c>
      <c r="J20" t="n">
        <v>-62805</v>
      </c>
      <c r="K20" t="n">
        <v>0.01</v>
      </c>
      <c r="M20" t="inlineStr">
        <is>
          <t>Net interest consolidates interest expense and interest income.|Use the explicitly supplied Interest Expense and Interest Income lines with the model's sign convention.</t>
        </is>
      </c>
      <c r="O20" t="inlineStr">
        <is>
          <t>pending</t>
        </is>
      </c>
      <c r="P20" t="inlineStr">
        <is>
          <t>net_interest_fy</t>
        </is>
      </c>
      <c r="Q20" t="n">
        <v>4</v>
      </c>
      <c r="R20" t="n">
        <v>3</v>
      </c>
      <c r="S20" t="inlineStr">
        <is>
          <t>2024-08-31</t>
        </is>
      </c>
    </row>
    <row r="21">
      <c r="A21" t="inlineStr">
        <is>
          <t>net_interest_fy__20250831</t>
        </is>
      </c>
      <c r="B21" t="n">
        <v>20</v>
      </c>
      <c r="C21" t="inlineStr">
        <is>
          <t>Net interest</t>
        </is>
      </c>
      <c r="D21" t="inlineStr">
        <is>
          <t>Combine interest expense and interest income into the financing result.</t>
        </is>
      </c>
      <c r="E21" t="inlineStr">
        <is>
          <t>condensed.net_interest.2025-08-31</t>
        </is>
      </c>
      <c r="F21" t="inlineStr">
        <is>
          <t>accounting</t>
        </is>
      </c>
      <c r="G21" t="inlineStr">
        <is>
          <t>Condensed Financials</t>
        </is>
      </c>
      <c r="H21" t="inlineStr">
        <is>
          <t>F52</t>
        </is>
      </c>
      <c r="I21">
        <f>-(F48+F49)-IF(AND($B$15="Operating Long-Term Liability",$B$39="Operating Long-Term Liability"),F50,IF(AND($B$15="Financial Liability",$B$39="Financial Liability"),0,NA()))</f>
        <v/>
      </c>
      <c r="J21" t="n">
        <v>-94773</v>
      </c>
      <c r="K21" t="n">
        <v>0.01</v>
      </c>
      <c r="M21" t="inlineStr">
        <is>
          <t>Net interest consolidates interest expense and interest income.|Use the explicitly supplied Interest Expense and Interest Income lines with the model's sign convention.</t>
        </is>
      </c>
      <c r="O21" t="inlineStr">
        <is>
          <t>pending</t>
        </is>
      </c>
      <c r="P21" t="inlineStr">
        <is>
          <t>net_interest_fy</t>
        </is>
      </c>
      <c r="Q21" t="n">
        <v>4</v>
      </c>
      <c r="R21" t="n">
        <v>4</v>
      </c>
      <c r="S21" t="inlineStr">
        <is>
          <t>2025-08-31</t>
        </is>
      </c>
    </row>
    <row r="22">
      <c r="A22" t="inlineStr">
        <is>
          <t>net_interest_after_tax_fy__20210831</t>
        </is>
      </c>
      <c r="B22" t="n">
        <v>21</v>
      </c>
      <c r="C22" t="inlineStr">
        <is>
          <t>Net interest after tax</t>
        </is>
      </c>
      <c r="D22" t="inlineStr">
        <is>
          <t>Apply the effective tax rate once to net interest.</t>
        </is>
      </c>
      <c r="E22" t="inlineStr">
        <is>
          <t>condensed.net_interest_after_tax.2021-08-31</t>
        </is>
      </c>
      <c r="F22" t="inlineStr">
        <is>
          <t>accounting</t>
        </is>
      </c>
      <c r="G22" t="inlineStr">
        <is>
          <t>Condensed Financials</t>
        </is>
      </c>
      <c r="H22" t="inlineStr">
        <is>
          <t>B53</t>
        </is>
      </c>
      <c r="I22">
        <f>IF(B52=0,0,IF(ISNA(B51),NA(),B52*(1-B51)))</f>
        <v/>
      </c>
      <c r="J22" t="n">
        <v>-14344.30204007944</v>
      </c>
      <c r="K22" t="n">
        <v>0.01</v>
      </c>
      <c r="L22" t="inlineStr">
        <is>
          <t>effective_tax_rate_fy__20210831,net_interest_fy__20210831</t>
        </is>
      </c>
      <c r="M22" t="inlineStr">
        <is>
          <t>After-tax net interest = Net Interest × (1 − Effective Tax Rate).|Do not tax-adjust a rate that is already after tax.|A zero Net Interest amount remains zero even if ETR is undefined; otherwise undefined ETR propagates.</t>
        </is>
      </c>
      <c r="O22" t="inlineStr">
        <is>
          <t>pending</t>
        </is>
      </c>
      <c r="P22" t="inlineStr">
        <is>
          <t>net_interest_after_tax_fy</t>
        </is>
      </c>
      <c r="Q22" t="n">
        <v>5</v>
      </c>
      <c r="R22" t="n">
        <v>0</v>
      </c>
      <c r="S22" t="inlineStr">
        <is>
          <t>2021-08-31</t>
        </is>
      </c>
    </row>
    <row r="23">
      <c r="A23" t="inlineStr">
        <is>
          <t>net_interest_after_tax_fy__20220831</t>
        </is>
      </c>
      <c r="B23" t="n">
        <v>22</v>
      </c>
      <c r="C23" t="inlineStr">
        <is>
          <t>Net interest after tax</t>
        </is>
      </c>
      <c r="D23" t="inlineStr">
        <is>
          <t>Apply the effective tax rate once to net interest.</t>
        </is>
      </c>
      <c r="E23" t="inlineStr">
        <is>
          <t>condensed.net_interest_after_tax.2022-08-31</t>
        </is>
      </c>
      <c r="F23" t="inlineStr">
        <is>
          <t>accounting</t>
        </is>
      </c>
      <c r="G23" t="inlineStr">
        <is>
          <t>Condensed Financials</t>
        </is>
      </c>
      <c r="H23" t="inlineStr">
        <is>
          <t>C53</t>
        </is>
      </c>
      <c r="I23">
        <f>IF(C52=0,0,IF(ISNA(C51),NA(),C52*(1-C51)))</f>
        <v/>
      </c>
      <c r="J23" t="n">
        <v>-83319.44840709506</v>
      </c>
      <c r="K23" t="n">
        <v>0.01</v>
      </c>
      <c r="L23" t="inlineStr">
        <is>
          <t>effective_tax_rate_fy__20220831,net_interest_fy__20220831</t>
        </is>
      </c>
      <c r="M23" t="inlineStr">
        <is>
          <t>After-tax net interest = Net Interest × (1 − Effective Tax Rate).|Do not tax-adjust a rate that is already after tax.|A zero Net Interest amount remains zero even if ETR is undefined; otherwise undefined ETR propagates.</t>
        </is>
      </c>
      <c r="O23" t="inlineStr">
        <is>
          <t>pending</t>
        </is>
      </c>
      <c r="P23" t="inlineStr">
        <is>
          <t>net_interest_after_tax_fy</t>
        </is>
      </c>
      <c r="Q23" t="n">
        <v>5</v>
      </c>
      <c r="R23" t="n">
        <v>1</v>
      </c>
      <c r="S23" t="inlineStr">
        <is>
          <t>2022-08-31</t>
        </is>
      </c>
    </row>
    <row r="24">
      <c r="A24" t="inlineStr">
        <is>
          <t>net_interest_after_tax_fy__20230831</t>
        </is>
      </c>
      <c r="B24" t="n">
        <v>23</v>
      </c>
      <c r="C24" t="inlineStr">
        <is>
          <t>Net interest after tax</t>
        </is>
      </c>
      <c r="D24" t="inlineStr">
        <is>
          <t>Apply the effective tax rate once to net interest.</t>
        </is>
      </c>
      <c r="E24" t="inlineStr">
        <is>
          <t>condensed.net_interest_after_tax.2023-08-31</t>
        </is>
      </c>
      <c r="F24" t="inlineStr">
        <is>
          <t>accounting</t>
        </is>
      </c>
      <c r="G24" t="inlineStr">
        <is>
          <t>Condensed Financials</t>
        </is>
      </c>
      <c r="H24" t="inlineStr">
        <is>
          <t>D53</t>
        </is>
      </c>
      <c r="I24">
        <f>IF(D52=0,0,IF(ISNA(D51),NA(),D52*(1-D51)))</f>
        <v/>
      </c>
      <c r="J24" t="n">
        <v>-44632.53755269251</v>
      </c>
      <c r="K24" t="n">
        <v>0.01</v>
      </c>
      <c r="L24" t="inlineStr">
        <is>
          <t>effective_tax_rate_fy__20230831,net_interest_fy__20230831</t>
        </is>
      </c>
      <c r="M24" t="inlineStr">
        <is>
          <t>After-tax net interest = Net Interest × (1 − Effective Tax Rate).|Do not tax-adjust a rate that is already after tax.|A zero Net Interest amount remains zero even if ETR is undefined; otherwise undefined ETR propagates.</t>
        </is>
      </c>
      <c r="O24" t="inlineStr">
        <is>
          <t>pending</t>
        </is>
      </c>
      <c r="P24" t="inlineStr">
        <is>
          <t>net_interest_after_tax_fy</t>
        </is>
      </c>
      <c r="Q24" t="n">
        <v>5</v>
      </c>
      <c r="R24" t="n">
        <v>2</v>
      </c>
      <c r="S24" t="inlineStr">
        <is>
          <t>2023-08-31</t>
        </is>
      </c>
    </row>
    <row r="25">
      <c r="A25" t="inlineStr">
        <is>
          <t>net_interest_after_tax_fy__20240831</t>
        </is>
      </c>
      <c r="B25" t="n">
        <v>24</v>
      </c>
      <c r="C25" t="inlineStr">
        <is>
          <t>Net interest after tax</t>
        </is>
      </c>
      <c r="D25" t="inlineStr">
        <is>
          <t>Apply the effective tax rate once to net interest.</t>
        </is>
      </c>
      <c r="E25" t="inlineStr">
        <is>
          <t>condensed.net_interest_after_tax.2024-08-31</t>
        </is>
      </c>
      <c r="F25" t="inlineStr">
        <is>
          <t>accounting</t>
        </is>
      </c>
      <c r="G25" t="inlineStr">
        <is>
          <t>Condensed Financials</t>
        </is>
      </c>
      <c r="H25" t="inlineStr">
        <is>
          <t>E53</t>
        </is>
      </c>
      <c r="I25">
        <f>IF(E52=0,0,IF(ISNA(E51),NA(),E52*(1-E51)))</f>
        <v/>
      </c>
      <c r="J25" t="n">
        <v>-44365.25064563775</v>
      </c>
      <c r="K25" t="n">
        <v>0.01</v>
      </c>
      <c r="L25" t="inlineStr">
        <is>
          <t>effective_tax_rate_fy__20240831,net_interest_fy__20240831</t>
        </is>
      </c>
      <c r="M25" t="inlineStr">
        <is>
          <t>After-tax net interest = Net Interest × (1 − Effective Tax Rate).|Do not tax-adjust a rate that is already after tax.|A zero Net Interest amount remains zero even if ETR is undefined; otherwise undefined ETR propagates.</t>
        </is>
      </c>
      <c r="O25" t="inlineStr">
        <is>
          <t>pending</t>
        </is>
      </c>
      <c r="P25" t="inlineStr">
        <is>
          <t>net_interest_after_tax_fy</t>
        </is>
      </c>
      <c r="Q25" t="n">
        <v>5</v>
      </c>
      <c r="R25" t="n">
        <v>3</v>
      </c>
      <c r="S25" t="inlineStr">
        <is>
          <t>2024-08-31</t>
        </is>
      </c>
    </row>
    <row r="26">
      <c r="A26" t="inlineStr">
        <is>
          <t>net_interest_after_tax_fy__20250831</t>
        </is>
      </c>
      <c r="B26" t="n">
        <v>25</v>
      </c>
      <c r="C26" t="inlineStr">
        <is>
          <t>Net interest after tax</t>
        </is>
      </c>
      <c r="D26" t="inlineStr">
        <is>
          <t>Apply the effective tax rate once to net interest.</t>
        </is>
      </c>
      <c r="E26" t="inlineStr">
        <is>
          <t>condensed.net_interest_after_tax.2025-08-31</t>
        </is>
      </c>
      <c r="F26" t="inlineStr">
        <is>
          <t>accounting</t>
        </is>
      </c>
      <c r="G26" t="inlineStr">
        <is>
          <t>Condensed Financials</t>
        </is>
      </c>
      <c r="H26" t="inlineStr">
        <is>
          <t>F53</t>
        </is>
      </c>
      <c r="I26">
        <f>IF(F52=0,0,IF(ISNA(F51),NA(),F52*(1-F51)))</f>
        <v/>
      </c>
      <c r="J26" t="n">
        <v>-66887.55970727389</v>
      </c>
      <c r="K26" t="n">
        <v>0.01</v>
      </c>
      <c r="L26" t="inlineStr">
        <is>
          <t>effective_tax_rate_fy__20250831,net_interest_fy__20250831</t>
        </is>
      </c>
      <c r="M26" t="inlineStr">
        <is>
          <t>After-tax net interest = Net Interest × (1 − Effective Tax Rate).|Do not tax-adjust a rate that is already after tax.|A zero Net Interest amount remains zero even if ETR is undefined; otherwise undefined ETR propagates.</t>
        </is>
      </c>
      <c r="O26" t="inlineStr">
        <is>
          <t>pending</t>
        </is>
      </c>
      <c r="P26" t="inlineStr">
        <is>
          <t>net_interest_after_tax_fy</t>
        </is>
      </c>
      <c r="Q26" t="n">
        <v>5</v>
      </c>
      <c r="R26" t="n">
        <v>4</v>
      </c>
      <c r="S26" t="inlineStr">
        <is>
          <t>2025-08-31</t>
        </is>
      </c>
    </row>
    <row r="27">
      <c r="A27" t="inlineStr">
        <is>
          <t>nopat_fy__20210831</t>
        </is>
      </c>
      <c r="B27" t="n">
        <v>26</v>
      </c>
      <c r="C27" t="inlineStr">
        <is>
          <t>NOPAT</t>
        </is>
      </c>
      <c r="D27" t="inlineStr">
        <is>
          <t>Reformulate net income to operating profit after tax.</t>
        </is>
      </c>
      <c r="E27" t="inlineStr">
        <is>
          <t>condensed.nopat.2021-08-31</t>
        </is>
      </c>
      <c r="F27" t="inlineStr">
        <is>
          <t>accounting</t>
        </is>
      </c>
      <c r="G27" t="inlineStr">
        <is>
          <t>Condensed Financials</t>
        </is>
      </c>
      <c r="H27" t="inlineStr">
        <is>
          <t>B54</t>
        </is>
      </c>
      <c r="I27">
        <f>B45+B53</f>
        <v/>
      </c>
      <c r="J27" t="n">
        <v>161339.6979599206</v>
      </c>
      <c r="K27" t="n">
        <v>0.01</v>
      </c>
      <c r="L27" t="inlineStr">
        <is>
          <t>net_income_link__20210831,net_interest_after_tax_fy__20210831</t>
        </is>
      </c>
      <c r="M27" t="inlineStr">
        <is>
          <t>Start from Net Income on the Income Statement.|Add back after-tax net interest: Net Interest × (1 − Tax Rate).|NOPAT = Net Income + Net Interest After Tax.|Undefined tax-effected Net Interest propagates to NOPAT.</t>
        </is>
      </c>
      <c r="O27" t="inlineStr">
        <is>
          <t>pending</t>
        </is>
      </c>
      <c r="P27" t="inlineStr">
        <is>
          <t>nopat_fy</t>
        </is>
      </c>
      <c r="Q27" t="n">
        <v>6</v>
      </c>
      <c r="R27" t="n">
        <v>0</v>
      </c>
      <c r="S27" t="inlineStr">
        <is>
          <t>2021-08-31</t>
        </is>
      </c>
    </row>
    <row r="28">
      <c r="A28" t="inlineStr">
        <is>
          <t>nopat_fy__20220831</t>
        </is>
      </c>
      <c r="B28" t="n">
        <v>27</v>
      </c>
      <c r="C28" t="inlineStr">
        <is>
          <t>NOPAT</t>
        </is>
      </c>
      <c r="D28" t="inlineStr">
        <is>
          <t>Reformulate net income to operating profit after tax.</t>
        </is>
      </c>
      <c r="E28" t="inlineStr">
        <is>
          <t>condensed.nopat.2022-08-31</t>
        </is>
      </c>
      <c r="F28" t="inlineStr">
        <is>
          <t>accounting</t>
        </is>
      </c>
      <c r="G28" t="inlineStr">
        <is>
          <t>Condensed Financials</t>
        </is>
      </c>
      <c r="H28" t="inlineStr">
        <is>
          <t>C54</t>
        </is>
      </c>
      <c r="I28">
        <f>C45+C53</f>
        <v/>
      </c>
      <c r="J28" t="n">
        <v>201430.551592905</v>
      </c>
      <c r="K28" t="n">
        <v>0.01</v>
      </c>
      <c r="L28" t="inlineStr">
        <is>
          <t>net_income_link__20220831,net_interest_after_tax_fy__20220831</t>
        </is>
      </c>
      <c r="M28" t="inlineStr">
        <is>
          <t>Start from Net Income on the Income Statement.|Add back after-tax net interest: Net Interest × (1 − Tax Rate).|NOPAT = Net Income + Net Interest After Tax.|Undefined tax-effected Net Interest propagates to NOPAT.</t>
        </is>
      </c>
      <c r="O28" t="inlineStr">
        <is>
          <t>pending</t>
        </is>
      </c>
      <c r="P28" t="inlineStr">
        <is>
          <t>nopat_fy</t>
        </is>
      </c>
      <c r="Q28" t="n">
        <v>6</v>
      </c>
      <c r="R28" t="n">
        <v>1</v>
      </c>
      <c r="S28" t="inlineStr">
        <is>
          <t>2022-08-31</t>
        </is>
      </c>
    </row>
    <row r="29">
      <c r="A29" t="inlineStr">
        <is>
          <t>nopat_fy__20230831</t>
        </is>
      </c>
      <c r="B29" t="n">
        <v>28</v>
      </c>
      <c r="C29" t="inlineStr">
        <is>
          <t>NOPAT</t>
        </is>
      </c>
      <c r="D29" t="inlineStr">
        <is>
          <t>Reformulate net income to operating profit after tax.</t>
        </is>
      </c>
      <c r="E29" t="inlineStr">
        <is>
          <t>condensed.nopat.2023-08-31</t>
        </is>
      </c>
      <c r="F29" t="inlineStr">
        <is>
          <t>accounting</t>
        </is>
      </c>
      <c r="G29" t="inlineStr">
        <is>
          <t>Condensed Financials</t>
        </is>
      </c>
      <c r="H29" t="inlineStr">
        <is>
          <t>D54</t>
        </is>
      </c>
      <c r="I29">
        <f>D45+D53</f>
        <v/>
      </c>
      <c r="J29" t="n">
        <v>270538.4624473075</v>
      </c>
      <c r="K29" t="n">
        <v>0.01</v>
      </c>
      <c r="L29" t="inlineStr">
        <is>
          <t>net_income_link__20230831,net_interest_after_tax_fy__20230831</t>
        </is>
      </c>
      <c r="M29" t="inlineStr">
        <is>
          <t>Start from Net Income on the Income Statement.|Add back after-tax net interest: Net Interest × (1 − Tax Rate).|NOPAT = Net Income + Net Interest After Tax.|Undefined tax-effected Net Interest propagates to NOPAT.</t>
        </is>
      </c>
      <c r="O29" t="inlineStr">
        <is>
          <t>pending</t>
        </is>
      </c>
      <c r="P29" t="inlineStr">
        <is>
          <t>nopat_fy</t>
        </is>
      </c>
      <c r="Q29" t="n">
        <v>6</v>
      </c>
      <c r="R29" t="n">
        <v>2</v>
      </c>
      <c r="S29" t="inlineStr">
        <is>
          <t>2023-08-31</t>
        </is>
      </c>
    </row>
    <row r="30">
      <c r="A30" t="inlineStr">
        <is>
          <t>nopat_fy__20240831</t>
        </is>
      </c>
      <c r="B30" t="n">
        <v>29</v>
      </c>
      <c r="C30" t="inlineStr">
        <is>
          <t>NOPAT</t>
        </is>
      </c>
      <c r="D30" t="inlineStr">
        <is>
          <t>Reformulate net income to operating profit after tax.</t>
        </is>
      </c>
      <c r="E30" t="inlineStr">
        <is>
          <t>condensed.nopat.2024-08-31</t>
        </is>
      </c>
      <c r="F30" t="inlineStr">
        <is>
          <t>accounting</t>
        </is>
      </c>
      <c r="G30" t="inlineStr">
        <is>
          <t>Condensed Financials</t>
        </is>
      </c>
      <c r="H30" t="inlineStr">
        <is>
          <t>E54</t>
        </is>
      </c>
      <c r="I30">
        <f>E45+E53</f>
        <v/>
      </c>
      <c r="J30" t="n">
        <v>349239.7493543623</v>
      </c>
      <c r="K30" t="n">
        <v>0.01</v>
      </c>
      <c r="L30" t="inlineStr">
        <is>
          <t>net_income_link__20240831,net_interest_after_tax_fy__20240831</t>
        </is>
      </c>
      <c r="M30" t="inlineStr">
        <is>
          <t>Start from Net Income on the Income Statement.|Add back after-tax net interest: Net Interest × (1 − Tax Rate).|NOPAT = Net Income + Net Interest After Tax.|Undefined tax-effected Net Interest propagates to NOPAT.</t>
        </is>
      </c>
      <c r="O30" t="inlineStr">
        <is>
          <t>pending</t>
        </is>
      </c>
      <c r="P30" t="inlineStr">
        <is>
          <t>nopat_fy</t>
        </is>
      </c>
      <c r="Q30" t="n">
        <v>6</v>
      </c>
      <c r="R30" t="n">
        <v>3</v>
      </c>
      <c r="S30" t="inlineStr">
        <is>
          <t>2024-08-31</t>
        </is>
      </c>
    </row>
    <row r="31">
      <c r="A31" t="inlineStr">
        <is>
          <t>nopat_fy__20250831</t>
        </is>
      </c>
      <c r="B31" t="n">
        <v>30</v>
      </c>
      <c r="C31" t="inlineStr">
        <is>
          <t>NOPAT</t>
        </is>
      </c>
      <c r="D31" t="inlineStr">
        <is>
          <t>Reformulate net income to operating profit after tax.</t>
        </is>
      </c>
      <c r="E31" t="inlineStr">
        <is>
          <t>condensed.nopat.2025-08-31</t>
        </is>
      </c>
      <c r="F31" t="inlineStr">
        <is>
          <t>accounting</t>
        </is>
      </c>
      <c r="G31" t="inlineStr">
        <is>
          <t>Condensed Financials</t>
        </is>
      </c>
      <c r="H31" t="inlineStr">
        <is>
          <t>F54</t>
        </is>
      </c>
      <c r="I31">
        <f>F45+F53</f>
        <v/>
      </c>
      <c r="J31" t="n">
        <v>392265.4402927261</v>
      </c>
      <c r="K31" t="n">
        <v>0.01</v>
      </c>
      <c r="L31" t="inlineStr">
        <is>
          <t>net_income_link__20250831,net_interest_after_tax_fy__20250831</t>
        </is>
      </c>
      <c r="M31" t="inlineStr">
        <is>
          <t>Start from Net Income on the Income Statement.|Add back after-tax net interest: Net Interest × (1 − Tax Rate).|NOPAT = Net Income + Net Interest After Tax.|Undefined tax-effected Net Interest propagates to NOPAT.</t>
        </is>
      </c>
      <c r="O31" t="inlineStr">
        <is>
          <t>pending</t>
        </is>
      </c>
      <c r="P31" t="inlineStr">
        <is>
          <t>nopat_fy</t>
        </is>
      </c>
      <c r="Q31" t="n">
        <v>6</v>
      </c>
      <c r="R31" t="n">
        <v>4</v>
      </c>
      <c r="S31" t="inlineStr">
        <is>
          <t>2025-08-31</t>
        </is>
      </c>
    </row>
    <row r="32">
      <c r="A32" t="inlineStr">
        <is>
          <t>owca_agg__20210831</t>
        </is>
      </c>
      <c r="B32" t="n">
        <v>31</v>
      </c>
      <c r="C32" t="inlineStr">
        <is>
          <t>Operating working capital assets</t>
        </is>
      </c>
      <c r="D32" t="inlineStr">
        <is>
          <t>Aggregate the classified balance-sheet detail with the classification column.</t>
        </is>
      </c>
      <c r="E32" t="inlineStr">
        <is>
          <t>condensed.owca.2021-08-31</t>
        </is>
      </c>
      <c r="F32" t="inlineStr">
        <is>
          <t>accounting</t>
        </is>
      </c>
      <c r="G32" t="inlineStr">
        <is>
          <t>Condensed Financials</t>
        </is>
      </c>
      <c r="H32" t="inlineStr">
        <is>
          <t>B57</t>
        </is>
      </c>
      <c r="I32">
        <f>SUMIF($B$6:$B$41,"Operating Working Capital Asset",C$6:C$41)</f>
        <v/>
      </c>
      <c r="J32" t="n">
        <v>463676</v>
      </c>
      <c r="K32" t="n">
        <v>0.01</v>
      </c>
      <c r="M32" t="inlineStr">
        <is>
          <t>Use SUMIF over the classification column for Operating Working Capital Asset.</t>
        </is>
      </c>
      <c r="O32" t="inlineStr">
        <is>
          <t>pending</t>
        </is>
      </c>
      <c r="P32" t="inlineStr">
        <is>
          <t>owca_agg</t>
        </is>
      </c>
      <c r="Q32" t="n">
        <v>7</v>
      </c>
      <c r="R32" t="n">
        <v>0</v>
      </c>
      <c r="S32" t="inlineStr">
        <is>
          <t>2021-08-31</t>
        </is>
      </c>
    </row>
    <row r="33">
      <c r="A33" t="inlineStr">
        <is>
          <t>owca_agg__20220831</t>
        </is>
      </c>
      <c r="B33" t="n">
        <v>32</v>
      </c>
      <c r="C33" t="inlineStr">
        <is>
          <t>Operating working capital assets</t>
        </is>
      </c>
      <c r="D33" t="inlineStr">
        <is>
          <t>Aggregate the classified balance-sheet detail with the classification column.</t>
        </is>
      </c>
      <c r="E33" t="inlineStr">
        <is>
          <t>condensed.owca.2022-08-31</t>
        </is>
      </c>
      <c r="F33" t="inlineStr">
        <is>
          <t>accounting</t>
        </is>
      </c>
      <c r="G33" t="inlineStr">
        <is>
          <t>Condensed Financials</t>
        </is>
      </c>
      <c r="H33" t="inlineStr">
        <is>
          <t>C57</t>
        </is>
      </c>
      <c r="I33">
        <f>SUMIF($B$6:$B$41,"Operating Working Capital Asset",D$6:D$41)</f>
        <v/>
      </c>
      <c r="J33" t="n">
        <v>572559</v>
      </c>
      <c r="K33" t="n">
        <v>0.01</v>
      </c>
      <c r="M33" t="inlineStr">
        <is>
          <t>Use SUMIF over the classification column for Operating Working Capital Asset.</t>
        </is>
      </c>
      <c r="O33" t="inlineStr">
        <is>
          <t>pending</t>
        </is>
      </c>
      <c r="P33" t="inlineStr">
        <is>
          <t>owca_agg</t>
        </is>
      </c>
      <c r="Q33" t="n">
        <v>7</v>
      </c>
      <c r="R33" t="n">
        <v>1</v>
      </c>
      <c r="S33" t="inlineStr">
        <is>
          <t>2022-08-31</t>
        </is>
      </c>
    </row>
    <row r="34">
      <c r="A34" t="inlineStr">
        <is>
          <t>owca_agg__20230831</t>
        </is>
      </c>
      <c r="B34" t="n">
        <v>33</v>
      </c>
      <c r="C34" t="inlineStr">
        <is>
          <t>Operating working capital assets</t>
        </is>
      </c>
      <c r="D34" t="inlineStr">
        <is>
          <t>Aggregate the classified balance-sheet detail with the classification column.</t>
        </is>
      </c>
      <c r="E34" t="inlineStr">
        <is>
          <t>condensed.owca.2023-08-31</t>
        </is>
      </c>
      <c r="F34" t="inlineStr">
        <is>
          <t>accounting</t>
        </is>
      </c>
      <c r="G34" t="inlineStr">
        <is>
          <t>Condensed Financials</t>
        </is>
      </c>
      <c r="H34" t="inlineStr">
        <is>
          <t>D57</t>
        </is>
      </c>
      <c r="I34">
        <f>SUMIF($B$6:$B$41,"Operating Working Capital Asset",E$6:E$41)</f>
        <v/>
      </c>
      <c r="J34" t="n">
        <v>565117</v>
      </c>
      <c r="K34" t="n">
        <v>0.01</v>
      </c>
      <c r="M34" t="inlineStr">
        <is>
          <t>Use SUMIF over the classification column for Operating Working Capital Asset.</t>
        </is>
      </c>
      <c r="O34" t="inlineStr">
        <is>
          <t>pending</t>
        </is>
      </c>
      <c r="P34" t="inlineStr">
        <is>
          <t>owca_agg</t>
        </is>
      </c>
      <c r="Q34" t="n">
        <v>7</v>
      </c>
      <c r="R34" t="n">
        <v>2</v>
      </c>
      <c r="S34" t="inlineStr">
        <is>
          <t>2023-08-31</t>
        </is>
      </c>
    </row>
    <row r="35">
      <c r="A35" t="inlineStr">
        <is>
          <t>owca_agg__20240831</t>
        </is>
      </c>
      <c r="B35" t="n">
        <v>34</v>
      </c>
      <c r="C35" t="inlineStr">
        <is>
          <t>Operating working capital assets</t>
        </is>
      </c>
      <c r="D35" t="inlineStr">
        <is>
          <t>Aggregate the classified balance-sheet detail with the classification column.</t>
        </is>
      </c>
      <c r="E35" t="inlineStr">
        <is>
          <t>condensed.owca.2024-08-31</t>
        </is>
      </c>
      <c r="F35" t="inlineStr">
        <is>
          <t>accounting</t>
        </is>
      </c>
      <c r="G35" t="inlineStr">
        <is>
          <t>Condensed Financials</t>
        </is>
      </c>
      <c r="H35" t="inlineStr">
        <is>
          <t>E57</t>
        </is>
      </c>
      <c r="I35">
        <f>SUMIF($B$6:$B$41,"Operating Working Capital Asset",F$6:F$41)</f>
        <v/>
      </c>
      <c r="J35" t="n">
        <v>587496</v>
      </c>
      <c r="K35" t="n">
        <v>0.01</v>
      </c>
      <c r="M35" t="inlineStr">
        <is>
          <t>Use SUMIF over the classification column for Operating Working Capital Asset.</t>
        </is>
      </c>
      <c r="O35" t="inlineStr">
        <is>
          <t>pending</t>
        </is>
      </c>
      <c r="P35" t="inlineStr">
        <is>
          <t>owca_agg</t>
        </is>
      </c>
      <c r="Q35" t="n">
        <v>7</v>
      </c>
      <c r="R35" t="n">
        <v>3</v>
      </c>
      <c r="S35" t="inlineStr">
        <is>
          <t>2024-08-31</t>
        </is>
      </c>
    </row>
    <row r="36">
      <c r="A36" t="inlineStr">
        <is>
          <t>owca_agg__20250831</t>
        </is>
      </c>
      <c r="B36" t="n">
        <v>35</v>
      </c>
      <c r="C36" t="inlineStr">
        <is>
          <t>Operating working capital assets</t>
        </is>
      </c>
      <c r="D36" t="inlineStr">
        <is>
          <t>Aggregate the classified balance-sheet detail with the classification column.</t>
        </is>
      </c>
      <c r="E36" t="inlineStr">
        <is>
          <t>condensed.owca.2025-08-31</t>
        </is>
      </c>
      <c r="F36" t="inlineStr">
        <is>
          <t>accounting</t>
        </is>
      </c>
      <c r="G36" t="inlineStr">
        <is>
          <t>Condensed Financials</t>
        </is>
      </c>
      <c r="H36" t="inlineStr">
        <is>
          <t>F57</t>
        </is>
      </c>
      <c r="I36">
        <f>SUMIF($B$6:$B$41,"Operating Working Capital Asset",G$6:G$41)</f>
        <v/>
      </c>
      <c r="J36" t="n">
        <v>640069</v>
      </c>
      <c r="K36" t="n">
        <v>0.01</v>
      </c>
      <c r="M36" t="inlineStr">
        <is>
          <t>Use SUMIF over the classification column for Operating Working Capital Asset.</t>
        </is>
      </c>
      <c r="O36" t="inlineStr">
        <is>
          <t>pending</t>
        </is>
      </c>
      <c r="P36" t="inlineStr">
        <is>
          <t>owca_agg</t>
        </is>
      </c>
      <c r="Q36" t="n">
        <v>7</v>
      </c>
      <c r="R36" t="n">
        <v>4</v>
      </c>
      <c r="S36" t="inlineStr">
        <is>
          <t>2025-08-31</t>
        </is>
      </c>
    </row>
    <row r="37">
      <c r="A37" t="inlineStr">
        <is>
          <t>owcl_agg__20210831</t>
        </is>
      </c>
      <c r="B37" t="n">
        <v>36</v>
      </c>
      <c r="C37" t="inlineStr">
        <is>
          <t>Operating working capital liabilities</t>
        </is>
      </c>
      <c r="D37" t="inlineStr">
        <is>
          <t>Aggregate the classified balance-sheet detail with the classification column.</t>
        </is>
      </c>
      <c r="E37" t="inlineStr">
        <is>
          <t>condensed.owcl.2021-08-31</t>
        </is>
      </c>
      <c r="F37" t="inlineStr">
        <is>
          <t>accounting</t>
        </is>
      </c>
      <c r="G37" t="inlineStr">
        <is>
          <t>Condensed Financials</t>
        </is>
      </c>
      <c r="H37" t="inlineStr">
        <is>
          <t>B58</t>
        </is>
      </c>
      <c r="I37">
        <f>SUMIF($B$6:$B$41,"Operating Working Capital Liability",C$6:C$41)</f>
        <v/>
      </c>
      <c r="J37" t="n">
        <v>356464</v>
      </c>
      <c r="K37" t="n">
        <v>0.01</v>
      </c>
      <c r="M37" t="inlineStr">
        <is>
          <t>Use SUMIF over the classification column for Operating Working Capital Liability.</t>
        </is>
      </c>
      <c r="O37" t="inlineStr">
        <is>
          <t>pending</t>
        </is>
      </c>
      <c r="P37" t="inlineStr">
        <is>
          <t>owcl_agg</t>
        </is>
      </c>
      <c r="Q37" t="n">
        <v>8</v>
      </c>
      <c r="R37" t="n">
        <v>0</v>
      </c>
      <c r="S37" t="inlineStr">
        <is>
          <t>2021-08-31</t>
        </is>
      </c>
    </row>
    <row r="38">
      <c r="A38" t="inlineStr">
        <is>
          <t>owcl_agg__20220831</t>
        </is>
      </c>
      <c r="B38" t="n">
        <v>37</v>
      </c>
      <c r="C38" t="inlineStr">
        <is>
          <t>Operating working capital liabilities</t>
        </is>
      </c>
      <c r="D38" t="inlineStr">
        <is>
          <t>Aggregate the classified balance-sheet detail with the classification column.</t>
        </is>
      </c>
      <c r="E38" t="inlineStr">
        <is>
          <t>condensed.owcl.2022-08-31</t>
        </is>
      </c>
      <c r="F38" t="inlineStr">
        <is>
          <t>accounting</t>
        </is>
      </c>
      <c r="G38" t="inlineStr">
        <is>
          <t>Condensed Financials</t>
        </is>
      </c>
      <c r="H38" t="inlineStr">
        <is>
          <t>C58</t>
        </is>
      </c>
      <c r="I38">
        <f>SUMIF($B$6:$B$41,"Operating Working Capital Liability",D$6:D$41)</f>
        <v/>
      </c>
      <c r="J38" t="n">
        <v>541556</v>
      </c>
      <c r="K38" t="n">
        <v>0.01</v>
      </c>
      <c r="M38" t="inlineStr">
        <is>
          <t>Use SUMIF over the classification column for Operating Working Capital Liability.</t>
        </is>
      </c>
      <c r="O38" t="inlineStr">
        <is>
          <t>pending</t>
        </is>
      </c>
      <c r="P38" t="inlineStr">
        <is>
          <t>owcl_agg</t>
        </is>
      </c>
      <c r="Q38" t="n">
        <v>8</v>
      </c>
      <c r="R38" t="n">
        <v>1</v>
      </c>
      <c r="S38" t="inlineStr">
        <is>
          <t>2022-08-31</t>
        </is>
      </c>
    </row>
    <row r="39">
      <c r="A39" t="inlineStr">
        <is>
          <t>owcl_agg__20230831</t>
        </is>
      </c>
      <c r="B39" t="n">
        <v>38</v>
      </c>
      <c r="C39" t="inlineStr">
        <is>
          <t>Operating working capital liabilities</t>
        </is>
      </c>
      <c r="D39" t="inlineStr">
        <is>
          <t>Aggregate the classified balance-sheet detail with the classification column.</t>
        </is>
      </c>
      <c r="E39" t="inlineStr">
        <is>
          <t>condensed.owcl.2023-08-31</t>
        </is>
      </c>
      <c r="F39" t="inlineStr">
        <is>
          <t>accounting</t>
        </is>
      </c>
      <c r="G39" t="inlineStr">
        <is>
          <t>Condensed Financials</t>
        </is>
      </c>
      <c r="H39" t="inlineStr">
        <is>
          <t>D58</t>
        </is>
      </c>
      <c r="I39">
        <f>SUMIF($B$6:$B$41,"Operating Working Capital Liability",E$6:E$41)</f>
        <v/>
      </c>
      <c r="J39" t="n">
        <v>536753</v>
      </c>
      <c r="K39" t="n">
        <v>0.01</v>
      </c>
      <c r="M39" t="inlineStr">
        <is>
          <t>Use SUMIF over the classification column for Operating Working Capital Liability.</t>
        </is>
      </c>
      <c r="O39" t="inlineStr">
        <is>
          <t>pending</t>
        </is>
      </c>
      <c r="P39" t="inlineStr">
        <is>
          <t>owcl_agg</t>
        </is>
      </c>
      <c r="Q39" t="n">
        <v>8</v>
      </c>
      <c r="R39" t="n">
        <v>2</v>
      </c>
      <c r="S39" t="inlineStr">
        <is>
          <t>2023-08-31</t>
        </is>
      </c>
    </row>
    <row r="40">
      <c r="A40" t="inlineStr">
        <is>
          <t>owcl_agg__20240831</t>
        </is>
      </c>
      <c r="B40" t="n">
        <v>39</v>
      </c>
      <c r="C40" t="inlineStr">
        <is>
          <t>Operating working capital liabilities</t>
        </is>
      </c>
      <c r="D40" t="inlineStr">
        <is>
          <t>Aggregate the classified balance-sheet detail with the classification column.</t>
        </is>
      </c>
      <c r="E40" t="inlineStr">
        <is>
          <t>condensed.owcl.2024-08-31</t>
        </is>
      </c>
      <c r="F40" t="inlineStr">
        <is>
          <t>accounting</t>
        </is>
      </c>
      <c r="G40" t="inlineStr">
        <is>
          <t>Condensed Financials</t>
        </is>
      </c>
      <c r="H40" t="inlineStr">
        <is>
          <t>E58</t>
        </is>
      </c>
      <c r="I40">
        <f>SUMIF($B$6:$B$41,"Operating Working Capital Liability",F$6:F$41)</f>
        <v/>
      </c>
      <c r="J40" t="n">
        <v>604156</v>
      </c>
      <c r="K40" t="n">
        <v>0.01</v>
      </c>
      <c r="M40" t="inlineStr">
        <is>
          <t>Use SUMIF over the classification column for Operating Working Capital Liability.</t>
        </is>
      </c>
      <c r="O40" t="inlineStr">
        <is>
          <t>pending</t>
        </is>
      </c>
      <c r="P40" t="inlineStr">
        <is>
          <t>owcl_agg</t>
        </is>
      </c>
      <c r="Q40" t="n">
        <v>8</v>
      </c>
      <c r="R40" t="n">
        <v>3</v>
      </c>
      <c r="S40" t="inlineStr">
        <is>
          <t>2024-08-31</t>
        </is>
      </c>
    </row>
    <row r="41">
      <c r="A41" t="inlineStr">
        <is>
          <t>owcl_agg__20250831</t>
        </is>
      </c>
      <c r="B41" t="n">
        <v>40</v>
      </c>
      <c r="C41" t="inlineStr">
        <is>
          <t>Operating working capital liabilities</t>
        </is>
      </c>
      <c r="D41" t="inlineStr">
        <is>
          <t>Aggregate the classified balance-sheet detail with the classification column.</t>
        </is>
      </c>
      <c r="E41" t="inlineStr">
        <is>
          <t>condensed.owcl.2025-08-31</t>
        </is>
      </c>
      <c r="F41" t="inlineStr">
        <is>
          <t>accounting</t>
        </is>
      </c>
      <c r="G41" t="inlineStr">
        <is>
          <t>Condensed Financials</t>
        </is>
      </c>
      <c r="H41" t="inlineStr">
        <is>
          <t>F58</t>
        </is>
      </c>
      <c r="I41">
        <f>SUMIF($B$6:$B$41,"Operating Working Capital Liability",G$6:G$41)</f>
        <v/>
      </c>
      <c r="J41" t="n">
        <v>614266</v>
      </c>
      <c r="K41" t="n">
        <v>0.01</v>
      </c>
      <c r="M41" t="inlineStr">
        <is>
          <t>Use SUMIF over the classification column for Operating Working Capital Liability.</t>
        </is>
      </c>
      <c r="O41" t="inlineStr">
        <is>
          <t>pending</t>
        </is>
      </c>
      <c r="P41" t="inlineStr">
        <is>
          <t>owcl_agg</t>
        </is>
      </c>
      <c r="Q41" t="n">
        <v>8</v>
      </c>
      <c r="R41" t="n">
        <v>4</v>
      </c>
      <c r="S41" t="inlineStr">
        <is>
          <t>2025-08-31</t>
        </is>
      </c>
    </row>
    <row r="42">
      <c r="A42" t="inlineStr">
        <is>
          <t>nowc_agg__20210831</t>
        </is>
      </c>
      <c r="B42" t="n">
        <v>41</v>
      </c>
      <c r="C42" t="inlineStr">
        <is>
          <t>Net Operating Working Capital (NOWC)</t>
        </is>
      </c>
      <c r="D42" t="inlineStr">
        <is>
          <t>Sum operating WC assets minus operating WC liabilities.</t>
        </is>
      </c>
      <c r="E42" t="inlineStr">
        <is>
          <t>condensed.nowc.2021-08-31</t>
        </is>
      </c>
      <c r="F42" t="inlineStr">
        <is>
          <t>accounting</t>
        </is>
      </c>
      <c r="G42" t="inlineStr">
        <is>
          <t>Condensed Financials</t>
        </is>
      </c>
      <c r="H42" t="inlineStr">
        <is>
          <t>B59</t>
        </is>
      </c>
      <c r="I42">
        <f>B57-B58</f>
        <v/>
      </c>
      <c r="J42" t="n">
        <v>107212</v>
      </c>
      <c r="K42" t="n">
        <v>0.01</v>
      </c>
      <c r="L42" t="inlineStr">
        <is>
          <t>owca_agg__20210831,owcl_agg__20210831</t>
        </is>
      </c>
      <c r="M42" t="inlineStr">
        <is>
          <t>Use SUMIF over the classification column for 'Operating Working Capital Asset'.|Subtract SUMIF for 'Operating Working Capital Liability'.|NOWC = Op. WC Assets − Op. WC Liabilities.</t>
        </is>
      </c>
      <c r="O42" t="inlineStr">
        <is>
          <t>pending</t>
        </is>
      </c>
      <c r="P42" t="inlineStr">
        <is>
          <t>nowc_agg</t>
        </is>
      </c>
      <c r="Q42" t="n">
        <v>9</v>
      </c>
      <c r="R42" t="n">
        <v>0</v>
      </c>
      <c r="S42" t="inlineStr">
        <is>
          <t>2021-08-31</t>
        </is>
      </c>
    </row>
    <row r="43">
      <c r="A43" t="inlineStr">
        <is>
          <t>nowc_agg__20220831</t>
        </is>
      </c>
      <c r="B43" t="n">
        <v>42</v>
      </c>
      <c r="C43" t="inlineStr">
        <is>
          <t>Net Operating Working Capital (NOWC)</t>
        </is>
      </c>
      <c r="D43" t="inlineStr">
        <is>
          <t>Sum operating WC assets minus operating WC liabilities.</t>
        </is>
      </c>
      <c r="E43" t="inlineStr">
        <is>
          <t>condensed.nowc.2022-08-31</t>
        </is>
      </c>
      <c r="F43" t="inlineStr">
        <is>
          <t>accounting</t>
        </is>
      </c>
      <c r="G43" t="inlineStr">
        <is>
          <t>Condensed Financials</t>
        </is>
      </c>
      <c r="H43" t="inlineStr">
        <is>
          <t>C59</t>
        </is>
      </c>
      <c r="I43">
        <f>C57-C58</f>
        <v/>
      </c>
      <c r="J43" t="n">
        <v>31003</v>
      </c>
      <c r="K43" t="n">
        <v>0.01</v>
      </c>
      <c r="L43" t="inlineStr">
        <is>
          <t>owca_agg__20220831,owcl_agg__20220831</t>
        </is>
      </c>
      <c r="M43" t="inlineStr">
        <is>
          <t>Use SUMIF over the classification column for 'Operating Working Capital Asset'.|Subtract SUMIF for 'Operating Working Capital Liability'.|NOWC = Op. WC Assets − Op. WC Liabilities.</t>
        </is>
      </c>
      <c r="O43" t="inlineStr">
        <is>
          <t>pending</t>
        </is>
      </c>
      <c r="P43" t="inlineStr">
        <is>
          <t>nowc_agg</t>
        </is>
      </c>
      <c r="Q43" t="n">
        <v>9</v>
      </c>
      <c r="R43" t="n">
        <v>1</v>
      </c>
      <c r="S43" t="inlineStr">
        <is>
          <t>2022-08-31</t>
        </is>
      </c>
    </row>
    <row r="44">
      <c r="A44" t="inlineStr">
        <is>
          <t>nowc_agg__20230831</t>
        </is>
      </c>
      <c r="B44" t="n">
        <v>43</v>
      </c>
      <c r="C44" t="inlineStr">
        <is>
          <t>Net Operating Working Capital (NOWC)</t>
        </is>
      </c>
      <c r="D44" t="inlineStr">
        <is>
          <t>Sum operating WC assets minus operating WC liabilities.</t>
        </is>
      </c>
      <c r="E44" t="inlineStr">
        <is>
          <t>condensed.nowc.2023-08-31</t>
        </is>
      </c>
      <c r="F44" t="inlineStr">
        <is>
          <t>accounting</t>
        </is>
      </c>
      <c r="G44" t="inlineStr">
        <is>
          <t>Condensed Financials</t>
        </is>
      </c>
      <c r="H44" t="inlineStr">
        <is>
          <t>D59</t>
        </is>
      </c>
      <c r="I44">
        <f>D57-D58</f>
        <v/>
      </c>
      <c r="J44" t="n">
        <v>28364</v>
      </c>
      <c r="K44" t="n">
        <v>0.01</v>
      </c>
      <c r="L44" t="inlineStr">
        <is>
          <t>owca_agg__20230831,owcl_agg__20230831</t>
        </is>
      </c>
      <c r="M44" t="inlineStr">
        <is>
          <t>Use SUMIF over the classification column for 'Operating Working Capital Asset'.|Subtract SUMIF for 'Operating Working Capital Liability'.|NOWC = Op. WC Assets − Op. WC Liabilities.</t>
        </is>
      </c>
      <c r="O44" t="inlineStr">
        <is>
          <t>pending</t>
        </is>
      </c>
      <c r="P44" t="inlineStr">
        <is>
          <t>nowc_agg</t>
        </is>
      </c>
      <c r="Q44" t="n">
        <v>9</v>
      </c>
      <c r="R44" t="n">
        <v>2</v>
      </c>
      <c r="S44" t="inlineStr">
        <is>
          <t>2023-08-31</t>
        </is>
      </c>
    </row>
    <row r="45">
      <c r="A45" t="inlineStr">
        <is>
          <t>nowc_agg__20240831</t>
        </is>
      </c>
      <c r="B45" t="n">
        <v>44</v>
      </c>
      <c r="C45" t="inlineStr">
        <is>
          <t>Net Operating Working Capital (NOWC)</t>
        </is>
      </c>
      <c r="D45" t="inlineStr">
        <is>
          <t>Sum operating WC assets minus operating WC liabilities.</t>
        </is>
      </c>
      <c r="E45" t="inlineStr">
        <is>
          <t>condensed.nowc.2024-08-31</t>
        </is>
      </c>
      <c r="F45" t="inlineStr">
        <is>
          <t>accounting</t>
        </is>
      </c>
      <c r="G45" t="inlineStr">
        <is>
          <t>Condensed Financials</t>
        </is>
      </c>
      <c r="H45" t="inlineStr">
        <is>
          <t>E59</t>
        </is>
      </c>
      <c r="I45">
        <f>E57-E58</f>
        <v/>
      </c>
      <c r="J45" t="n">
        <v>-16660</v>
      </c>
      <c r="K45" t="n">
        <v>0.01</v>
      </c>
      <c r="L45" t="inlineStr">
        <is>
          <t>owca_agg__20240831,owcl_agg__20240831</t>
        </is>
      </c>
      <c r="M45" t="inlineStr">
        <is>
          <t>Use SUMIF over the classification column for 'Operating Working Capital Asset'.|Subtract SUMIF for 'Operating Working Capital Liability'.|NOWC = Op. WC Assets − Op. WC Liabilities.</t>
        </is>
      </c>
      <c r="O45" t="inlineStr">
        <is>
          <t>pending</t>
        </is>
      </c>
      <c r="P45" t="inlineStr">
        <is>
          <t>nowc_agg</t>
        </is>
      </c>
      <c r="Q45" t="n">
        <v>9</v>
      </c>
      <c r="R45" t="n">
        <v>3</v>
      </c>
      <c r="S45" t="inlineStr">
        <is>
          <t>2024-08-31</t>
        </is>
      </c>
    </row>
    <row r="46">
      <c r="A46" t="inlineStr">
        <is>
          <t>nowc_agg__20250831</t>
        </is>
      </c>
      <c r="B46" t="n">
        <v>45</v>
      </c>
      <c r="C46" t="inlineStr">
        <is>
          <t>Net Operating Working Capital (NOWC)</t>
        </is>
      </c>
      <c r="D46" t="inlineStr">
        <is>
          <t>Sum operating WC assets minus operating WC liabilities.</t>
        </is>
      </c>
      <c r="E46" t="inlineStr">
        <is>
          <t>condensed.nowc.2025-08-31</t>
        </is>
      </c>
      <c r="F46" t="inlineStr">
        <is>
          <t>accounting</t>
        </is>
      </c>
      <c r="G46" t="inlineStr">
        <is>
          <t>Condensed Financials</t>
        </is>
      </c>
      <c r="H46" t="inlineStr">
        <is>
          <t>F59</t>
        </is>
      </c>
      <c r="I46">
        <f>F57-F58</f>
        <v/>
      </c>
      <c r="J46" t="n">
        <v>25803</v>
      </c>
      <c r="K46" t="n">
        <v>0.01</v>
      </c>
      <c r="L46" t="inlineStr">
        <is>
          <t>owca_agg__20250831,owcl_agg__20250831</t>
        </is>
      </c>
      <c r="M46" t="inlineStr">
        <is>
          <t>Use SUMIF over the classification column for 'Operating Working Capital Asset'.|Subtract SUMIF for 'Operating Working Capital Liability'.|NOWC = Op. WC Assets − Op. WC Liabilities.</t>
        </is>
      </c>
      <c r="O46" t="inlineStr">
        <is>
          <t>pending</t>
        </is>
      </c>
      <c r="P46" t="inlineStr">
        <is>
          <t>nowc_agg</t>
        </is>
      </c>
      <c r="Q46" t="n">
        <v>9</v>
      </c>
      <c r="R46" t="n">
        <v>4</v>
      </c>
      <c r="S46" t="inlineStr">
        <is>
          <t>2025-08-31</t>
        </is>
      </c>
    </row>
    <row r="47">
      <c r="A47" t="inlineStr">
        <is>
          <t>olta_agg__20210831</t>
        </is>
      </c>
      <c r="B47" t="n">
        <v>46</v>
      </c>
      <c r="C47" t="inlineStr">
        <is>
          <t>Operating long-term assets</t>
        </is>
      </c>
      <c r="D47" t="inlineStr">
        <is>
          <t>Aggregate the classified balance-sheet detail with the classification column.</t>
        </is>
      </c>
      <c r="E47" t="inlineStr">
        <is>
          <t>condensed.olta.2021-08-31</t>
        </is>
      </c>
      <c r="F47" t="inlineStr">
        <is>
          <t>accounting</t>
        </is>
      </c>
      <c r="G47" t="inlineStr">
        <is>
          <t>Condensed Financials</t>
        </is>
      </c>
      <c r="H47" t="inlineStr">
        <is>
          <t>B60</t>
        </is>
      </c>
      <c r="I47">
        <f>SUMIF($B$6:$B$41,"Operating Long-Term Asset",C$6:C$41)</f>
        <v/>
      </c>
      <c r="J47" t="n">
        <v>695626</v>
      </c>
      <c r="K47" t="n">
        <v>0.01</v>
      </c>
      <c r="M47" t="inlineStr">
        <is>
          <t>Use SUMIF over the classification column for Operating Long-Term Asset.</t>
        </is>
      </c>
      <c r="O47" t="inlineStr">
        <is>
          <t>pending</t>
        </is>
      </c>
      <c r="P47" t="inlineStr">
        <is>
          <t>olta_agg</t>
        </is>
      </c>
      <c r="Q47" t="n">
        <v>10</v>
      </c>
      <c r="R47" t="n">
        <v>0</v>
      </c>
      <c r="S47" t="inlineStr">
        <is>
          <t>2021-08-31</t>
        </is>
      </c>
    </row>
    <row r="48">
      <c r="A48" t="inlineStr">
        <is>
          <t>olta_agg__20220831</t>
        </is>
      </c>
      <c r="B48" t="n">
        <v>47</v>
      </c>
      <c r="C48" t="inlineStr">
        <is>
          <t>Operating long-term assets</t>
        </is>
      </c>
      <c r="D48" t="inlineStr">
        <is>
          <t>Aggregate the classified balance-sheet detail with the classification column.</t>
        </is>
      </c>
      <c r="E48" t="inlineStr">
        <is>
          <t>condensed.olta.2022-08-31</t>
        </is>
      </c>
      <c r="F48" t="inlineStr">
        <is>
          <t>accounting</t>
        </is>
      </c>
      <c r="G48" t="inlineStr">
        <is>
          <t>Condensed Financials</t>
        </is>
      </c>
      <c r="H48" t="inlineStr">
        <is>
          <t>C60</t>
        </is>
      </c>
      <c r="I48">
        <f>SUMIF($B$6:$B$41,"Operating Long-Term Asset",D$6:D$41)</f>
        <v/>
      </c>
      <c r="J48" t="n">
        <v>706326</v>
      </c>
      <c r="K48" t="n">
        <v>0.01</v>
      </c>
      <c r="M48" t="inlineStr">
        <is>
          <t>Use SUMIF over the classification column for Operating Long-Term Asset.</t>
        </is>
      </c>
      <c r="O48" t="inlineStr">
        <is>
          <t>pending</t>
        </is>
      </c>
      <c r="P48" t="inlineStr">
        <is>
          <t>olta_agg</t>
        </is>
      </c>
      <c r="Q48" t="n">
        <v>10</v>
      </c>
      <c r="R48" t="n">
        <v>1</v>
      </c>
      <c r="S48" t="inlineStr">
        <is>
          <t>2022-08-31</t>
        </is>
      </c>
    </row>
    <row r="49">
      <c r="A49" t="inlineStr">
        <is>
          <t>olta_agg__20230831</t>
        </is>
      </c>
      <c r="B49" t="n">
        <v>48</v>
      </c>
      <c r="C49" t="inlineStr">
        <is>
          <t>Operating long-term assets</t>
        </is>
      </c>
      <c r="D49" t="inlineStr">
        <is>
          <t>Aggregate the classified balance-sheet detail with the classification column.</t>
        </is>
      </c>
      <c r="E49" t="inlineStr">
        <is>
          <t>condensed.olta.2023-08-31</t>
        </is>
      </c>
      <c r="F49" t="inlineStr">
        <is>
          <t>accounting</t>
        </is>
      </c>
      <c r="G49" t="inlineStr">
        <is>
          <t>Condensed Financials</t>
        </is>
      </c>
      <c r="H49" t="inlineStr">
        <is>
          <t>D60</t>
        </is>
      </c>
      <c r="I49">
        <f>SUMIF($B$6:$B$41,"Operating Long-Term Asset",E$6:E$41)</f>
        <v/>
      </c>
      <c r="J49" t="n">
        <v>772480</v>
      </c>
      <c r="K49" t="n">
        <v>0.01</v>
      </c>
      <c r="M49" t="inlineStr">
        <is>
          <t>Use SUMIF over the classification column for Operating Long-Term Asset.</t>
        </is>
      </c>
      <c r="O49" t="inlineStr">
        <is>
          <t>pending</t>
        </is>
      </c>
      <c r="P49" t="inlineStr">
        <is>
          <t>olta_agg</t>
        </is>
      </c>
      <c r="Q49" t="n">
        <v>10</v>
      </c>
      <c r="R49" t="n">
        <v>2</v>
      </c>
      <c r="S49" t="inlineStr">
        <is>
          <t>2023-08-31</t>
        </is>
      </c>
    </row>
    <row r="50">
      <c r="A50" t="inlineStr">
        <is>
          <t>olta_agg__20240831</t>
        </is>
      </c>
      <c r="B50" t="n">
        <v>49</v>
      </c>
      <c r="C50" t="inlineStr">
        <is>
          <t>Operating long-term assets</t>
        </is>
      </c>
      <c r="D50" t="inlineStr">
        <is>
          <t>Aggregate the classified balance-sheet detail with the classification column.</t>
        </is>
      </c>
      <c r="E50" t="inlineStr">
        <is>
          <t>condensed.olta.2024-08-31</t>
        </is>
      </c>
      <c r="F50" t="inlineStr">
        <is>
          <t>accounting</t>
        </is>
      </c>
      <c r="G50" t="inlineStr">
        <is>
          <t>Condensed Financials</t>
        </is>
      </c>
      <c r="H50" t="inlineStr">
        <is>
          <t>E60</t>
        </is>
      </c>
      <c r="I50">
        <f>SUMIF($B$6:$B$41,"Operating Long-Term Asset",F$6:F$41)</f>
        <v/>
      </c>
      <c r="J50" t="n">
        <v>820993</v>
      </c>
      <c r="K50" t="n">
        <v>0.01</v>
      </c>
      <c r="M50" t="inlineStr">
        <is>
          <t>Use SUMIF over the classification column for Operating Long-Term Asset.</t>
        </is>
      </c>
      <c r="O50" t="inlineStr">
        <is>
          <t>pending</t>
        </is>
      </c>
      <c r="P50" t="inlineStr">
        <is>
          <t>olta_agg</t>
        </is>
      </c>
      <c r="Q50" t="n">
        <v>10</v>
      </c>
      <c r="R50" t="n">
        <v>3</v>
      </c>
      <c r="S50" t="inlineStr">
        <is>
          <t>2024-08-31</t>
        </is>
      </c>
    </row>
    <row r="51">
      <c r="A51" t="inlineStr">
        <is>
          <t>olta_agg__20250831</t>
        </is>
      </c>
      <c r="B51" t="n">
        <v>50</v>
      </c>
      <c r="C51" t="inlineStr">
        <is>
          <t>Operating long-term assets</t>
        </is>
      </c>
      <c r="D51" t="inlineStr">
        <is>
          <t>Aggregate the classified balance-sheet detail with the classification column.</t>
        </is>
      </c>
      <c r="E51" t="inlineStr">
        <is>
          <t>condensed.olta.2025-08-31</t>
        </is>
      </c>
      <c r="F51" t="inlineStr">
        <is>
          <t>accounting</t>
        </is>
      </c>
      <c r="G51" t="inlineStr">
        <is>
          <t>Condensed Financials</t>
        </is>
      </c>
      <c r="H51" t="inlineStr">
        <is>
          <t>F60</t>
        </is>
      </c>
      <c r="I51">
        <f>SUMIF($B$6:$B$41,"Operating Long-Term Asset",G$6:G$41)</f>
        <v/>
      </c>
      <c r="J51" t="n">
        <v>985213</v>
      </c>
      <c r="K51" t="n">
        <v>0.01</v>
      </c>
      <c r="M51" t="inlineStr">
        <is>
          <t>Use SUMIF over the classification column for Operating Long-Term Asset.</t>
        </is>
      </c>
      <c r="O51" t="inlineStr">
        <is>
          <t>pending</t>
        </is>
      </c>
      <c r="P51" t="inlineStr">
        <is>
          <t>olta_agg</t>
        </is>
      </c>
      <c r="Q51" t="n">
        <v>10</v>
      </c>
      <c r="R51" t="n">
        <v>4</v>
      </c>
      <c r="S51" t="inlineStr">
        <is>
          <t>2025-08-31</t>
        </is>
      </c>
    </row>
    <row r="52">
      <c r="A52" t="inlineStr">
        <is>
          <t>oltl_agg__20210831</t>
        </is>
      </c>
      <c r="B52" t="n">
        <v>51</v>
      </c>
      <c r="C52" t="inlineStr">
        <is>
          <t>Operating long-term liabilities</t>
        </is>
      </c>
      <c r="D52" t="inlineStr">
        <is>
          <t>Aggregate the classified balance-sheet detail with the classification column.</t>
        </is>
      </c>
      <c r="E52" t="inlineStr">
        <is>
          <t>condensed.oltl.2021-08-31</t>
        </is>
      </c>
      <c r="F52" t="inlineStr">
        <is>
          <t>accounting</t>
        </is>
      </c>
      <c r="G52" t="inlineStr">
        <is>
          <t>Condensed Financials</t>
        </is>
      </c>
      <c r="H52" t="inlineStr">
        <is>
          <t>B61</t>
        </is>
      </c>
      <c r="I52">
        <f>SUMIF($B$6:$B$41,"Operating Long-Term Liability",C$6:C$41)</f>
        <v/>
      </c>
      <c r="J52" t="n">
        <v>511905</v>
      </c>
      <c r="K52" t="n">
        <v>0.01</v>
      </c>
      <c r="M52" t="inlineStr">
        <is>
          <t>Use SUMIF over the classification column for Operating Long-Term Liability.</t>
        </is>
      </c>
      <c r="O52" t="inlineStr">
        <is>
          <t>pending</t>
        </is>
      </c>
      <c r="P52" t="inlineStr">
        <is>
          <t>oltl_agg</t>
        </is>
      </c>
      <c r="Q52" t="n">
        <v>11</v>
      </c>
      <c r="R52" t="n">
        <v>0</v>
      </c>
      <c r="S52" t="inlineStr">
        <is>
          <t>2021-08-31</t>
        </is>
      </c>
    </row>
    <row r="53">
      <c r="A53" t="inlineStr">
        <is>
          <t>oltl_agg__20220831</t>
        </is>
      </c>
      <c r="B53" t="n">
        <v>52</v>
      </c>
      <c r="C53" t="inlineStr">
        <is>
          <t>Operating long-term liabilities</t>
        </is>
      </c>
      <c r="D53" t="inlineStr">
        <is>
          <t>Aggregate the classified balance-sheet detail with the classification column.</t>
        </is>
      </c>
      <c r="E53" t="inlineStr">
        <is>
          <t>condensed.oltl.2022-08-31</t>
        </is>
      </c>
      <c r="F53" t="inlineStr">
        <is>
          <t>accounting</t>
        </is>
      </c>
      <c r="G53" t="inlineStr">
        <is>
          <t>Condensed Financials</t>
        </is>
      </c>
      <c r="H53" t="inlineStr">
        <is>
          <t>C61</t>
        </is>
      </c>
      <c r="I53">
        <f>SUMIF($B$6:$B$41,"Operating Long-Term Liability",D$6:D$41)</f>
        <v/>
      </c>
      <c r="J53" t="n">
        <v>574934</v>
      </c>
      <c r="K53" t="n">
        <v>0.01</v>
      </c>
      <c r="M53" t="inlineStr">
        <is>
          <t>Use SUMIF over the classification column for Operating Long-Term Liability.</t>
        </is>
      </c>
      <c r="O53" t="inlineStr">
        <is>
          <t>pending</t>
        </is>
      </c>
      <c r="P53" t="inlineStr">
        <is>
          <t>oltl_agg</t>
        </is>
      </c>
      <c r="Q53" t="n">
        <v>11</v>
      </c>
      <c r="R53" t="n">
        <v>1</v>
      </c>
      <c r="S53" t="inlineStr">
        <is>
          <t>2022-08-31</t>
        </is>
      </c>
    </row>
    <row r="54">
      <c r="A54" t="inlineStr">
        <is>
          <t>oltl_agg__20230831</t>
        </is>
      </c>
      <c r="B54" t="n">
        <v>53</v>
      </c>
      <c r="C54" t="inlineStr">
        <is>
          <t>Operating long-term liabilities</t>
        </is>
      </c>
      <c r="D54" t="inlineStr">
        <is>
          <t>Aggregate the classified balance-sheet detail with the classification column.</t>
        </is>
      </c>
      <c r="E54" t="inlineStr">
        <is>
          <t>condensed.oltl.2023-08-31</t>
        </is>
      </c>
      <c r="F54" t="inlineStr">
        <is>
          <t>accounting</t>
        </is>
      </c>
      <c r="G54" t="inlineStr">
        <is>
          <t>Condensed Financials</t>
        </is>
      </c>
      <c r="H54" t="inlineStr">
        <is>
          <t>D61</t>
        </is>
      </c>
      <c r="I54">
        <f>SUMIF($B$6:$B$41,"Operating Long-Term Liability",E$6:E$41)</f>
        <v/>
      </c>
      <c r="J54" t="n">
        <v>585583</v>
      </c>
      <c r="K54" t="n">
        <v>0.01</v>
      </c>
      <c r="M54" t="inlineStr">
        <is>
          <t>Use SUMIF over the classification column for Operating Long-Term Liability.</t>
        </is>
      </c>
      <c r="O54" t="inlineStr">
        <is>
          <t>pending</t>
        </is>
      </c>
      <c r="P54" t="inlineStr">
        <is>
          <t>oltl_agg</t>
        </is>
      </c>
      <c r="Q54" t="n">
        <v>11</v>
      </c>
      <c r="R54" t="n">
        <v>2</v>
      </c>
      <c r="S54" t="inlineStr">
        <is>
          <t>2023-08-31</t>
        </is>
      </c>
    </row>
    <row r="55">
      <c r="A55" t="inlineStr">
        <is>
          <t>oltl_agg__20240831</t>
        </is>
      </c>
      <c r="B55" t="n">
        <v>54</v>
      </c>
      <c r="C55" t="inlineStr">
        <is>
          <t>Operating long-term liabilities</t>
        </is>
      </c>
      <c r="D55" t="inlineStr">
        <is>
          <t>Aggregate the classified balance-sheet detail with the classification column.</t>
        </is>
      </c>
      <c r="E55" t="inlineStr">
        <is>
          <t>condensed.oltl.2024-08-31</t>
        </is>
      </c>
      <c r="F55" t="inlineStr">
        <is>
          <t>accounting</t>
        </is>
      </c>
      <c r="G55" t="inlineStr">
        <is>
          <t>Condensed Financials</t>
        </is>
      </c>
      <c r="H55" t="inlineStr">
        <is>
          <t>E61</t>
        </is>
      </c>
      <c r="I55">
        <f>SUMIF($B$6:$B$41,"Operating Long-Term Liability",F$6:F$41)</f>
        <v/>
      </c>
      <c r="J55" t="n">
        <v>565131</v>
      </c>
      <c r="K55" t="n">
        <v>0.01</v>
      </c>
      <c r="M55" t="inlineStr">
        <is>
          <t>Use SUMIF over the classification column for Operating Long-Term Liability.</t>
        </is>
      </c>
      <c r="O55" t="inlineStr">
        <is>
          <t>pending</t>
        </is>
      </c>
      <c r="P55" t="inlineStr">
        <is>
          <t>oltl_agg</t>
        </is>
      </c>
      <c r="Q55" t="n">
        <v>11</v>
      </c>
      <c r="R55" t="n">
        <v>3</v>
      </c>
      <c r="S55" t="inlineStr">
        <is>
          <t>2024-08-31</t>
        </is>
      </c>
    </row>
    <row r="56">
      <c r="A56" t="inlineStr">
        <is>
          <t>oltl_agg__20250831</t>
        </is>
      </c>
      <c r="B56" t="n">
        <v>55</v>
      </c>
      <c r="C56" t="inlineStr">
        <is>
          <t>Operating long-term liabilities</t>
        </is>
      </c>
      <c r="D56" t="inlineStr">
        <is>
          <t>Aggregate the classified balance-sheet detail with the classification column.</t>
        </is>
      </c>
      <c r="E56" t="inlineStr">
        <is>
          <t>condensed.oltl.2025-08-31</t>
        </is>
      </c>
      <c r="F56" t="inlineStr">
        <is>
          <t>accounting</t>
        </is>
      </c>
      <c r="G56" t="inlineStr">
        <is>
          <t>Condensed Financials</t>
        </is>
      </c>
      <c r="H56" t="inlineStr">
        <is>
          <t>F61</t>
        </is>
      </c>
      <c r="I56">
        <f>SUMIF($B$6:$B$41,"Operating Long-Term Liability",G$6:G$41)</f>
        <v/>
      </c>
      <c r="J56" t="n">
        <v>594207</v>
      </c>
      <c r="K56" t="n">
        <v>0.01</v>
      </c>
      <c r="M56" t="inlineStr">
        <is>
          <t>Use SUMIF over the classification column for Operating Long-Term Liability.</t>
        </is>
      </c>
      <c r="O56" t="inlineStr">
        <is>
          <t>pending</t>
        </is>
      </c>
      <c r="P56" t="inlineStr">
        <is>
          <t>oltl_agg</t>
        </is>
      </c>
      <c r="Q56" t="n">
        <v>11</v>
      </c>
      <c r="R56" t="n">
        <v>4</v>
      </c>
      <c r="S56" t="inlineStr">
        <is>
          <t>2025-08-31</t>
        </is>
      </c>
    </row>
    <row r="57">
      <c r="A57" t="inlineStr">
        <is>
          <t>nola_agg__20210831</t>
        </is>
      </c>
      <c r="B57" t="n">
        <v>56</v>
      </c>
      <c r="C57" t="inlineStr">
        <is>
          <t>Net operating long-term assets (NOLA)</t>
        </is>
      </c>
      <c r="D57" t="inlineStr">
        <is>
          <t>Operating long-term assets less operating long-term liabilities.</t>
        </is>
      </c>
      <c r="E57" t="inlineStr">
        <is>
          <t>condensed.nola.2021-08-31</t>
        </is>
      </c>
      <c r="F57" t="inlineStr">
        <is>
          <t>accounting</t>
        </is>
      </c>
      <c r="G57" t="inlineStr">
        <is>
          <t>Condensed Financials</t>
        </is>
      </c>
      <c r="H57" t="inlineStr">
        <is>
          <t>B62</t>
        </is>
      </c>
      <c r="I57">
        <f>B60-B61</f>
        <v/>
      </c>
      <c r="J57" t="n">
        <v>183721</v>
      </c>
      <c r="K57" t="n">
        <v>0.01</v>
      </c>
      <c r="L57" t="inlineStr">
        <is>
          <t>olta_agg__20210831,oltl_agg__20210831</t>
        </is>
      </c>
      <c r="M57" t="inlineStr">
        <is>
          <t>NOLA = Operating LT Assets − Operating LT Liabilities.</t>
        </is>
      </c>
      <c r="O57" t="inlineStr">
        <is>
          <t>pending</t>
        </is>
      </c>
      <c r="P57" t="inlineStr">
        <is>
          <t>nola_agg</t>
        </is>
      </c>
      <c r="Q57" t="n">
        <v>12</v>
      </c>
      <c r="R57" t="n">
        <v>0</v>
      </c>
      <c r="S57" t="inlineStr">
        <is>
          <t>2021-08-31</t>
        </is>
      </c>
    </row>
    <row r="58">
      <c r="A58" t="inlineStr">
        <is>
          <t>nola_agg__20220831</t>
        </is>
      </c>
      <c r="B58" t="n">
        <v>57</v>
      </c>
      <c r="C58" t="inlineStr">
        <is>
          <t>Net operating long-term assets (NOLA)</t>
        </is>
      </c>
      <c r="D58" t="inlineStr">
        <is>
          <t>Operating long-term assets less operating long-term liabilities.</t>
        </is>
      </c>
      <c r="E58" t="inlineStr">
        <is>
          <t>condensed.nola.2022-08-31</t>
        </is>
      </c>
      <c r="F58" t="inlineStr">
        <is>
          <t>accounting</t>
        </is>
      </c>
      <c r="G58" t="inlineStr">
        <is>
          <t>Condensed Financials</t>
        </is>
      </c>
      <c r="H58" t="inlineStr">
        <is>
          <t>C62</t>
        </is>
      </c>
      <c r="I58">
        <f>C60-C61</f>
        <v/>
      </c>
      <c r="J58" t="n">
        <v>131392</v>
      </c>
      <c r="K58" t="n">
        <v>0.01</v>
      </c>
      <c r="L58" t="inlineStr">
        <is>
          <t>olta_agg__20220831,oltl_agg__20220831</t>
        </is>
      </c>
      <c r="M58" t="inlineStr">
        <is>
          <t>NOLA = Operating LT Assets − Operating LT Liabilities.</t>
        </is>
      </c>
      <c r="O58" t="inlineStr">
        <is>
          <t>pending</t>
        </is>
      </c>
      <c r="P58" t="inlineStr">
        <is>
          <t>nola_agg</t>
        </is>
      </c>
      <c r="Q58" t="n">
        <v>12</v>
      </c>
      <c r="R58" t="n">
        <v>1</v>
      </c>
      <c r="S58" t="inlineStr">
        <is>
          <t>2022-08-31</t>
        </is>
      </c>
    </row>
    <row r="59">
      <c r="A59" t="inlineStr">
        <is>
          <t>nola_agg__20230831</t>
        </is>
      </c>
      <c r="B59" t="n">
        <v>58</v>
      </c>
      <c r="C59" t="inlineStr">
        <is>
          <t>Net operating long-term assets (NOLA)</t>
        </is>
      </c>
      <c r="D59" t="inlineStr">
        <is>
          <t>Operating long-term assets less operating long-term liabilities.</t>
        </is>
      </c>
      <c r="E59" t="inlineStr">
        <is>
          <t>condensed.nola.2023-08-31</t>
        </is>
      </c>
      <c r="F59" t="inlineStr">
        <is>
          <t>accounting</t>
        </is>
      </c>
      <c r="G59" t="inlineStr">
        <is>
          <t>Condensed Financials</t>
        </is>
      </c>
      <c r="H59" t="inlineStr">
        <is>
          <t>D62</t>
        </is>
      </c>
      <c r="I59">
        <f>D60-D61</f>
        <v/>
      </c>
      <c r="J59" t="n">
        <v>186897</v>
      </c>
      <c r="K59" t="n">
        <v>0.01</v>
      </c>
      <c r="L59" t="inlineStr">
        <is>
          <t>olta_agg__20230831,oltl_agg__20230831</t>
        </is>
      </c>
      <c r="M59" t="inlineStr">
        <is>
          <t>NOLA = Operating LT Assets − Operating LT Liabilities.</t>
        </is>
      </c>
      <c r="O59" t="inlineStr">
        <is>
          <t>pending</t>
        </is>
      </c>
      <c r="P59" t="inlineStr">
        <is>
          <t>nola_agg</t>
        </is>
      </c>
      <c r="Q59" t="n">
        <v>12</v>
      </c>
      <c r="R59" t="n">
        <v>2</v>
      </c>
      <c r="S59" t="inlineStr">
        <is>
          <t>2023-08-31</t>
        </is>
      </c>
    </row>
    <row r="60">
      <c r="A60" t="inlineStr">
        <is>
          <t>nola_agg__20240831</t>
        </is>
      </c>
      <c r="B60" t="n">
        <v>59</v>
      </c>
      <c r="C60" t="inlineStr">
        <is>
          <t>Net operating long-term assets (NOLA)</t>
        </is>
      </c>
      <c r="D60" t="inlineStr">
        <is>
          <t>Operating long-term assets less operating long-term liabilities.</t>
        </is>
      </c>
      <c r="E60" t="inlineStr">
        <is>
          <t>condensed.nola.2024-08-31</t>
        </is>
      </c>
      <c r="F60" t="inlineStr">
        <is>
          <t>accounting</t>
        </is>
      </c>
      <c r="G60" t="inlineStr">
        <is>
          <t>Condensed Financials</t>
        </is>
      </c>
      <c r="H60" t="inlineStr">
        <is>
          <t>E62</t>
        </is>
      </c>
      <c r="I60">
        <f>E60-E61</f>
        <v/>
      </c>
      <c r="J60" t="n">
        <v>255862</v>
      </c>
      <c r="K60" t="n">
        <v>0.01</v>
      </c>
      <c r="L60" t="inlineStr">
        <is>
          <t>olta_agg__20240831,oltl_agg__20240831</t>
        </is>
      </c>
      <c r="M60" t="inlineStr">
        <is>
          <t>NOLA = Operating LT Assets − Operating LT Liabilities.</t>
        </is>
      </c>
      <c r="O60" t="inlineStr">
        <is>
          <t>pending</t>
        </is>
      </c>
      <c r="P60" t="inlineStr">
        <is>
          <t>nola_agg</t>
        </is>
      </c>
      <c r="Q60" t="n">
        <v>12</v>
      </c>
      <c r="R60" t="n">
        <v>3</v>
      </c>
      <c r="S60" t="inlineStr">
        <is>
          <t>2024-08-31</t>
        </is>
      </c>
    </row>
    <row r="61">
      <c r="A61" t="inlineStr">
        <is>
          <t>nola_agg__20250831</t>
        </is>
      </c>
      <c r="B61" t="n">
        <v>60</v>
      </c>
      <c r="C61" t="inlineStr">
        <is>
          <t>Net operating long-term assets (NOLA)</t>
        </is>
      </c>
      <c r="D61" t="inlineStr">
        <is>
          <t>Operating long-term assets less operating long-term liabilities.</t>
        </is>
      </c>
      <c r="E61" t="inlineStr">
        <is>
          <t>condensed.nola.2025-08-31</t>
        </is>
      </c>
      <c r="F61" t="inlineStr">
        <is>
          <t>accounting</t>
        </is>
      </c>
      <c r="G61" t="inlineStr">
        <is>
          <t>Condensed Financials</t>
        </is>
      </c>
      <c r="H61" t="inlineStr">
        <is>
          <t>F62</t>
        </is>
      </c>
      <c r="I61">
        <f>F60-F61</f>
        <v/>
      </c>
      <c r="J61" t="n">
        <v>391006</v>
      </c>
      <c r="K61" t="n">
        <v>0.01</v>
      </c>
      <c r="L61" t="inlineStr">
        <is>
          <t>olta_agg__20250831,oltl_agg__20250831</t>
        </is>
      </c>
      <c r="M61" t="inlineStr">
        <is>
          <t>NOLA = Operating LT Assets − Operating LT Liabilities.</t>
        </is>
      </c>
      <c r="O61" t="inlineStr">
        <is>
          <t>pending</t>
        </is>
      </c>
      <c r="P61" t="inlineStr">
        <is>
          <t>nola_agg</t>
        </is>
      </c>
      <c r="Q61" t="n">
        <v>12</v>
      </c>
      <c r="R61" t="n">
        <v>4</v>
      </c>
      <c r="S61" t="inlineStr">
        <is>
          <t>2025-08-31</t>
        </is>
      </c>
    </row>
    <row r="62">
      <c r="A62" t="inlineStr">
        <is>
          <t>noa_agg__20210831</t>
        </is>
      </c>
      <c r="B62" t="n">
        <v>61</v>
      </c>
      <c r="C62" t="inlineStr">
        <is>
          <t>Net Operating Assets (NOA)</t>
        </is>
      </c>
      <c r="D62" t="inlineStr">
        <is>
          <t>NOWC plus net operating long-term assets.</t>
        </is>
      </c>
      <c r="E62" t="inlineStr">
        <is>
          <t>condensed.noa.2021-08-31</t>
        </is>
      </c>
      <c r="F62" t="inlineStr">
        <is>
          <t>accounting</t>
        </is>
      </c>
      <c r="G62" t="inlineStr">
        <is>
          <t>Condensed Financials</t>
        </is>
      </c>
      <c r="H62" t="inlineStr">
        <is>
          <t>B63</t>
        </is>
      </c>
      <c r="I62">
        <f>B59+B62</f>
        <v/>
      </c>
      <c r="J62" t="n">
        <v>290933</v>
      </c>
      <c r="K62" t="n">
        <v>0.01</v>
      </c>
      <c r="L62" t="inlineStr">
        <is>
          <t>nowc_agg__20210831,nola_agg__20210831</t>
        </is>
      </c>
      <c r="M62" t="inlineStr">
        <is>
          <t>Net Operating LT Assets = Op. LT Assets − Op. LT Liabilities (SUMIF).|NOA = NOWC + Net Operating LT Assets.</t>
        </is>
      </c>
      <c r="O62" t="inlineStr">
        <is>
          <t>pending</t>
        </is>
      </c>
      <c r="P62" t="inlineStr">
        <is>
          <t>noa_agg</t>
        </is>
      </c>
      <c r="Q62" t="n">
        <v>13</v>
      </c>
      <c r="R62" t="n">
        <v>0</v>
      </c>
      <c r="S62" t="inlineStr">
        <is>
          <t>2021-08-31</t>
        </is>
      </c>
    </row>
    <row r="63">
      <c r="A63" t="inlineStr">
        <is>
          <t>noa_agg__20220831</t>
        </is>
      </c>
      <c r="B63" t="n">
        <v>62</v>
      </c>
      <c r="C63" t="inlineStr">
        <is>
          <t>Net Operating Assets (NOA)</t>
        </is>
      </c>
      <c r="D63" t="inlineStr">
        <is>
          <t>NOWC plus net operating long-term assets.</t>
        </is>
      </c>
      <c r="E63" t="inlineStr">
        <is>
          <t>condensed.noa.2022-08-31</t>
        </is>
      </c>
      <c r="F63" t="inlineStr">
        <is>
          <t>accounting</t>
        </is>
      </c>
      <c r="G63" t="inlineStr">
        <is>
          <t>Condensed Financials</t>
        </is>
      </c>
      <c r="H63" t="inlineStr">
        <is>
          <t>C63</t>
        </is>
      </c>
      <c r="I63">
        <f>C59+C62</f>
        <v/>
      </c>
      <c r="J63" t="n">
        <v>162395</v>
      </c>
      <c r="K63" t="n">
        <v>0.01</v>
      </c>
      <c r="L63" t="inlineStr">
        <is>
          <t>nowc_agg__20220831,nola_agg__20220831</t>
        </is>
      </c>
      <c r="M63" t="inlineStr">
        <is>
          <t>Net Operating LT Assets = Op. LT Assets − Op. LT Liabilities (SUMIF).|NOA = NOWC + Net Operating LT Assets.</t>
        </is>
      </c>
      <c r="O63" t="inlineStr">
        <is>
          <t>pending</t>
        </is>
      </c>
      <c r="P63" t="inlineStr">
        <is>
          <t>noa_agg</t>
        </is>
      </c>
      <c r="Q63" t="n">
        <v>13</v>
      </c>
      <c r="R63" t="n">
        <v>1</v>
      </c>
      <c r="S63" t="inlineStr">
        <is>
          <t>2022-08-31</t>
        </is>
      </c>
    </row>
    <row r="64">
      <c r="A64" t="inlineStr">
        <is>
          <t>noa_agg__20230831</t>
        </is>
      </c>
      <c r="B64" t="n">
        <v>63</v>
      </c>
      <c r="C64" t="inlineStr">
        <is>
          <t>Net Operating Assets (NOA)</t>
        </is>
      </c>
      <c r="D64" t="inlineStr">
        <is>
          <t>NOWC plus net operating long-term assets.</t>
        </is>
      </c>
      <c r="E64" t="inlineStr">
        <is>
          <t>condensed.noa.2023-08-31</t>
        </is>
      </c>
      <c r="F64" t="inlineStr">
        <is>
          <t>accounting</t>
        </is>
      </c>
      <c r="G64" t="inlineStr">
        <is>
          <t>Condensed Financials</t>
        </is>
      </c>
      <c r="H64" t="inlineStr">
        <is>
          <t>D63</t>
        </is>
      </c>
      <c r="I64">
        <f>D59+D62</f>
        <v/>
      </c>
      <c r="J64" t="n">
        <v>215261</v>
      </c>
      <c r="K64" t="n">
        <v>0.01</v>
      </c>
      <c r="L64" t="inlineStr">
        <is>
          <t>nowc_agg__20230831,nola_agg__20230831</t>
        </is>
      </c>
      <c r="M64" t="inlineStr">
        <is>
          <t>Net Operating LT Assets = Op. LT Assets − Op. LT Liabilities (SUMIF).|NOA = NOWC + Net Operating LT Assets.</t>
        </is>
      </c>
      <c r="O64" t="inlineStr">
        <is>
          <t>pending</t>
        </is>
      </c>
      <c r="P64" t="inlineStr">
        <is>
          <t>noa_agg</t>
        </is>
      </c>
      <c r="Q64" t="n">
        <v>13</v>
      </c>
      <c r="R64" t="n">
        <v>2</v>
      </c>
      <c r="S64" t="inlineStr">
        <is>
          <t>2023-08-31</t>
        </is>
      </c>
    </row>
    <row r="65">
      <c r="A65" t="inlineStr">
        <is>
          <t>noa_agg__20240831</t>
        </is>
      </c>
      <c r="B65" t="n">
        <v>64</v>
      </c>
      <c r="C65" t="inlineStr">
        <is>
          <t>Net Operating Assets (NOA)</t>
        </is>
      </c>
      <c r="D65" t="inlineStr">
        <is>
          <t>NOWC plus net operating long-term assets.</t>
        </is>
      </c>
      <c r="E65" t="inlineStr">
        <is>
          <t>condensed.noa.2024-08-31</t>
        </is>
      </c>
      <c r="F65" t="inlineStr">
        <is>
          <t>accounting</t>
        </is>
      </c>
      <c r="G65" t="inlineStr">
        <is>
          <t>Condensed Financials</t>
        </is>
      </c>
      <c r="H65" t="inlineStr">
        <is>
          <t>E63</t>
        </is>
      </c>
      <c r="I65">
        <f>E59+E62</f>
        <v/>
      </c>
      <c r="J65" t="n">
        <v>239202</v>
      </c>
      <c r="K65" t="n">
        <v>0.01</v>
      </c>
      <c r="L65" t="inlineStr">
        <is>
          <t>nowc_agg__20240831,nola_agg__20240831</t>
        </is>
      </c>
      <c r="M65" t="inlineStr">
        <is>
          <t>Net Operating LT Assets = Op. LT Assets − Op. LT Liabilities (SUMIF).|NOA = NOWC + Net Operating LT Assets.</t>
        </is>
      </c>
      <c r="O65" t="inlineStr">
        <is>
          <t>pending</t>
        </is>
      </c>
      <c r="P65" t="inlineStr">
        <is>
          <t>noa_agg</t>
        </is>
      </c>
      <c r="Q65" t="n">
        <v>13</v>
      </c>
      <c r="R65" t="n">
        <v>3</v>
      </c>
      <c r="S65" t="inlineStr">
        <is>
          <t>2024-08-31</t>
        </is>
      </c>
    </row>
    <row r="66">
      <c r="A66" t="inlineStr">
        <is>
          <t>noa_agg__20250831</t>
        </is>
      </c>
      <c r="B66" t="n">
        <v>65</v>
      </c>
      <c r="C66" t="inlineStr">
        <is>
          <t>Net Operating Assets (NOA)</t>
        </is>
      </c>
      <c r="D66" t="inlineStr">
        <is>
          <t>NOWC plus net operating long-term assets.</t>
        </is>
      </c>
      <c r="E66" t="inlineStr">
        <is>
          <t>condensed.noa.2025-08-31</t>
        </is>
      </c>
      <c r="F66" t="inlineStr">
        <is>
          <t>accounting</t>
        </is>
      </c>
      <c r="G66" t="inlineStr">
        <is>
          <t>Condensed Financials</t>
        </is>
      </c>
      <c r="H66" t="inlineStr">
        <is>
          <t>F63</t>
        </is>
      </c>
      <c r="I66">
        <f>F59+F62</f>
        <v/>
      </c>
      <c r="J66" t="n">
        <v>416809</v>
      </c>
      <c r="K66" t="n">
        <v>0.01</v>
      </c>
      <c r="L66" t="inlineStr">
        <is>
          <t>nowc_agg__20250831,nola_agg__20250831</t>
        </is>
      </c>
      <c r="M66" t="inlineStr">
        <is>
          <t>Net Operating LT Assets = Op. LT Assets − Op. LT Liabilities (SUMIF).|NOA = NOWC + Net Operating LT Assets.</t>
        </is>
      </c>
      <c r="O66" t="inlineStr">
        <is>
          <t>pending</t>
        </is>
      </c>
      <c r="P66" t="inlineStr">
        <is>
          <t>noa_agg</t>
        </is>
      </c>
      <c r="Q66" t="n">
        <v>13</v>
      </c>
      <c r="R66" t="n">
        <v>4</v>
      </c>
      <c r="S66" t="inlineStr">
        <is>
          <t>2025-08-31</t>
        </is>
      </c>
    </row>
    <row r="67">
      <c r="A67" t="inlineStr">
        <is>
          <t>financial_assets_agg__20210831</t>
        </is>
      </c>
      <c r="B67" t="n">
        <v>66</v>
      </c>
      <c r="C67" t="inlineStr">
        <is>
          <t>Financial assets</t>
        </is>
      </c>
      <c r="D67" t="inlineStr">
        <is>
          <t>Aggregate the classified balance-sheet detail with the classification column.</t>
        </is>
      </c>
      <c r="E67" t="inlineStr">
        <is>
          <t>condensed.financial_assets.2021-08-31</t>
        </is>
      </c>
      <c r="F67" t="inlineStr">
        <is>
          <t>accounting</t>
        </is>
      </c>
      <c r="G67" t="inlineStr">
        <is>
          <t>Condensed Financials</t>
        </is>
      </c>
      <c r="H67" t="inlineStr">
        <is>
          <t>B64</t>
        </is>
      </c>
      <c r="I67">
        <f>SUMIF($B$6:$B$41,"Financial Asset",C$6:C$41)</f>
        <v/>
      </c>
      <c r="J67" t="n">
        <v>1350670</v>
      </c>
      <c r="K67" t="n">
        <v>0.01</v>
      </c>
      <c r="M67" t="inlineStr">
        <is>
          <t>Use SUMIF over the classification column for Financial Asset.</t>
        </is>
      </c>
      <c r="O67" t="inlineStr">
        <is>
          <t>pending</t>
        </is>
      </c>
      <c r="P67" t="inlineStr">
        <is>
          <t>financial_assets_agg</t>
        </is>
      </c>
      <c r="Q67" t="n">
        <v>14</v>
      </c>
      <c r="R67" t="n">
        <v>0</v>
      </c>
      <c r="S67" t="inlineStr">
        <is>
          <t>2021-08-31</t>
        </is>
      </c>
    </row>
    <row r="68">
      <c r="A68" t="inlineStr">
        <is>
          <t>financial_assets_agg__20220831</t>
        </is>
      </c>
      <c r="B68" t="n">
        <v>67</v>
      </c>
      <c r="C68" t="inlineStr">
        <is>
          <t>Financial assets</t>
        </is>
      </c>
      <c r="D68" t="inlineStr">
        <is>
          <t>Aggregate the classified balance-sheet detail with the classification column.</t>
        </is>
      </c>
      <c r="E68" t="inlineStr">
        <is>
          <t>condensed.financial_assets.2022-08-31</t>
        </is>
      </c>
      <c r="F68" t="inlineStr">
        <is>
          <t>accounting</t>
        </is>
      </c>
      <c r="G68" t="inlineStr">
        <is>
          <t>Condensed Financials</t>
        </is>
      </c>
      <c r="H68" t="inlineStr">
        <is>
          <t>C64</t>
        </is>
      </c>
      <c r="I68">
        <f>SUMIF($B$6:$B$41,"Financial Asset",D$6:D$41)</f>
        <v/>
      </c>
      <c r="J68" t="n">
        <v>1904869</v>
      </c>
      <c r="K68" t="n">
        <v>0.01</v>
      </c>
      <c r="M68" t="inlineStr">
        <is>
          <t>Use SUMIF over the classification column for Financial Asset.</t>
        </is>
      </c>
      <c r="O68" t="inlineStr">
        <is>
          <t>pending</t>
        </is>
      </c>
      <c r="P68" t="inlineStr">
        <is>
          <t>financial_assets_agg</t>
        </is>
      </c>
      <c r="Q68" t="n">
        <v>14</v>
      </c>
      <c r="R68" t="n">
        <v>1</v>
      </c>
      <c r="S68" t="inlineStr">
        <is>
          <t>2022-08-31</t>
        </is>
      </c>
    </row>
    <row r="69">
      <c r="A69" t="inlineStr">
        <is>
          <t>financial_assets_agg__20230831</t>
        </is>
      </c>
      <c r="B69" t="n">
        <v>68</v>
      </c>
      <c r="C69" t="inlineStr">
        <is>
          <t>Financial assets</t>
        </is>
      </c>
      <c r="D69" t="inlineStr">
        <is>
          <t>Aggregate the classified balance-sheet detail with the classification column.</t>
        </is>
      </c>
      <c r="E69" t="inlineStr">
        <is>
          <t>condensed.financial_assets.2023-08-31</t>
        </is>
      </c>
      <c r="F69" t="inlineStr">
        <is>
          <t>accounting</t>
        </is>
      </c>
      <c r="G69" t="inlineStr">
        <is>
          <t>Condensed Financials</t>
        </is>
      </c>
      <c r="H69" t="inlineStr">
        <is>
          <t>D64</t>
        </is>
      </c>
      <c r="I69">
        <f>SUMIF($B$6:$B$41,"Financial Asset",E$6:E$41)</f>
        <v/>
      </c>
      <c r="J69" t="n">
        <v>1966089</v>
      </c>
      <c r="K69" t="n">
        <v>0.01</v>
      </c>
      <c r="M69" t="inlineStr">
        <is>
          <t>Use SUMIF over the classification column for Financial Asset.</t>
        </is>
      </c>
      <c r="O69" t="inlineStr">
        <is>
          <t>pending</t>
        </is>
      </c>
      <c r="P69" t="inlineStr">
        <is>
          <t>financial_assets_agg</t>
        </is>
      </c>
      <c r="Q69" t="n">
        <v>14</v>
      </c>
      <c r="R69" t="n">
        <v>2</v>
      </c>
      <c r="S69" t="inlineStr">
        <is>
          <t>2023-08-31</t>
        </is>
      </c>
    </row>
    <row r="70">
      <c r="A70" t="inlineStr">
        <is>
          <t>financial_assets_agg__20240831</t>
        </is>
      </c>
      <c r="B70" t="n">
        <v>69</v>
      </c>
      <c r="C70" t="inlineStr">
        <is>
          <t>Financial assets</t>
        </is>
      </c>
      <c r="D70" t="inlineStr">
        <is>
          <t>Aggregate the classified balance-sheet detail with the classification column.</t>
        </is>
      </c>
      <c r="E70" t="inlineStr">
        <is>
          <t>condensed.financial_assets.2024-08-31</t>
        </is>
      </c>
      <c r="F70" t="inlineStr">
        <is>
          <t>accounting</t>
        </is>
      </c>
      <c r="G70" t="inlineStr">
        <is>
          <t>Condensed Financials</t>
        </is>
      </c>
      <c r="H70" t="inlineStr">
        <is>
          <t>E64</t>
        </is>
      </c>
      <c r="I70">
        <f>SUMIF($B$6:$B$41,"Financial Asset",F$6:F$41)</f>
        <v/>
      </c>
      <c r="J70" t="n">
        <v>2179069</v>
      </c>
      <c r="K70" t="n">
        <v>0.01</v>
      </c>
      <c r="M70" t="inlineStr">
        <is>
          <t>Use SUMIF over the classification column for Financial Asset.</t>
        </is>
      </c>
      <c r="O70" t="inlineStr">
        <is>
          <t>pending</t>
        </is>
      </c>
      <c r="P70" t="inlineStr">
        <is>
          <t>financial_assets_agg</t>
        </is>
      </c>
      <c r="Q70" t="n">
        <v>14</v>
      </c>
      <c r="R70" t="n">
        <v>3</v>
      </c>
      <c r="S70" t="inlineStr">
        <is>
          <t>2024-08-31</t>
        </is>
      </c>
    </row>
    <row r="71">
      <c r="A71" t="inlineStr">
        <is>
          <t>financial_assets_agg__20250831</t>
        </is>
      </c>
      <c r="B71" t="n">
        <v>70</v>
      </c>
      <c r="C71" t="inlineStr">
        <is>
          <t>Financial assets</t>
        </is>
      </c>
      <c r="D71" t="inlineStr">
        <is>
          <t>Aggregate the classified balance-sheet detail with the classification column.</t>
        </is>
      </c>
      <c r="E71" t="inlineStr">
        <is>
          <t>condensed.financial_assets.2025-08-31</t>
        </is>
      </c>
      <c r="F71" t="inlineStr">
        <is>
          <t>accounting</t>
        </is>
      </c>
      <c r="G71" t="inlineStr">
        <is>
          <t>Condensed Financials</t>
        </is>
      </c>
      <c r="H71" t="inlineStr">
        <is>
          <t>F64</t>
        </is>
      </c>
      <c r="I71">
        <f>SUMIF($B$6:$B$41,"Financial Asset",G$6:G$41)</f>
        <v/>
      </c>
      <c r="J71" t="n">
        <v>2234063</v>
      </c>
      <c r="K71" t="n">
        <v>0.01</v>
      </c>
      <c r="M71" t="inlineStr">
        <is>
          <t>Use SUMIF over the classification column for Financial Asset.</t>
        </is>
      </c>
      <c r="O71" t="inlineStr">
        <is>
          <t>pending</t>
        </is>
      </c>
      <c r="P71" t="inlineStr">
        <is>
          <t>financial_assets_agg</t>
        </is>
      </c>
      <c r="Q71" t="n">
        <v>14</v>
      </c>
      <c r="R71" t="n">
        <v>4</v>
      </c>
      <c r="S71" t="inlineStr">
        <is>
          <t>2025-08-31</t>
        </is>
      </c>
    </row>
    <row r="72">
      <c r="A72" t="inlineStr">
        <is>
          <t>financial_liabilities_agg__20210831</t>
        </is>
      </c>
      <c r="B72" t="n">
        <v>71</v>
      </c>
      <c r="C72" t="inlineStr">
        <is>
          <t>Financial liabilities</t>
        </is>
      </c>
      <c r="D72" t="inlineStr">
        <is>
          <t>Aggregate the classified balance-sheet detail with the classification column.</t>
        </is>
      </c>
      <c r="E72" t="inlineStr">
        <is>
          <t>condensed.financial_liabilities.2021-08-31</t>
        </is>
      </c>
      <c r="F72" t="inlineStr">
        <is>
          <t>accounting</t>
        </is>
      </c>
      <c r="G72" t="inlineStr">
        <is>
          <t>Condensed Financials</t>
        </is>
      </c>
      <c r="H72" t="inlineStr">
        <is>
          <t>B65</t>
        </is>
      </c>
      <c r="I72">
        <f>SUMIF($B$6:$B$41,"Financial Liability",C$6:C$41)</f>
        <v/>
      </c>
      <c r="J72" t="n">
        <v>479303</v>
      </c>
      <c r="K72" t="n">
        <v>0.01</v>
      </c>
      <c r="M72" t="inlineStr">
        <is>
          <t>Use SUMIF over the classification column for Financial Liability.</t>
        </is>
      </c>
      <c r="O72" t="inlineStr">
        <is>
          <t>pending</t>
        </is>
      </c>
      <c r="P72" t="inlineStr">
        <is>
          <t>financial_liabilities_agg</t>
        </is>
      </c>
      <c r="Q72" t="n">
        <v>15</v>
      </c>
      <c r="R72" t="n">
        <v>0</v>
      </c>
      <c r="S72" t="inlineStr">
        <is>
          <t>2021-08-31</t>
        </is>
      </c>
    </row>
    <row r="73">
      <c r="A73" t="inlineStr">
        <is>
          <t>financial_liabilities_agg__20220831</t>
        </is>
      </c>
      <c r="B73" t="n">
        <v>72</v>
      </c>
      <c r="C73" t="inlineStr">
        <is>
          <t>Financial liabilities</t>
        </is>
      </c>
      <c r="D73" t="inlineStr">
        <is>
          <t>Aggregate the classified balance-sheet detail with the classification column.</t>
        </is>
      </c>
      <c r="E73" t="inlineStr">
        <is>
          <t>condensed.financial_liabilities.2022-08-31</t>
        </is>
      </c>
      <c r="F73" t="inlineStr">
        <is>
          <t>accounting</t>
        </is>
      </c>
      <c r="G73" t="inlineStr">
        <is>
          <t>Condensed Financials</t>
        </is>
      </c>
      <c r="H73" t="inlineStr">
        <is>
          <t>C65</t>
        </is>
      </c>
      <c r="I73">
        <f>SUMIF($B$6:$B$41,"Financial Liability",D$6:D$41)</f>
        <v/>
      </c>
      <c r="J73" t="n">
        <v>451865</v>
      </c>
      <c r="K73" t="n">
        <v>0.01</v>
      </c>
      <c r="M73" t="inlineStr">
        <is>
          <t>Use SUMIF over the classification column for Financial Liability.</t>
        </is>
      </c>
      <c r="O73" t="inlineStr">
        <is>
          <t>pending</t>
        </is>
      </c>
      <c r="P73" t="inlineStr">
        <is>
          <t>financial_liabilities_agg</t>
        </is>
      </c>
      <c r="Q73" t="n">
        <v>15</v>
      </c>
      <c r="R73" t="n">
        <v>1</v>
      </c>
      <c r="S73" t="inlineStr">
        <is>
          <t>2022-08-31</t>
        </is>
      </c>
    </row>
    <row r="74">
      <c r="A74" t="inlineStr">
        <is>
          <t>financial_liabilities_agg__20230831</t>
        </is>
      </c>
      <c r="B74" t="n">
        <v>73</v>
      </c>
      <c r="C74" t="inlineStr">
        <is>
          <t>Financial liabilities</t>
        </is>
      </c>
      <c r="D74" t="inlineStr">
        <is>
          <t>Aggregate the classified balance-sheet detail with the classification column.</t>
        </is>
      </c>
      <c r="E74" t="inlineStr">
        <is>
          <t>condensed.financial_liabilities.2023-08-31</t>
        </is>
      </c>
      <c r="F74" t="inlineStr">
        <is>
          <t>accounting</t>
        </is>
      </c>
      <c r="G74" t="inlineStr">
        <is>
          <t>Condensed Financials</t>
        </is>
      </c>
      <c r="H74" t="inlineStr">
        <is>
          <t>D65</t>
        </is>
      </c>
      <c r="I74">
        <f>SUMIF($B$6:$B$41,"Financial Liability",E$6:E$41)</f>
        <v/>
      </c>
      <c r="J74" t="n">
        <v>307991</v>
      </c>
      <c r="K74" t="n">
        <v>0.01</v>
      </c>
      <c r="M74" t="inlineStr">
        <is>
          <t>Use SUMIF over the classification column for Financial Liability.</t>
        </is>
      </c>
      <c r="O74" t="inlineStr">
        <is>
          <t>pending</t>
        </is>
      </c>
      <c r="P74" t="inlineStr">
        <is>
          <t>financial_liabilities_agg</t>
        </is>
      </c>
      <c r="Q74" t="n">
        <v>15</v>
      </c>
      <c r="R74" t="n">
        <v>2</v>
      </c>
      <c r="S74" t="inlineStr">
        <is>
          <t>2023-08-31</t>
        </is>
      </c>
    </row>
    <row r="75">
      <c r="A75" t="inlineStr">
        <is>
          <t>financial_liabilities_agg__20240831</t>
        </is>
      </c>
      <c r="B75" t="n">
        <v>74</v>
      </c>
      <c r="C75" t="inlineStr">
        <is>
          <t>Financial liabilities</t>
        </is>
      </c>
      <c r="D75" t="inlineStr">
        <is>
          <t>Aggregate the classified balance-sheet detail with the classification column.</t>
        </is>
      </c>
      <c r="E75" t="inlineStr">
        <is>
          <t>condensed.financial_liabilities.2024-08-31</t>
        </is>
      </c>
      <c r="F75" t="inlineStr">
        <is>
          <t>accounting</t>
        </is>
      </c>
      <c r="G75" t="inlineStr">
        <is>
          <t>Condensed Financials</t>
        </is>
      </c>
      <c r="H75" t="inlineStr">
        <is>
          <t>E65</t>
        </is>
      </c>
      <c r="I75">
        <f>SUMIF($B$6:$B$41,"Financial Liability",F$6:F$41)</f>
        <v/>
      </c>
      <c r="J75" t="n">
        <v>350018</v>
      </c>
      <c r="K75" t="n">
        <v>0.01</v>
      </c>
      <c r="M75" t="inlineStr">
        <is>
          <t>Use SUMIF over the classification column for Financial Liability.</t>
        </is>
      </c>
      <c r="O75" t="inlineStr">
        <is>
          <t>pending</t>
        </is>
      </c>
      <c r="P75" t="inlineStr">
        <is>
          <t>financial_liabilities_agg</t>
        </is>
      </c>
      <c r="Q75" t="n">
        <v>15</v>
      </c>
      <c r="R75" t="n">
        <v>3</v>
      </c>
      <c r="S75" t="inlineStr">
        <is>
          <t>2024-08-31</t>
        </is>
      </c>
    </row>
    <row r="76">
      <c r="A76" t="inlineStr">
        <is>
          <t>financial_liabilities_agg__20250831</t>
        </is>
      </c>
      <c r="B76" t="n">
        <v>75</v>
      </c>
      <c r="C76" t="inlineStr">
        <is>
          <t>Financial liabilities</t>
        </is>
      </c>
      <c r="D76" t="inlineStr">
        <is>
          <t>Aggregate the classified balance-sheet detail with the classification column.</t>
        </is>
      </c>
      <c r="E76" t="inlineStr">
        <is>
          <t>condensed.financial_liabilities.2025-08-31</t>
        </is>
      </c>
      <c r="F76" t="inlineStr">
        <is>
          <t>accounting</t>
        </is>
      </c>
      <c r="G76" t="inlineStr">
        <is>
          <t>Condensed Financials</t>
        </is>
      </c>
      <c r="H76" t="inlineStr">
        <is>
          <t>F65</t>
        </is>
      </c>
      <c r="I76">
        <f>SUMIF($B$6:$B$41,"Financial Liability",G$6:G$41)</f>
        <v/>
      </c>
      <c r="J76" t="n">
        <v>323373</v>
      </c>
      <c r="K76" t="n">
        <v>0.01</v>
      </c>
      <c r="M76" t="inlineStr">
        <is>
          <t>Use SUMIF over the classification column for Financial Liability.</t>
        </is>
      </c>
      <c r="O76" t="inlineStr">
        <is>
          <t>pending</t>
        </is>
      </c>
      <c r="P76" t="inlineStr">
        <is>
          <t>financial_liabilities_agg</t>
        </is>
      </c>
      <c r="Q76" t="n">
        <v>15</v>
      </c>
      <c r="R76" t="n">
        <v>4</v>
      </c>
      <c r="S76" t="inlineStr">
        <is>
          <t>2025-08-31</t>
        </is>
      </c>
    </row>
    <row r="77">
      <c r="A77" t="inlineStr">
        <is>
          <t>net_debt__20210831</t>
        </is>
      </c>
      <c r="B77" t="n">
        <v>76</v>
      </c>
      <c r="C77" t="inlineStr">
        <is>
          <t>Net Debt</t>
        </is>
      </c>
      <c r="D77" t="inlineStr">
        <is>
          <t>Financial liabilities minus financial assets.</t>
        </is>
      </c>
      <c r="E77" t="inlineStr">
        <is>
          <t>condensed.net_debt.2021-08-31</t>
        </is>
      </c>
      <c r="F77" t="inlineStr">
        <is>
          <t>accounting</t>
        </is>
      </c>
      <c r="G77" t="inlineStr">
        <is>
          <t>Condensed Financials</t>
        </is>
      </c>
      <c r="H77" t="inlineStr">
        <is>
          <t>B66</t>
        </is>
      </c>
      <c r="I77">
        <f>B65-B64</f>
        <v/>
      </c>
      <c r="J77" t="n">
        <v>-871367</v>
      </c>
      <c r="K77" t="n">
        <v>0.01</v>
      </c>
      <c r="L77" t="inlineStr">
        <is>
          <t>financial_assets_agg__20210831,financial_liabilities_agg__20210831</t>
        </is>
      </c>
      <c r="M77" t="inlineStr">
        <is>
          <t>Net Debt = SUMIF(Financial Liability) − SUMIF(Financial Asset).|Positive net debt means the firm carries net financial obligations.</t>
        </is>
      </c>
      <c r="O77" t="inlineStr">
        <is>
          <t>pending</t>
        </is>
      </c>
      <c r="P77" t="inlineStr">
        <is>
          <t>net_debt</t>
        </is>
      </c>
      <c r="Q77" t="n">
        <v>16</v>
      </c>
      <c r="R77" t="n">
        <v>0</v>
      </c>
      <c r="S77" t="inlineStr">
        <is>
          <t>2021-08-31</t>
        </is>
      </c>
    </row>
    <row r="78">
      <c r="A78" t="inlineStr">
        <is>
          <t>net_debt__20220831</t>
        </is>
      </c>
      <c r="B78" t="n">
        <v>77</v>
      </c>
      <c r="C78" t="inlineStr">
        <is>
          <t>Net Debt</t>
        </is>
      </c>
      <c r="D78" t="inlineStr">
        <is>
          <t>Financial liabilities minus financial assets.</t>
        </is>
      </c>
      <c r="E78" t="inlineStr">
        <is>
          <t>condensed.net_debt.2022-08-31</t>
        </is>
      </c>
      <c r="F78" t="inlineStr">
        <is>
          <t>accounting</t>
        </is>
      </c>
      <c r="G78" t="inlineStr">
        <is>
          <t>Condensed Financials</t>
        </is>
      </c>
      <c r="H78" t="inlineStr">
        <is>
          <t>C66</t>
        </is>
      </c>
      <c r="I78">
        <f>C65-C64</f>
        <v/>
      </c>
      <c r="J78" t="n">
        <v>-1453004</v>
      </c>
      <c r="K78" t="n">
        <v>0.01</v>
      </c>
      <c r="L78" t="inlineStr">
        <is>
          <t>financial_assets_agg__20220831,financial_liabilities_agg__20220831</t>
        </is>
      </c>
      <c r="M78" t="inlineStr">
        <is>
          <t>Net Debt = SUMIF(Financial Liability) − SUMIF(Financial Asset).|Positive net debt means the firm carries net financial obligations.</t>
        </is>
      </c>
      <c r="O78" t="inlineStr">
        <is>
          <t>pending</t>
        </is>
      </c>
      <c r="P78" t="inlineStr">
        <is>
          <t>net_debt</t>
        </is>
      </c>
      <c r="Q78" t="n">
        <v>16</v>
      </c>
      <c r="R78" t="n">
        <v>1</v>
      </c>
      <c r="S78" t="inlineStr">
        <is>
          <t>2022-08-31</t>
        </is>
      </c>
    </row>
    <row r="79">
      <c r="A79" t="inlineStr">
        <is>
          <t>net_debt__20230831</t>
        </is>
      </c>
      <c r="B79" t="n">
        <v>78</v>
      </c>
      <c r="C79" t="inlineStr">
        <is>
          <t>Net Debt</t>
        </is>
      </c>
      <c r="D79" t="inlineStr">
        <is>
          <t>Financial liabilities minus financial assets.</t>
        </is>
      </c>
      <c r="E79" t="inlineStr">
        <is>
          <t>condensed.net_debt.2023-08-31</t>
        </is>
      </c>
      <c r="F79" t="inlineStr">
        <is>
          <t>accounting</t>
        </is>
      </c>
      <c r="G79" t="inlineStr">
        <is>
          <t>Condensed Financials</t>
        </is>
      </c>
      <c r="H79" t="inlineStr">
        <is>
          <t>D66</t>
        </is>
      </c>
      <c r="I79">
        <f>D65-D64</f>
        <v/>
      </c>
      <c r="J79" t="n">
        <v>-1658098</v>
      </c>
      <c r="K79" t="n">
        <v>0.01</v>
      </c>
      <c r="L79" t="inlineStr">
        <is>
          <t>financial_assets_agg__20230831,financial_liabilities_agg__20230831</t>
        </is>
      </c>
      <c r="M79" t="inlineStr">
        <is>
          <t>Net Debt = SUMIF(Financial Liability) − SUMIF(Financial Asset).|Positive net debt means the firm carries net financial obligations.</t>
        </is>
      </c>
      <c r="O79" t="inlineStr">
        <is>
          <t>pending</t>
        </is>
      </c>
      <c r="P79" t="inlineStr">
        <is>
          <t>net_debt</t>
        </is>
      </c>
      <c r="Q79" t="n">
        <v>16</v>
      </c>
      <c r="R79" t="n">
        <v>2</v>
      </c>
      <c r="S79" t="inlineStr">
        <is>
          <t>2023-08-31</t>
        </is>
      </c>
    </row>
    <row r="80">
      <c r="A80" t="inlineStr">
        <is>
          <t>net_debt__20240831</t>
        </is>
      </c>
      <c r="B80" t="n">
        <v>79</v>
      </c>
      <c r="C80" t="inlineStr">
        <is>
          <t>Net Debt</t>
        </is>
      </c>
      <c r="D80" t="inlineStr">
        <is>
          <t>Financial liabilities minus financial assets.</t>
        </is>
      </c>
      <c r="E80" t="inlineStr">
        <is>
          <t>condensed.net_debt.2024-08-31</t>
        </is>
      </c>
      <c r="F80" t="inlineStr">
        <is>
          <t>accounting</t>
        </is>
      </c>
      <c r="G80" t="inlineStr">
        <is>
          <t>Condensed Financials</t>
        </is>
      </c>
      <c r="H80" t="inlineStr">
        <is>
          <t>E66</t>
        </is>
      </c>
      <c r="I80">
        <f>E65-E64</f>
        <v/>
      </c>
      <c r="J80" t="n">
        <v>-1829051</v>
      </c>
      <c r="K80" t="n">
        <v>0.01</v>
      </c>
      <c r="L80" t="inlineStr">
        <is>
          <t>financial_assets_agg__20240831,financial_liabilities_agg__20240831</t>
        </is>
      </c>
      <c r="M80" t="inlineStr">
        <is>
          <t>Net Debt = SUMIF(Financial Liability) − SUMIF(Financial Asset).|Positive net debt means the firm carries net financial obligations.</t>
        </is>
      </c>
      <c r="O80" t="inlineStr">
        <is>
          <t>pending</t>
        </is>
      </c>
      <c r="P80" t="inlineStr">
        <is>
          <t>net_debt</t>
        </is>
      </c>
      <c r="Q80" t="n">
        <v>16</v>
      </c>
      <c r="R80" t="n">
        <v>3</v>
      </c>
      <c r="S80" t="inlineStr">
        <is>
          <t>2024-08-31</t>
        </is>
      </c>
    </row>
    <row r="81">
      <c r="A81" t="inlineStr">
        <is>
          <t>net_debt__20250831</t>
        </is>
      </c>
      <c r="B81" t="n">
        <v>80</v>
      </c>
      <c r="C81" t="inlineStr">
        <is>
          <t>Net Debt</t>
        </is>
      </c>
      <c r="D81" t="inlineStr">
        <is>
          <t>Financial liabilities minus financial assets.</t>
        </is>
      </c>
      <c r="E81" t="inlineStr">
        <is>
          <t>condensed.net_debt.2025-08-31</t>
        </is>
      </c>
      <c r="F81" t="inlineStr">
        <is>
          <t>accounting</t>
        </is>
      </c>
      <c r="G81" t="inlineStr">
        <is>
          <t>Condensed Financials</t>
        </is>
      </c>
      <c r="H81" t="inlineStr">
        <is>
          <t>F66</t>
        </is>
      </c>
      <c r="I81">
        <f>F65-F64</f>
        <v/>
      </c>
      <c r="J81" t="n">
        <v>-1910690</v>
      </c>
      <c r="K81" t="n">
        <v>0.01</v>
      </c>
      <c r="L81" t="inlineStr">
        <is>
          <t>financial_assets_agg__20250831,financial_liabilities_agg__20250831</t>
        </is>
      </c>
      <c r="M81" t="inlineStr">
        <is>
          <t>Net Debt = SUMIF(Financial Liability) − SUMIF(Financial Asset).|Positive net debt means the firm carries net financial obligations.</t>
        </is>
      </c>
      <c r="O81" t="inlineStr">
        <is>
          <t>pending</t>
        </is>
      </c>
      <c r="P81" t="inlineStr">
        <is>
          <t>net_debt</t>
        </is>
      </c>
      <c r="Q81" t="n">
        <v>16</v>
      </c>
      <c r="R81" t="n">
        <v>4</v>
      </c>
      <c r="S81" t="inlineStr">
        <is>
          <t>2025-08-31</t>
        </is>
      </c>
    </row>
    <row r="82">
      <c r="A82" t="inlineStr">
        <is>
          <t>equity_reformulated_fy__20210831</t>
        </is>
      </c>
      <c r="B82" t="n">
        <v>81</v>
      </c>
      <c r="C82" t="inlineStr">
        <is>
          <t>Reformulated equity</t>
        </is>
      </c>
      <c r="D82" t="inlineStr">
        <is>
          <t>Use the operating/financing identity linking NOA, Net Debt, and Equity.</t>
        </is>
      </c>
      <c r="E82" t="inlineStr">
        <is>
          <t>condensed.equity.2021-08-31</t>
        </is>
      </c>
      <c r="F82" t="inlineStr">
        <is>
          <t>accounting</t>
        </is>
      </c>
      <c r="G82" t="inlineStr">
        <is>
          <t>Condensed Financials</t>
        </is>
      </c>
      <c r="H82" t="inlineStr">
        <is>
          <t>B67</t>
        </is>
      </c>
      <c r="I82">
        <f>B63-B66</f>
        <v/>
      </c>
      <c r="J82" t="n">
        <v>1162300</v>
      </c>
      <c r="K82" t="n">
        <v>0.01</v>
      </c>
      <c r="L82" t="inlineStr">
        <is>
          <t>noa_agg__20210831,net_debt__20210831</t>
        </is>
      </c>
      <c r="M82" t="inlineStr">
        <is>
          <t>Reformulated Equity = NOA − Net Debt.|This identity must reconcile to reported equity within tolerance.</t>
        </is>
      </c>
      <c r="O82" t="inlineStr">
        <is>
          <t>pending</t>
        </is>
      </c>
      <c r="P82" t="inlineStr">
        <is>
          <t>equity_reformulated_fy</t>
        </is>
      </c>
      <c r="Q82" t="n">
        <v>17</v>
      </c>
      <c r="R82" t="n">
        <v>0</v>
      </c>
      <c r="S82" t="inlineStr">
        <is>
          <t>2021-08-31</t>
        </is>
      </c>
    </row>
    <row r="83">
      <c r="A83" t="inlineStr">
        <is>
          <t>equity_reformulated_fy__20220831</t>
        </is>
      </c>
      <c r="B83" t="n">
        <v>82</v>
      </c>
      <c r="C83" t="inlineStr">
        <is>
          <t>Reformulated equity</t>
        </is>
      </c>
      <c r="D83" t="inlineStr">
        <is>
          <t>Use the operating/financing identity linking NOA, Net Debt, and Equity.</t>
        </is>
      </c>
      <c r="E83" t="inlineStr">
        <is>
          <t>condensed.equity.2022-08-31</t>
        </is>
      </c>
      <c r="F83" t="inlineStr">
        <is>
          <t>accounting</t>
        </is>
      </c>
      <c r="G83" t="inlineStr">
        <is>
          <t>Condensed Financials</t>
        </is>
      </c>
      <c r="H83" t="inlineStr">
        <is>
          <t>C67</t>
        </is>
      </c>
      <c r="I83">
        <f>C63-C66</f>
        <v/>
      </c>
      <c r="J83" t="n">
        <v>1615399</v>
      </c>
      <c r="K83" t="n">
        <v>0.01</v>
      </c>
      <c r="L83" t="inlineStr">
        <is>
          <t>noa_agg__20220831,net_debt__20220831</t>
        </is>
      </c>
      <c r="M83" t="inlineStr">
        <is>
          <t>Reformulated Equity = NOA − Net Debt.|This identity must reconcile to reported equity within tolerance.</t>
        </is>
      </c>
      <c r="O83" t="inlineStr">
        <is>
          <t>pending</t>
        </is>
      </c>
      <c r="P83" t="inlineStr">
        <is>
          <t>equity_reformulated_fy</t>
        </is>
      </c>
      <c r="Q83" t="n">
        <v>17</v>
      </c>
      <c r="R83" t="n">
        <v>1</v>
      </c>
      <c r="S83" t="inlineStr">
        <is>
          <t>2022-08-31</t>
        </is>
      </c>
    </row>
    <row r="84">
      <c r="A84" t="inlineStr">
        <is>
          <t>equity_reformulated_fy__20230831</t>
        </is>
      </c>
      <c r="B84" t="n">
        <v>83</v>
      </c>
      <c r="C84" t="inlineStr">
        <is>
          <t>Reformulated equity</t>
        </is>
      </c>
      <c r="D84" t="inlineStr">
        <is>
          <t>Use the operating/financing identity linking NOA, Net Debt, and Equity.</t>
        </is>
      </c>
      <c r="E84" t="inlineStr">
        <is>
          <t>condensed.equity.2023-08-31</t>
        </is>
      </c>
      <c r="F84" t="inlineStr">
        <is>
          <t>accounting</t>
        </is>
      </c>
      <c r="G84" t="inlineStr">
        <is>
          <t>Condensed Financials</t>
        </is>
      </c>
      <c r="H84" t="inlineStr">
        <is>
          <t>D67</t>
        </is>
      </c>
      <c r="I84">
        <f>D63-D66</f>
        <v/>
      </c>
      <c r="J84" t="n">
        <v>1873359</v>
      </c>
      <c r="K84" t="n">
        <v>0.01</v>
      </c>
      <c r="L84" t="inlineStr">
        <is>
          <t>noa_agg__20230831,net_debt__20230831</t>
        </is>
      </c>
      <c r="M84" t="inlineStr">
        <is>
          <t>Reformulated Equity = NOA − Net Debt.|This identity must reconcile to reported equity within tolerance.</t>
        </is>
      </c>
      <c r="O84" t="inlineStr">
        <is>
          <t>pending</t>
        </is>
      </c>
      <c r="P84" t="inlineStr">
        <is>
          <t>equity_reformulated_fy</t>
        </is>
      </c>
      <c r="Q84" t="n">
        <v>17</v>
      </c>
      <c r="R84" t="n">
        <v>2</v>
      </c>
      <c r="S84" t="inlineStr">
        <is>
          <t>2023-08-31</t>
        </is>
      </c>
    </row>
    <row r="85">
      <c r="A85" t="inlineStr">
        <is>
          <t>equity_reformulated_fy__20240831</t>
        </is>
      </c>
      <c r="B85" t="n">
        <v>84</v>
      </c>
      <c r="C85" t="inlineStr">
        <is>
          <t>Reformulated equity</t>
        </is>
      </c>
      <c r="D85" t="inlineStr">
        <is>
          <t>Use the operating/financing identity linking NOA, Net Debt, and Equity.</t>
        </is>
      </c>
      <c r="E85" t="inlineStr">
        <is>
          <t>condensed.equity.2024-08-31</t>
        </is>
      </c>
      <c r="F85" t="inlineStr">
        <is>
          <t>accounting</t>
        </is>
      </c>
      <c r="G85" t="inlineStr">
        <is>
          <t>Condensed Financials</t>
        </is>
      </c>
      <c r="H85" t="inlineStr">
        <is>
          <t>E67</t>
        </is>
      </c>
      <c r="I85">
        <f>E63-E66</f>
        <v/>
      </c>
      <c r="J85" t="n">
        <v>2068253</v>
      </c>
      <c r="K85" t="n">
        <v>0.01</v>
      </c>
      <c r="L85" t="inlineStr">
        <is>
          <t>noa_agg__20240831,net_debt__20240831</t>
        </is>
      </c>
      <c r="M85" t="inlineStr">
        <is>
          <t>Reformulated Equity = NOA − Net Debt.|This identity must reconcile to reported equity within tolerance.</t>
        </is>
      </c>
      <c r="O85" t="inlineStr">
        <is>
          <t>pending</t>
        </is>
      </c>
      <c r="P85" t="inlineStr">
        <is>
          <t>equity_reformulated_fy</t>
        </is>
      </c>
      <c r="Q85" t="n">
        <v>17</v>
      </c>
      <c r="R85" t="n">
        <v>3</v>
      </c>
      <c r="S85" t="inlineStr">
        <is>
          <t>2024-08-31</t>
        </is>
      </c>
    </row>
    <row r="86">
      <c r="A86" t="inlineStr">
        <is>
          <t>equity_reformulated_fy__20250831</t>
        </is>
      </c>
      <c r="B86" t="n">
        <v>85</v>
      </c>
      <c r="C86" t="inlineStr">
        <is>
          <t>Reformulated equity</t>
        </is>
      </c>
      <c r="D86" t="inlineStr">
        <is>
          <t>Use the operating/financing identity linking NOA, Net Debt, and Equity.</t>
        </is>
      </c>
      <c r="E86" t="inlineStr">
        <is>
          <t>condensed.equity.2025-08-31</t>
        </is>
      </c>
      <c r="F86" t="inlineStr">
        <is>
          <t>accounting</t>
        </is>
      </c>
      <c r="G86" t="inlineStr">
        <is>
          <t>Condensed Financials</t>
        </is>
      </c>
      <c r="H86" t="inlineStr">
        <is>
          <t>F67</t>
        </is>
      </c>
      <c r="I86">
        <f>F63-F66</f>
        <v/>
      </c>
      <c r="J86" t="n">
        <v>2327499</v>
      </c>
      <c r="K86" t="n">
        <v>0.01</v>
      </c>
      <c r="L86" t="inlineStr">
        <is>
          <t>noa_agg__20250831,net_debt__20250831</t>
        </is>
      </c>
      <c r="M86" t="inlineStr">
        <is>
          <t>Reformulated Equity = NOA − Net Debt.|This identity must reconcile to reported equity within tolerance.</t>
        </is>
      </c>
      <c r="O86" t="inlineStr">
        <is>
          <t>pending</t>
        </is>
      </c>
      <c r="P86" t="inlineStr">
        <is>
          <t>equity_reformulated_fy</t>
        </is>
      </c>
      <c r="Q86" t="n">
        <v>17</v>
      </c>
      <c r="R86" t="n">
        <v>4</v>
      </c>
      <c r="S86" t="inlineStr">
        <is>
          <t>2025-08-31</t>
        </is>
      </c>
    </row>
    <row r="87">
      <c r="A87" t="inlineStr">
        <is>
          <t>sales_growth__20220831</t>
        </is>
      </c>
      <c r="B87" t="n">
        <v>86</v>
      </c>
      <c r="C87" t="inlineStr">
        <is>
          <t>Sales Growth</t>
        </is>
      </c>
      <c r="D87" t="inlineStr">
        <is>
          <t>Current Revenue relative to the immediately preceding fiscal year.</t>
        </is>
      </c>
      <c r="E87" t="inlineStr">
        <is>
          <t>dupont.sales_growth.2022-08-31</t>
        </is>
      </c>
      <c r="F87" t="inlineStr">
        <is>
          <t>dupont</t>
        </is>
      </c>
      <c r="G87" t="inlineStr">
        <is>
          <t>ALT DuPont</t>
        </is>
      </c>
      <c r="H87" t="inlineStr">
        <is>
          <t>C5</t>
        </is>
      </c>
      <c r="I87">
        <f>IF('Condensed Financials'!B44=0,NA(),'Condensed Financials'!C44/'Condensed Financials'!B44-1)</f>
        <v/>
      </c>
      <c r="J87" t="n">
        <v>0.07882354926788282</v>
      </c>
      <c r="K87" t="n">
        <v>0.01</v>
      </c>
      <c r="L87" t="inlineStr">
        <is>
          <t>revenue_link__20220831,revenue_link__20210831</t>
        </is>
      </c>
      <c r="M87" t="inlineStr">
        <is>
          <t>Sales Growth = Current Revenue / Prior Revenue − 1.|A zero denominator makes this ratio undefined (#N/A), not 0%.</t>
        </is>
      </c>
      <c r="O87" t="inlineStr">
        <is>
          <t>pending</t>
        </is>
      </c>
      <c r="P87" t="inlineStr">
        <is>
          <t>sales_growth</t>
        </is>
      </c>
      <c r="Q87" t="n">
        <v>18</v>
      </c>
      <c r="R87" t="n">
        <v>1</v>
      </c>
      <c r="S87" t="inlineStr">
        <is>
          <t>2022-08-31</t>
        </is>
      </c>
    </row>
    <row r="88">
      <c r="A88" t="inlineStr">
        <is>
          <t>sales_growth__20230831</t>
        </is>
      </c>
      <c r="B88" t="n">
        <v>87</v>
      </c>
      <c r="C88" t="inlineStr">
        <is>
          <t>Sales Growth</t>
        </is>
      </c>
      <c r="D88" t="inlineStr">
        <is>
          <t>Current Revenue relative to the immediately preceding fiscal year.</t>
        </is>
      </c>
      <c r="E88" t="inlineStr">
        <is>
          <t>dupont.sales_growth.2023-08-31</t>
        </is>
      </c>
      <c r="F88" t="inlineStr">
        <is>
          <t>dupont</t>
        </is>
      </c>
      <c r="G88" t="inlineStr">
        <is>
          <t>ALT DuPont</t>
        </is>
      </c>
      <c r="H88" t="inlineStr">
        <is>
          <t>D5</t>
        </is>
      </c>
      <c r="I88">
        <f>IF('Condensed Financials'!C44=0,NA(),'Condensed Financials'!D44/'Condensed Financials'!C44-1)</f>
        <v/>
      </c>
      <c r="J88" t="n">
        <v>0.2022643736403371</v>
      </c>
      <c r="K88" t="n">
        <v>0.01</v>
      </c>
      <c r="L88" t="inlineStr">
        <is>
          <t>revenue_link__20230831,revenue_link__20220831</t>
        </is>
      </c>
      <c r="M88" t="inlineStr">
        <is>
          <t>Sales Growth = Current Revenue / Prior Revenue − 1.|A zero denominator makes this ratio undefined (#N/A), not 0%.</t>
        </is>
      </c>
      <c r="O88" t="inlineStr">
        <is>
          <t>pending</t>
        </is>
      </c>
      <c r="P88" t="inlineStr">
        <is>
          <t>sales_growth</t>
        </is>
      </c>
      <c r="Q88" t="n">
        <v>18</v>
      </c>
      <c r="R88" t="n">
        <v>2</v>
      </c>
      <c r="S88" t="inlineStr">
        <is>
          <t>2023-08-31</t>
        </is>
      </c>
    </row>
    <row r="89">
      <c r="A89" t="inlineStr">
        <is>
          <t>sales_growth__20240831</t>
        </is>
      </c>
      <c r="B89" t="n">
        <v>88</v>
      </c>
      <c r="C89" t="inlineStr">
        <is>
          <t>Sales Growth</t>
        </is>
      </c>
      <c r="D89" t="inlineStr">
        <is>
          <t>Current Revenue relative to the immediately preceding fiscal year.</t>
        </is>
      </c>
      <c r="E89" t="inlineStr">
        <is>
          <t>dupont.sales_growth.2024-08-31</t>
        </is>
      </c>
      <c r="F89" t="inlineStr">
        <is>
          <t>dupont</t>
        </is>
      </c>
      <c r="G89" t="inlineStr">
        <is>
          <t>ALT DuPont</t>
        </is>
      </c>
      <c r="H89" t="inlineStr">
        <is>
          <t>E5</t>
        </is>
      </c>
      <c r="I89">
        <f>IF('Condensed Financials'!D44=0,NA(),'Condensed Financials'!E44/'Condensed Financials'!D44-1)</f>
        <v/>
      </c>
      <c r="J89" t="n">
        <v>0.1219129047404408</v>
      </c>
      <c r="K89" t="n">
        <v>0.01</v>
      </c>
      <c r="L89" t="inlineStr">
        <is>
          <t>revenue_link__20240831,revenue_link__20230831</t>
        </is>
      </c>
      <c r="M89" t="inlineStr">
        <is>
          <t>Sales Growth = Current Revenue / Prior Revenue − 1.|A zero denominator makes this ratio undefined (#N/A), not 0%.</t>
        </is>
      </c>
      <c r="O89" t="inlineStr">
        <is>
          <t>pending</t>
        </is>
      </c>
      <c r="P89" t="inlineStr">
        <is>
          <t>sales_growth</t>
        </is>
      </c>
      <c r="Q89" t="n">
        <v>18</v>
      </c>
      <c r="R89" t="n">
        <v>3</v>
      </c>
      <c r="S89" t="inlineStr">
        <is>
          <t>2024-08-31</t>
        </is>
      </c>
    </row>
    <row r="90">
      <c r="A90" t="inlineStr">
        <is>
          <t>sales_growth__20250831</t>
        </is>
      </c>
      <c r="B90" t="n">
        <v>89</v>
      </c>
      <c r="C90" t="inlineStr">
        <is>
          <t>Sales Growth</t>
        </is>
      </c>
      <c r="D90" t="inlineStr">
        <is>
          <t>Current Revenue relative to the immediately preceding fiscal year.</t>
        </is>
      </c>
      <c r="E90" t="inlineStr">
        <is>
          <t>dupont.sales_growth.2025-08-31</t>
        </is>
      </c>
      <c r="F90" t="inlineStr">
        <is>
          <t>dupont</t>
        </is>
      </c>
      <c r="G90" t="inlineStr">
        <is>
          <t>ALT DuPont</t>
        </is>
      </c>
      <c r="H90" t="inlineStr">
        <is>
          <t>F5</t>
        </is>
      </c>
      <c r="I90">
        <f>IF('Condensed Financials'!E44=0,NA(),'Condensed Financials'!F44/'Condensed Financials'!E44-1)</f>
        <v/>
      </c>
      <c r="J90" t="n">
        <v>0.09559235732815785</v>
      </c>
      <c r="K90" t="n">
        <v>0.01</v>
      </c>
      <c r="L90" t="inlineStr">
        <is>
          <t>revenue_link__20250831,revenue_link__20240831</t>
        </is>
      </c>
      <c r="M90" t="inlineStr">
        <is>
          <t>Sales Growth = Current Revenue / Prior Revenue − 1.|A zero denominator makes this ratio undefined (#N/A), not 0%.</t>
        </is>
      </c>
      <c r="O90" t="inlineStr">
        <is>
          <t>pending</t>
        </is>
      </c>
      <c r="P90" t="inlineStr">
        <is>
          <t>sales_growth</t>
        </is>
      </c>
      <c r="Q90" t="n">
        <v>18</v>
      </c>
      <c r="R90" t="n">
        <v>4</v>
      </c>
      <c r="S90" t="inlineStr">
        <is>
          <t>2025-08-31</t>
        </is>
      </c>
    </row>
    <row r="91">
      <c r="A91" t="inlineStr">
        <is>
          <t>nopat_margin__20210831</t>
        </is>
      </c>
      <c r="B91" t="n">
        <v>90</v>
      </c>
      <c r="C91" t="inlineStr">
        <is>
          <t>NOPAT Margin</t>
        </is>
      </c>
      <c r="D91" t="inlineStr">
        <is>
          <t>NOPAT divided by Revenue for the same fiscal period.</t>
        </is>
      </c>
      <c r="E91" t="inlineStr">
        <is>
          <t>dupont.nopat_margin.2021-08-31</t>
        </is>
      </c>
      <c r="F91" t="inlineStr">
        <is>
          <t>dupont</t>
        </is>
      </c>
      <c r="G91" t="inlineStr">
        <is>
          <t>ALT DuPont</t>
        </is>
      </c>
      <c r="H91" t="inlineStr">
        <is>
          <t>B6</t>
        </is>
      </c>
      <c r="I91">
        <f>IF('Condensed Financials'!B44=0,NA(),'Condensed Financials'!B54/'Condensed Financials'!B44)</f>
        <v/>
      </c>
      <c r="J91" t="n">
        <v>0.07564008583244596</v>
      </c>
      <c r="K91" t="n">
        <v>0.01</v>
      </c>
      <c r="L91" t="inlineStr">
        <is>
          <t>nopat_fy__20210831,revenue_link__20210831</t>
        </is>
      </c>
      <c r="M91" t="inlineStr">
        <is>
          <t>NOPAT Margin = NOPAT / Revenue.|A zero denominator makes this ratio undefined (#N/A), not 0%.</t>
        </is>
      </c>
      <c r="O91" t="inlineStr">
        <is>
          <t>pending</t>
        </is>
      </c>
      <c r="P91" t="inlineStr">
        <is>
          <t>nopat_margin</t>
        </is>
      </c>
      <c r="Q91" t="n">
        <v>19</v>
      </c>
      <c r="R91" t="n">
        <v>0</v>
      </c>
      <c r="S91" t="inlineStr">
        <is>
          <t>2021-08-31</t>
        </is>
      </c>
    </row>
    <row r="92">
      <c r="A92" t="inlineStr">
        <is>
          <t>nopat_margin__20220831</t>
        </is>
      </c>
      <c r="B92" t="n">
        <v>91</v>
      </c>
      <c r="C92" t="inlineStr">
        <is>
          <t>NOPAT Margin</t>
        </is>
      </c>
      <c r="D92" t="inlineStr">
        <is>
          <t>NOPAT divided by Revenue for the same fiscal period.</t>
        </is>
      </c>
      <c r="E92" t="inlineStr">
        <is>
          <t>dupont.nopat_margin.2022-08-31</t>
        </is>
      </c>
      <c r="F92" t="inlineStr">
        <is>
          <t>dupont</t>
        </is>
      </c>
      <c r="G92" t="inlineStr">
        <is>
          <t>ALT DuPont</t>
        </is>
      </c>
      <c r="H92" t="inlineStr">
        <is>
          <t>C6</t>
        </is>
      </c>
      <c r="I92">
        <f>IF('Condensed Financials'!C44=0,NA(),'Condensed Financials'!C54/'Condensed Financials'!C44)</f>
        <v/>
      </c>
      <c r="J92" t="n">
        <v>0.08753579844654258</v>
      </c>
      <c r="K92" t="n">
        <v>0.01</v>
      </c>
      <c r="L92" t="inlineStr">
        <is>
          <t>nopat_fy__20220831,revenue_link__20220831</t>
        </is>
      </c>
      <c r="M92" t="inlineStr">
        <is>
          <t>NOPAT Margin = NOPAT / Revenue.|A zero denominator makes this ratio undefined (#N/A), not 0%.</t>
        </is>
      </c>
      <c r="O92" t="inlineStr">
        <is>
          <t>pending</t>
        </is>
      </c>
      <c r="P92" t="inlineStr">
        <is>
          <t>nopat_margin</t>
        </is>
      </c>
      <c r="Q92" t="n">
        <v>19</v>
      </c>
      <c r="R92" t="n">
        <v>1</v>
      </c>
      <c r="S92" t="inlineStr">
        <is>
          <t>2022-08-31</t>
        </is>
      </c>
    </row>
    <row r="93">
      <c r="A93" t="inlineStr">
        <is>
          <t>nopat_margin__20230831</t>
        </is>
      </c>
      <c r="B93" t="n">
        <v>92</v>
      </c>
      <c r="C93" t="inlineStr">
        <is>
          <t>NOPAT Margin</t>
        </is>
      </c>
      <c r="D93" t="inlineStr">
        <is>
          <t>NOPAT divided by Revenue for the same fiscal period.</t>
        </is>
      </c>
      <c r="E93" t="inlineStr">
        <is>
          <t>dupont.nopat_margin.2023-08-31</t>
        </is>
      </c>
      <c r="F93" t="inlineStr">
        <is>
          <t>dupont</t>
        </is>
      </c>
      <c r="G93" t="inlineStr">
        <is>
          <t>ALT DuPont</t>
        </is>
      </c>
      <c r="H93" t="inlineStr">
        <is>
          <t>D6</t>
        </is>
      </c>
      <c r="I93">
        <f>IF('Condensed Financials'!D44=0,NA(),'Condensed Financials'!D54/'Condensed Financials'!D44)</f>
        <v/>
      </c>
      <c r="J93" t="n">
        <v>0.09778886263587104</v>
      </c>
      <c r="K93" t="n">
        <v>0.01</v>
      </c>
      <c r="L93" t="inlineStr">
        <is>
          <t>nopat_fy__20230831,revenue_link__20230831</t>
        </is>
      </c>
      <c r="M93" t="inlineStr">
        <is>
          <t>NOPAT Margin = NOPAT / Revenue.|A zero denominator makes this ratio undefined (#N/A), not 0%.</t>
        </is>
      </c>
      <c r="O93" t="inlineStr">
        <is>
          <t>pending</t>
        </is>
      </c>
      <c r="P93" t="inlineStr">
        <is>
          <t>nopat_margin</t>
        </is>
      </c>
      <c r="Q93" t="n">
        <v>19</v>
      </c>
      <c r="R93" t="n">
        <v>2</v>
      </c>
      <c r="S93" t="inlineStr">
        <is>
          <t>2023-08-31</t>
        </is>
      </c>
    </row>
    <row r="94">
      <c r="A94" t="inlineStr">
        <is>
          <t>nopat_margin__20240831</t>
        </is>
      </c>
      <c r="B94" t="n">
        <v>93</v>
      </c>
      <c r="C94" t="inlineStr">
        <is>
          <t>NOPAT Margin</t>
        </is>
      </c>
      <c r="D94" t="inlineStr">
        <is>
          <t>NOPAT divided by Revenue for the same fiscal period.</t>
        </is>
      </c>
      <c r="E94" t="inlineStr">
        <is>
          <t>dupont.nopat_margin.2024-08-31</t>
        </is>
      </c>
      <c r="F94" t="inlineStr">
        <is>
          <t>dupont</t>
        </is>
      </c>
      <c r="G94" t="inlineStr">
        <is>
          <t>ALT DuPont</t>
        </is>
      </c>
      <c r="H94" t="inlineStr">
        <is>
          <t>E6</t>
        </is>
      </c>
      <c r="I94">
        <f>IF('Condensed Financials'!E44=0,NA(),'Condensed Financials'!E54/'Condensed Financials'!E44)</f>
        <v/>
      </c>
      <c r="J94" t="n">
        <v>0.1125187507826967</v>
      </c>
      <c r="K94" t="n">
        <v>0.01</v>
      </c>
      <c r="L94" t="inlineStr">
        <is>
          <t>nopat_fy__20240831,revenue_link__20240831</t>
        </is>
      </c>
      <c r="M94" t="inlineStr">
        <is>
          <t>NOPAT Margin = NOPAT / Revenue.|A zero denominator makes this ratio undefined (#N/A), not 0%.</t>
        </is>
      </c>
      <c r="O94" t="inlineStr">
        <is>
          <t>pending</t>
        </is>
      </c>
      <c r="P94" t="inlineStr">
        <is>
          <t>nopat_margin</t>
        </is>
      </c>
      <c r="Q94" t="n">
        <v>19</v>
      </c>
      <c r="R94" t="n">
        <v>3</v>
      </c>
      <c r="S94" t="inlineStr">
        <is>
          <t>2024-08-31</t>
        </is>
      </c>
    </row>
    <row r="95">
      <c r="A95" t="inlineStr">
        <is>
          <t>nopat_margin__20250831</t>
        </is>
      </c>
      <c r="B95" t="n">
        <v>94</v>
      </c>
      <c r="C95" t="inlineStr">
        <is>
          <t>NOPAT Margin</t>
        </is>
      </c>
      <c r="D95" t="inlineStr">
        <is>
          <t>NOPAT divided by Revenue for the same fiscal period.</t>
        </is>
      </c>
      <c r="E95" t="inlineStr">
        <is>
          <t>dupont.nopat_margin.2025-08-31</t>
        </is>
      </c>
      <c r="F95" t="inlineStr">
        <is>
          <t>dupont</t>
        </is>
      </c>
      <c r="G95" t="inlineStr">
        <is>
          <t>ALT DuPont</t>
        </is>
      </c>
      <c r="H95" t="inlineStr">
        <is>
          <t>F6</t>
        </is>
      </c>
      <c r="I95">
        <f>IF('Condensed Financials'!F44=0,NA(),'Condensed Financials'!F54/'Condensed Financials'!F44)</f>
        <v/>
      </c>
      <c r="J95" t="n">
        <v>0.1153539013352666</v>
      </c>
      <c r="K95" t="n">
        <v>0.01</v>
      </c>
      <c r="L95" t="inlineStr">
        <is>
          <t>nopat_fy__20250831,revenue_link__20250831</t>
        </is>
      </c>
      <c r="M95" t="inlineStr">
        <is>
          <t>NOPAT Margin = NOPAT / Revenue.|A zero denominator makes this ratio undefined (#N/A), not 0%.</t>
        </is>
      </c>
      <c r="O95" t="inlineStr">
        <is>
          <t>pending</t>
        </is>
      </c>
      <c r="P95" t="inlineStr">
        <is>
          <t>nopat_margin</t>
        </is>
      </c>
      <c r="Q95" t="n">
        <v>19</v>
      </c>
      <c r="R95" t="n">
        <v>4</v>
      </c>
      <c r="S95" t="inlineStr">
        <is>
          <t>2025-08-31</t>
        </is>
      </c>
    </row>
    <row r="96">
      <c r="A96" t="inlineStr">
        <is>
          <t>rnoa__20220831</t>
        </is>
      </c>
      <c r="B96" t="n">
        <v>95</v>
      </c>
      <c r="C96" t="inlineStr">
        <is>
          <t>Return on Net Operating Assets (RNOA)</t>
        </is>
      </c>
      <c r="D96" t="inlineStr">
        <is>
          <t>NOPAT divided by average NOA.</t>
        </is>
      </c>
      <c r="E96" t="inlineStr">
        <is>
          <t>dupont.rnoa.2022-08-31</t>
        </is>
      </c>
      <c r="F96" t="inlineStr">
        <is>
          <t>dupont</t>
        </is>
      </c>
      <c r="G96" t="inlineStr">
        <is>
          <t>ALT DuPont</t>
        </is>
      </c>
      <c r="H96" t="inlineStr">
        <is>
          <t>C7</t>
        </is>
      </c>
      <c r="I96">
        <f>IF((('Condensed Financials'!C63+'Condensed Financials'!B63)/2)=0,NA(),'Condensed Financials'!C54/(('Condensed Financials'!C63+'Condensed Financials'!B63)/2))</f>
        <v/>
      </c>
      <c r="J96" t="n">
        <v>0.8886746531999125</v>
      </c>
      <c r="K96" t="n">
        <v>0.01</v>
      </c>
      <c r="L96" t="inlineStr">
        <is>
          <t>nopat_fy__20220831,noa_agg__20220831,noa_agg__20210831</t>
        </is>
      </c>
      <c r="M96" t="inlineStr">
        <is>
          <t>RNOA = NOPAT / Average NOA.|Average NOA = (Beginning NOA + Ending NOA) / 2.|A zero denominator makes this ratio undefined (#N/A), not 0%.</t>
        </is>
      </c>
      <c r="O96" t="inlineStr">
        <is>
          <t>pending</t>
        </is>
      </c>
      <c r="P96" t="inlineStr">
        <is>
          <t>rnoa</t>
        </is>
      </c>
      <c r="Q96" t="n">
        <v>20</v>
      </c>
      <c r="R96" t="n">
        <v>1</v>
      </c>
      <c r="S96" t="inlineStr">
        <is>
          <t>2022-08-31</t>
        </is>
      </c>
    </row>
    <row r="97">
      <c r="A97" t="inlineStr">
        <is>
          <t>rnoa__20230831</t>
        </is>
      </c>
      <c r="B97" t="n">
        <v>96</v>
      </c>
      <c r="C97" t="inlineStr">
        <is>
          <t>Return on Net Operating Assets (RNOA)</t>
        </is>
      </c>
      <c r="D97" t="inlineStr">
        <is>
          <t>NOPAT divided by average NOA.</t>
        </is>
      </c>
      <c r="E97" t="inlineStr">
        <is>
          <t>dupont.rnoa.2023-08-31</t>
        </is>
      </c>
      <c r="F97" t="inlineStr">
        <is>
          <t>dupont</t>
        </is>
      </c>
      <c r="G97" t="inlineStr">
        <is>
          <t>ALT DuPont</t>
        </is>
      </c>
      <c r="H97" t="inlineStr">
        <is>
          <t>D7</t>
        </is>
      </c>
      <c r="I97">
        <f>IF((('Condensed Financials'!D63+'Condensed Financials'!C63)/2)=0,NA(),'Condensed Financials'!D54/(('Condensed Financials'!D63+'Condensed Financials'!C63)/2))</f>
        <v/>
      </c>
      <c r="J97" t="n">
        <v>1.432724291139595</v>
      </c>
      <c r="K97" t="n">
        <v>0.01</v>
      </c>
      <c r="L97" t="inlineStr">
        <is>
          <t>nopat_fy__20230831,noa_agg__20230831,noa_agg__20220831</t>
        </is>
      </c>
      <c r="M97" t="inlineStr">
        <is>
          <t>RNOA = NOPAT / Average NOA.|Average NOA = (Beginning NOA + Ending NOA) / 2.|A zero denominator makes this ratio undefined (#N/A), not 0%.</t>
        </is>
      </c>
      <c r="O97" t="inlineStr">
        <is>
          <t>pending</t>
        </is>
      </c>
      <c r="P97" t="inlineStr">
        <is>
          <t>rnoa</t>
        </is>
      </c>
      <c r="Q97" t="n">
        <v>20</v>
      </c>
      <c r="R97" t="n">
        <v>2</v>
      </c>
      <c r="S97" t="inlineStr">
        <is>
          <t>2023-08-31</t>
        </is>
      </c>
    </row>
    <row r="98">
      <c r="A98" t="inlineStr">
        <is>
          <t>rnoa__20240831</t>
        </is>
      </c>
      <c r="B98" t="n">
        <v>97</v>
      </c>
      <c r="C98" t="inlineStr">
        <is>
          <t>Return on Net Operating Assets (RNOA)</t>
        </is>
      </c>
      <c r="D98" t="inlineStr">
        <is>
          <t>NOPAT divided by average NOA.</t>
        </is>
      </c>
      <c r="E98" t="inlineStr">
        <is>
          <t>dupont.rnoa.2024-08-31</t>
        </is>
      </c>
      <c r="F98" t="inlineStr">
        <is>
          <t>dupont</t>
        </is>
      </c>
      <c r="G98" t="inlineStr">
        <is>
          <t>ALT DuPont</t>
        </is>
      </c>
      <c r="H98" t="inlineStr">
        <is>
          <t>E7</t>
        </is>
      </c>
      <c r="I98">
        <f>IF((('Condensed Financials'!E63+'Condensed Financials'!D63)/2)=0,NA(),'Condensed Financials'!E54/(('Condensed Financials'!E63+'Condensed Financials'!D63)/2))</f>
        <v/>
      </c>
      <c r="J98" t="n">
        <v>1.536933696931817</v>
      </c>
      <c r="K98" t="n">
        <v>0.01</v>
      </c>
      <c r="L98" t="inlineStr">
        <is>
          <t>nopat_fy__20240831,noa_agg__20240831,noa_agg__20230831</t>
        </is>
      </c>
      <c r="M98" t="inlineStr">
        <is>
          <t>RNOA = NOPAT / Average NOA.|Average NOA = (Beginning NOA + Ending NOA) / 2.|A zero denominator makes this ratio undefined (#N/A), not 0%.</t>
        </is>
      </c>
      <c r="O98" t="inlineStr">
        <is>
          <t>pending</t>
        </is>
      </c>
      <c r="P98" t="inlineStr">
        <is>
          <t>rnoa</t>
        </is>
      </c>
      <c r="Q98" t="n">
        <v>20</v>
      </c>
      <c r="R98" t="n">
        <v>3</v>
      </c>
      <c r="S98" t="inlineStr">
        <is>
          <t>2024-08-31</t>
        </is>
      </c>
    </row>
    <row r="99">
      <c r="A99" t="inlineStr">
        <is>
          <t>rnoa__20250831</t>
        </is>
      </c>
      <c r="B99" t="n">
        <v>98</v>
      </c>
      <c r="C99" t="inlineStr">
        <is>
          <t>Return on Net Operating Assets (RNOA)</t>
        </is>
      </c>
      <c r="D99" t="inlineStr">
        <is>
          <t>NOPAT divided by average NOA.</t>
        </is>
      </c>
      <c r="E99" t="inlineStr">
        <is>
          <t>dupont.rnoa.2025-08-31</t>
        </is>
      </c>
      <c r="F99" t="inlineStr">
        <is>
          <t>dupont</t>
        </is>
      </c>
      <c r="G99" t="inlineStr">
        <is>
          <t>ALT DuPont</t>
        </is>
      </c>
      <c r="H99" t="inlineStr">
        <is>
          <t>F7</t>
        </is>
      </c>
      <c r="I99">
        <f>IF((('Condensed Financials'!F63+'Condensed Financials'!E63)/2)=0,NA(),'Condensed Financials'!F54/(('Condensed Financials'!F63+'Condensed Financials'!E63)/2))</f>
        <v/>
      </c>
      <c r="J99" t="n">
        <v>1.195911167016181</v>
      </c>
      <c r="K99" t="n">
        <v>0.01</v>
      </c>
      <c r="L99" t="inlineStr">
        <is>
          <t>nopat_fy__20250831,noa_agg__20250831,noa_agg__20240831</t>
        </is>
      </c>
      <c r="M99" t="inlineStr">
        <is>
          <t>RNOA = NOPAT / Average NOA.|Average NOA = (Beginning NOA + Ending NOA) / 2.|A zero denominator makes this ratio undefined (#N/A), not 0%.</t>
        </is>
      </c>
      <c r="O99" t="inlineStr">
        <is>
          <t>pending</t>
        </is>
      </c>
      <c r="P99" t="inlineStr">
        <is>
          <t>rnoa</t>
        </is>
      </c>
      <c r="Q99" t="n">
        <v>20</v>
      </c>
      <c r="R99" t="n">
        <v>4</v>
      </c>
      <c r="S99" t="inlineStr">
        <is>
          <t>2025-08-31</t>
        </is>
      </c>
    </row>
    <row r="100">
      <c r="A100" t="inlineStr">
        <is>
          <t>after_tax_cod__20220831</t>
        </is>
      </c>
      <c r="B100" t="n">
        <v>99</v>
      </c>
      <c r="C100" t="inlineStr">
        <is>
          <t>After-tax cost of debt</t>
        </is>
      </c>
      <c r="D100" t="inlineStr">
        <is>
          <t>Relate net interest after tax to average net debt.</t>
        </is>
      </c>
      <c r="E100" t="inlineStr">
        <is>
          <t>dupont.after_tax_cod.2022-08-31</t>
        </is>
      </c>
      <c r="F100" t="inlineStr">
        <is>
          <t>dupont</t>
        </is>
      </c>
      <c r="G100" t="inlineStr">
        <is>
          <t>ALT DuPont</t>
        </is>
      </c>
      <c r="H100" t="inlineStr">
        <is>
          <t>C8</t>
        </is>
      </c>
      <c r="I100">
        <f>IF((('Condensed Financials'!C66+'Condensed Financials'!B66)/2)=0,NA(),'Condensed Financials'!C53/(('Condensed Financials'!C66+'Condensed Financials'!B66)/2))</f>
        <v/>
      </c>
      <c r="J100" t="n">
        <v>0.07169203918573674</v>
      </c>
      <c r="K100" t="n">
        <v>0.01</v>
      </c>
      <c r="L100" t="inlineStr">
        <is>
          <t>net_interest_after_tax_fy__20220831,net_debt__20220831,net_debt__20210831</t>
        </is>
      </c>
      <c r="M100" t="inlineStr">
        <is>
          <t>After-tax CoD = Net Interest After Tax / Average Net Debt.|Do not apply the tax rate a second time.|A zero denominator makes this ratio undefined (#N/A), not 0%.</t>
        </is>
      </c>
      <c r="O100" t="inlineStr">
        <is>
          <t>pending</t>
        </is>
      </c>
      <c r="P100" t="inlineStr">
        <is>
          <t>after_tax_cod</t>
        </is>
      </c>
      <c r="Q100" t="n">
        <v>21</v>
      </c>
      <c r="R100" t="n">
        <v>1</v>
      </c>
      <c r="S100" t="inlineStr">
        <is>
          <t>2022-08-31</t>
        </is>
      </c>
    </row>
    <row r="101">
      <c r="A101" t="inlineStr">
        <is>
          <t>after_tax_cod__20230831</t>
        </is>
      </c>
      <c r="B101" t="n">
        <v>100</v>
      </c>
      <c r="C101" t="inlineStr">
        <is>
          <t>After-tax cost of debt</t>
        </is>
      </c>
      <c r="D101" t="inlineStr">
        <is>
          <t>Relate net interest after tax to average net debt.</t>
        </is>
      </c>
      <c r="E101" t="inlineStr">
        <is>
          <t>dupont.after_tax_cod.2023-08-31</t>
        </is>
      </c>
      <c r="F101" t="inlineStr">
        <is>
          <t>dupont</t>
        </is>
      </c>
      <c r="G101" t="inlineStr">
        <is>
          <t>ALT DuPont</t>
        </is>
      </c>
      <c r="H101" t="inlineStr">
        <is>
          <t>D8</t>
        </is>
      </c>
      <c r="I101">
        <f>IF((('Condensed Financials'!D66+'Condensed Financials'!C66)/2)=0,NA(),'Condensed Financials'!D53/(('Condensed Financials'!D66+'Condensed Financials'!C66)/2))</f>
        <v/>
      </c>
      <c r="J101" t="n">
        <v>0.02869242959741758</v>
      </c>
      <c r="K101" t="n">
        <v>0.01</v>
      </c>
      <c r="L101" t="inlineStr">
        <is>
          <t>net_interest_after_tax_fy__20230831,net_debt__20230831,net_debt__20220831</t>
        </is>
      </c>
      <c r="M101" t="inlineStr">
        <is>
          <t>After-tax CoD = Net Interest After Tax / Average Net Debt.|Do not apply the tax rate a second time.|A zero denominator makes this ratio undefined (#N/A), not 0%.</t>
        </is>
      </c>
      <c r="O101" t="inlineStr">
        <is>
          <t>pending</t>
        </is>
      </c>
      <c r="P101" t="inlineStr">
        <is>
          <t>after_tax_cod</t>
        </is>
      </c>
      <c r="Q101" t="n">
        <v>21</v>
      </c>
      <c r="R101" t="n">
        <v>2</v>
      </c>
      <c r="S101" t="inlineStr">
        <is>
          <t>2023-08-31</t>
        </is>
      </c>
    </row>
    <row r="102">
      <c r="A102" t="inlineStr">
        <is>
          <t>after_tax_cod__20240831</t>
        </is>
      </c>
      <c r="B102" t="n">
        <v>101</v>
      </c>
      <c r="C102" t="inlineStr">
        <is>
          <t>After-tax cost of debt</t>
        </is>
      </c>
      <c r="D102" t="inlineStr">
        <is>
          <t>Relate net interest after tax to average net debt.</t>
        </is>
      </c>
      <c r="E102" t="inlineStr">
        <is>
          <t>dupont.after_tax_cod.2024-08-31</t>
        </is>
      </c>
      <c r="F102" t="inlineStr">
        <is>
          <t>dupont</t>
        </is>
      </c>
      <c r="G102" t="inlineStr">
        <is>
          <t>ALT DuPont</t>
        </is>
      </c>
      <c r="H102" t="inlineStr">
        <is>
          <t>E8</t>
        </is>
      </c>
      <c r="I102">
        <f>IF((('Condensed Financials'!E66+'Condensed Financials'!D66)/2)=0,NA(),'Condensed Financials'!E53/(('Condensed Financials'!E66+'Condensed Financials'!D66)/2))</f>
        <v/>
      </c>
      <c r="J102" t="n">
        <v>0.0254449985622282</v>
      </c>
      <c r="K102" t="n">
        <v>0.01</v>
      </c>
      <c r="L102" t="inlineStr">
        <is>
          <t>net_interest_after_tax_fy__20240831,net_debt__20240831,net_debt__20230831</t>
        </is>
      </c>
      <c r="M102" t="inlineStr">
        <is>
          <t>After-tax CoD = Net Interest After Tax / Average Net Debt.|Do not apply the tax rate a second time.|A zero denominator makes this ratio undefined (#N/A), not 0%.</t>
        </is>
      </c>
      <c r="O102" t="inlineStr">
        <is>
          <t>pending</t>
        </is>
      </c>
      <c r="P102" t="inlineStr">
        <is>
          <t>after_tax_cod</t>
        </is>
      </c>
      <c r="Q102" t="n">
        <v>21</v>
      </c>
      <c r="R102" t="n">
        <v>3</v>
      </c>
      <c r="S102" t="inlineStr">
        <is>
          <t>2024-08-31</t>
        </is>
      </c>
    </row>
    <row r="103">
      <c r="A103" t="inlineStr">
        <is>
          <t>after_tax_cod__20250831</t>
        </is>
      </c>
      <c r="B103" t="n">
        <v>102</v>
      </c>
      <c r="C103" t="inlineStr">
        <is>
          <t>After-tax cost of debt</t>
        </is>
      </c>
      <c r="D103" t="inlineStr">
        <is>
          <t>Relate net interest after tax to average net debt.</t>
        </is>
      </c>
      <c r="E103" t="inlineStr">
        <is>
          <t>dupont.after_tax_cod.2025-08-31</t>
        </is>
      </c>
      <c r="F103" t="inlineStr">
        <is>
          <t>dupont</t>
        </is>
      </c>
      <c r="G103" t="inlineStr">
        <is>
          <t>ALT DuPont</t>
        </is>
      </c>
      <c r="H103" t="inlineStr">
        <is>
          <t>F8</t>
        </is>
      </c>
      <c r="I103">
        <f>IF((('Condensed Financials'!F66+'Condensed Financials'!E66)/2)=0,NA(),'Condensed Financials'!F53/(('Condensed Financials'!F66+'Condensed Financials'!E66)/2))</f>
        <v/>
      </c>
      <c r="J103" t="n">
        <v>0.03577122571176661</v>
      </c>
      <c r="K103" t="n">
        <v>0.01</v>
      </c>
      <c r="L103" t="inlineStr">
        <is>
          <t>net_interest_after_tax_fy__20250831,net_debt__20250831,net_debt__20240831</t>
        </is>
      </c>
      <c r="M103" t="inlineStr">
        <is>
          <t>After-tax CoD = Net Interest After Tax / Average Net Debt.|Do not apply the tax rate a second time.|A zero denominator makes this ratio undefined (#N/A), not 0%.</t>
        </is>
      </c>
      <c r="O103" t="inlineStr">
        <is>
          <t>pending</t>
        </is>
      </c>
      <c r="P103" t="inlineStr">
        <is>
          <t>after_tax_cod</t>
        </is>
      </c>
      <c r="Q103" t="n">
        <v>21</v>
      </c>
      <c r="R103" t="n">
        <v>4</v>
      </c>
      <c r="S103" t="inlineStr">
        <is>
          <t>2025-08-31</t>
        </is>
      </c>
    </row>
    <row r="104">
      <c r="A104" t="inlineStr">
        <is>
          <t>spread__20220831</t>
        </is>
      </c>
      <c r="B104" t="n">
        <v>103</v>
      </c>
      <c r="C104" t="inlineStr">
        <is>
          <t>Operating Spread (RNOA − After-tax CoD)</t>
        </is>
      </c>
      <c r="D104" t="inlineStr">
        <is>
          <t>Operating return minus after-tax cost of debt.</t>
        </is>
      </c>
      <c r="E104" t="inlineStr">
        <is>
          <t>dupont.spread.2022-08-31</t>
        </is>
      </c>
      <c r="F104" t="inlineStr">
        <is>
          <t>dupont</t>
        </is>
      </c>
      <c r="G104" t="inlineStr">
        <is>
          <t>ALT DuPont</t>
        </is>
      </c>
      <c r="H104" t="inlineStr">
        <is>
          <t>C9</t>
        </is>
      </c>
      <c r="I104">
        <f>C7-C8</f>
        <v/>
      </c>
      <c r="J104" t="n">
        <v>0.8169826140141757</v>
      </c>
      <c r="K104" t="n">
        <v>0.01</v>
      </c>
      <c r="L104" t="inlineStr">
        <is>
          <t>rnoa__20220831,after_tax_cod__20220831</t>
        </is>
      </c>
      <c r="M104" t="inlineStr">
        <is>
          <t>After-tax CoD = Net Interest After Tax / Average Net Debt.|Spread = RNOA − After-tax CoD.|An undefined required upstream ratio propagates into Spread.</t>
        </is>
      </c>
      <c r="O104" t="inlineStr">
        <is>
          <t>pending</t>
        </is>
      </c>
      <c r="P104" t="inlineStr">
        <is>
          <t>spread</t>
        </is>
      </c>
      <c r="Q104" t="n">
        <v>22</v>
      </c>
      <c r="R104" t="n">
        <v>1</v>
      </c>
      <c r="S104" t="inlineStr">
        <is>
          <t>2022-08-31</t>
        </is>
      </c>
    </row>
    <row r="105">
      <c r="A105" t="inlineStr">
        <is>
          <t>spread__20230831</t>
        </is>
      </c>
      <c r="B105" t="n">
        <v>104</v>
      </c>
      <c r="C105" t="inlineStr">
        <is>
          <t>Operating Spread (RNOA − After-tax CoD)</t>
        </is>
      </c>
      <c r="D105" t="inlineStr">
        <is>
          <t>Operating return minus after-tax cost of debt.</t>
        </is>
      </c>
      <c r="E105" t="inlineStr">
        <is>
          <t>dupont.spread.2023-08-31</t>
        </is>
      </c>
      <c r="F105" t="inlineStr">
        <is>
          <t>dupont</t>
        </is>
      </c>
      <c r="G105" t="inlineStr">
        <is>
          <t>ALT DuPont</t>
        </is>
      </c>
      <c r="H105" t="inlineStr">
        <is>
          <t>D9</t>
        </is>
      </c>
      <c r="I105">
        <f>D7-D8</f>
        <v/>
      </c>
      <c r="J105" t="n">
        <v>1.404031861542178</v>
      </c>
      <c r="K105" t="n">
        <v>0.01</v>
      </c>
      <c r="L105" t="inlineStr">
        <is>
          <t>rnoa__20230831,after_tax_cod__20230831</t>
        </is>
      </c>
      <c r="M105" t="inlineStr">
        <is>
          <t>After-tax CoD = Net Interest After Tax / Average Net Debt.|Spread = RNOA − After-tax CoD.|An undefined required upstream ratio propagates into Spread.</t>
        </is>
      </c>
      <c r="O105" t="inlineStr">
        <is>
          <t>pending</t>
        </is>
      </c>
      <c r="P105" t="inlineStr">
        <is>
          <t>spread</t>
        </is>
      </c>
      <c r="Q105" t="n">
        <v>22</v>
      </c>
      <c r="R105" t="n">
        <v>2</v>
      </c>
      <c r="S105" t="inlineStr">
        <is>
          <t>2023-08-31</t>
        </is>
      </c>
    </row>
    <row r="106">
      <c r="A106" t="inlineStr">
        <is>
          <t>spread__20240831</t>
        </is>
      </c>
      <c r="B106" t="n">
        <v>105</v>
      </c>
      <c r="C106" t="inlineStr">
        <is>
          <t>Operating Spread (RNOA − After-tax CoD)</t>
        </is>
      </c>
      <c r="D106" t="inlineStr">
        <is>
          <t>Operating return minus after-tax cost of debt.</t>
        </is>
      </c>
      <c r="E106" t="inlineStr">
        <is>
          <t>dupont.spread.2024-08-31</t>
        </is>
      </c>
      <c r="F106" t="inlineStr">
        <is>
          <t>dupont</t>
        </is>
      </c>
      <c r="G106" t="inlineStr">
        <is>
          <t>ALT DuPont</t>
        </is>
      </c>
      <c r="H106" t="inlineStr">
        <is>
          <t>E9</t>
        </is>
      </c>
      <c r="I106">
        <f>E7-E8</f>
        <v/>
      </c>
      <c r="J106" t="n">
        <v>1.511488698369589</v>
      </c>
      <c r="K106" t="n">
        <v>0.01</v>
      </c>
      <c r="L106" t="inlineStr">
        <is>
          <t>rnoa__20240831,after_tax_cod__20240831</t>
        </is>
      </c>
      <c r="M106" t="inlineStr">
        <is>
          <t>After-tax CoD = Net Interest After Tax / Average Net Debt.|Spread = RNOA − After-tax CoD.|An undefined required upstream ratio propagates into Spread.</t>
        </is>
      </c>
      <c r="O106" t="inlineStr">
        <is>
          <t>pending</t>
        </is>
      </c>
      <c r="P106" t="inlineStr">
        <is>
          <t>spread</t>
        </is>
      </c>
      <c r="Q106" t="n">
        <v>22</v>
      </c>
      <c r="R106" t="n">
        <v>3</v>
      </c>
      <c r="S106" t="inlineStr">
        <is>
          <t>2024-08-31</t>
        </is>
      </c>
    </row>
    <row r="107">
      <c r="A107" t="inlineStr">
        <is>
          <t>spread__20250831</t>
        </is>
      </c>
      <c r="B107" t="n">
        <v>106</v>
      </c>
      <c r="C107" t="inlineStr">
        <is>
          <t>Operating Spread (RNOA − After-tax CoD)</t>
        </is>
      </c>
      <c r="D107" t="inlineStr">
        <is>
          <t>Operating return minus after-tax cost of debt.</t>
        </is>
      </c>
      <c r="E107" t="inlineStr">
        <is>
          <t>dupont.spread.2025-08-31</t>
        </is>
      </c>
      <c r="F107" t="inlineStr">
        <is>
          <t>dupont</t>
        </is>
      </c>
      <c r="G107" t="inlineStr">
        <is>
          <t>ALT DuPont</t>
        </is>
      </c>
      <c r="H107" t="inlineStr">
        <is>
          <t>F9</t>
        </is>
      </c>
      <c r="I107">
        <f>F7-F8</f>
        <v/>
      </c>
      <c r="J107" t="n">
        <v>1.160139941304415</v>
      </c>
      <c r="K107" t="n">
        <v>0.01</v>
      </c>
      <c r="L107" t="inlineStr">
        <is>
          <t>rnoa__20250831,after_tax_cod__20250831</t>
        </is>
      </c>
      <c r="M107" t="inlineStr">
        <is>
          <t>After-tax CoD = Net Interest After Tax / Average Net Debt.|Spread = RNOA − After-tax CoD.|An undefined required upstream ratio propagates into Spread.</t>
        </is>
      </c>
      <c r="O107" t="inlineStr">
        <is>
          <t>pending</t>
        </is>
      </c>
      <c r="P107" t="inlineStr">
        <is>
          <t>spread</t>
        </is>
      </c>
      <c r="Q107" t="n">
        <v>22</v>
      </c>
      <c r="R107" t="n">
        <v>4</v>
      </c>
      <c r="S107" t="inlineStr">
        <is>
          <t>2025-08-31</t>
        </is>
      </c>
    </row>
    <row r="108">
      <c r="A108" t="inlineStr">
        <is>
          <t>flev__20220831</t>
        </is>
      </c>
      <c r="B108" t="n">
        <v>107</v>
      </c>
      <c r="C108" t="inlineStr">
        <is>
          <t>Financial leverage (FLEV)</t>
        </is>
      </c>
      <c r="D108" t="inlineStr">
        <is>
          <t>Relate average net debt to average reformulated equity.</t>
        </is>
      </c>
      <c r="E108" t="inlineStr">
        <is>
          <t>dupont.flev.2022-08-31</t>
        </is>
      </c>
      <c r="F108" t="inlineStr">
        <is>
          <t>dupont</t>
        </is>
      </c>
      <c r="G108" t="inlineStr">
        <is>
          <t>ALT DuPont</t>
        </is>
      </c>
      <c r="H108" t="inlineStr">
        <is>
          <t>C10</t>
        </is>
      </c>
      <c r="I108">
        <f>IF((('Condensed Financials'!C67+'Condensed Financials'!B67)/2)=0,NA(),(('Condensed Financials'!C66+'Condensed Financials'!B66)/2)/(('Condensed Financials'!C67+'Condensed Financials'!B67)/2))</f>
        <v/>
      </c>
      <c r="J108" t="n">
        <v>-0.836797291571189</v>
      </c>
      <c r="K108" t="n">
        <v>0.01</v>
      </c>
      <c r="L108" t="inlineStr">
        <is>
          <t>net_debt__20220831,equity_reformulated_fy__20220831,net_debt__20210831,equity_reformulated_fy__20210831</t>
        </is>
      </c>
      <c r="M108" t="inlineStr">
        <is>
          <t>FLEV = Average Net Debt / Average Equity.|A zero denominator makes this ratio undefined (#N/A), not 0%.</t>
        </is>
      </c>
      <c r="O108" t="inlineStr">
        <is>
          <t>pending</t>
        </is>
      </c>
      <c r="P108" t="inlineStr">
        <is>
          <t>flev</t>
        </is>
      </c>
      <c r="Q108" t="n">
        <v>23</v>
      </c>
      <c r="R108" t="n">
        <v>1</v>
      </c>
      <c r="S108" t="inlineStr">
        <is>
          <t>2022-08-31</t>
        </is>
      </c>
    </row>
    <row r="109">
      <c r="A109" t="inlineStr">
        <is>
          <t>flev__20230831</t>
        </is>
      </c>
      <c r="B109" t="n">
        <v>108</v>
      </c>
      <c r="C109" t="inlineStr">
        <is>
          <t>Financial leverage (FLEV)</t>
        </is>
      </c>
      <c r="D109" t="inlineStr">
        <is>
          <t>Relate average net debt to average reformulated equity.</t>
        </is>
      </c>
      <c r="E109" t="inlineStr">
        <is>
          <t>dupont.flev.2023-08-31</t>
        </is>
      </c>
      <c r="F109" t="inlineStr">
        <is>
          <t>dupont</t>
        </is>
      </c>
      <c r="G109" t="inlineStr">
        <is>
          <t>ALT DuPont</t>
        </is>
      </c>
      <c r="H109" t="inlineStr">
        <is>
          <t>D10</t>
        </is>
      </c>
      <c r="I109">
        <f>IF((('Condensed Financials'!D67+'Condensed Financials'!C67)/2)=0,NA(),(('Condensed Financials'!D66+'Condensed Financials'!C66)/2)/(('Condensed Financials'!D67+'Condensed Financials'!C67)/2))</f>
        <v/>
      </c>
      <c r="J109" t="n">
        <v>-0.8917505886048847</v>
      </c>
      <c r="K109" t="n">
        <v>0.01</v>
      </c>
      <c r="L109" t="inlineStr">
        <is>
          <t>net_debt__20230831,equity_reformulated_fy__20230831,net_debt__20220831,equity_reformulated_fy__20220831</t>
        </is>
      </c>
      <c r="M109" t="inlineStr">
        <is>
          <t>FLEV = Average Net Debt / Average Equity.|A zero denominator makes this ratio undefined (#N/A), not 0%.</t>
        </is>
      </c>
      <c r="O109" t="inlineStr">
        <is>
          <t>pending</t>
        </is>
      </c>
      <c r="P109" t="inlineStr">
        <is>
          <t>flev</t>
        </is>
      </c>
      <c r="Q109" t="n">
        <v>23</v>
      </c>
      <c r="R109" t="n">
        <v>2</v>
      </c>
      <c r="S109" t="inlineStr">
        <is>
          <t>2023-08-31</t>
        </is>
      </c>
    </row>
    <row r="110">
      <c r="A110" t="inlineStr">
        <is>
          <t>flev__20240831</t>
        </is>
      </c>
      <c r="B110" t="n">
        <v>109</v>
      </c>
      <c r="C110" t="inlineStr">
        <is>
          <t>Financial leverage (FLEV)</t>
        </is>
      </c>
      <c r="D110" t="inlineStr">
        <is>
          <t>Relate average net debt to average reformulated equity.</t>
        </is>
      </c>
      <c r="E110" t="inlineStr">
        <is>
          <t>dupont.flev.2024-08-31</t>
        </is>
      </c>
      <c r="F110" t="inlineStr">
        <is>
          <t>dupont</t>
        </is>
      </c>
      <c r="G110" t="inlineStr">
        <is>
          <t>ALT DuPont</t>
        </is>
      </c>
      <c r="H110" t="inlineStr">
        <is>
          <t>E10</t>
        </is>
      </c>
      <c r="I110">
        <f>IF((('Condensed Financials'!E67+'Condensed Financials'!D67)/2)=0,NA(),(('Condensed Financials'!E66+'Condensed Financials'!D66)/2)/(('Condensed Financials'!E67+'Condensed Financials'!D67)/2))</f>
        <v/>
      </c>
      <c r="J110" t="n">
        <v>-0.8847012339114048</v>
      </c>
      <c r="K110" t="n">
        <v>0.01</v>
      </c>
      <c r="L110" t="inlineStr">
        <is>
          <t>net_debt__20240831,equity_reformulated_fy__20240831,net_debt__20230831,equity_reformulated_fy__20230831</t>
        </is>
      </c>
      <c r="M110" t="inlineStr">
        <is>
          <t>FLEV = Average Net Debt / Average Equity.|A zero denominator makes this ratio undefined (#N/A), not 0%.</t>
        </is>
      </c>
      <c r="O110" t="inlineStr">
        <is>
          <t>pending</t>
        </is>
      </c>
      <c r="P110" t="inlineStr">
        <is>
          <t>flev</t>
        </is>
      </c>
      <c r="Q110" t="n">
        <v>23</v>
      </c>
      <c r="R110" t="n">
        <v>3</v>
      </c>
      <c r="S110" t="inlineStr">
        <is>
          <t>2024-08-31</t>
        </is>
      </c>
    </row>
    <row r="111">
      <c r="A111" t="inlineStr">
        <is>
          <t>flev__20250831</t>
        </is>
      </c>
      <c r="B111" t="n">
        <v>110</v>
      </c>
      <c r="C111" t="inlineStr">
        <is>
          <t>Financial leverage (FLEV)</t>
        </is>
      </c>
      <c r="D111" t="inlineStr">
        <is>
          <t>Relate average net debt to average reformulated equity.</t>
        </is>
      </c>
      <c r="E111" t="inlineStr">
        <is>
          <t>dupont.flev.2025-08-31</t>
        </is>
      </c>
      <c r="F111" t="inlineStr">
        <is>
          <t>dupont</t>
        </is>
      </c>
      <c r="G111" t="inlineStr">
        <is>
          <t>ALT DuPont</t>
        </is>
      </c>
      <c r="H111" t="inlineStr">
        <is>
          <t>F10</t>
        </is>
      </c>
      <c r="I111">
        <f>IF((('Condensed Financials'!F67+'Condensed Financials'!E67)/2)=0,NA(),(('Condensed Financials'!F66+'Condensed Financials'!E66)/2)/(('Condensed Financials'!F67+'Condensed Financials'!E67)/2))</f>
        <v/>
      </c>
      <c r="J111" t="n">
        <v>-0.8507625088949513</v>
      </c>
      <c r="K111" t="n">
        <v>0.01</v>
      </c>
      <c r="L111" t="inlineStr">
        <is>
          <t>net_debt__20250831,equity_reformulated_fy__20250831,net_debt__20240831,equity_reformulated_fy__20240831</t>
        </is>
      </c>
      <c r="M111" t="inlineStr">
        <is>
          <t>FLEV = Average Net Debt / Average Equity.|A zero denominator makes this ratio undefined (#N/A), not 0%.</t>
        </is>
      </c>
      <c r="O111" t="inlineStr">
        <is>
          <t>pending</t>
        </is>
      </c>
      <c r="P111" t="inlineStr">
        <is>
          <t>flev</t>
        </is>
      </c>
      <c r="Q111" t="n">
        <v>23</v>
      </c>
      <c r="R111" t="n">
        <v>4</v>
      </c>
      <c r="S111" t="inlineStr">
        <is>
          <t>2025-08-31</t>
        </is>
      </c>
    </row>
    <row r="112">
      <c r="A112" t="inlineStr">
        <is>
          <t>roe_decomp__20220831</t>
        </is>
      </c>
      <c r="B112" t="n">
        <v>111</v>
      </c>
      <c r="C112" t="inlineStr">
        <is>
          <t>ROE decomposition</t>
        </is>
      </c>
      <c r="D112" t="inlineStr">
        <is>
          <t>ROE = RNOA + FLEV × Spread.</t>
        </is>
      </c>
      <c r="E112" t="inlineStr">
        <is>
          <t>dupont.roe_decomposed.2022-08-31</t>
        </is>
      </c>
      <c r="F112" t="inlineStr">
        <is>
          <t>dupont</t>
        </is>
      </c>
      <c r="G112" t="inlineStr">
        <is>
          <t>ALT DuPont</t>
        </is>
      </c>
      <c r="H112" t="inlineStr">
        <is>
          <t>C11</t>
        </is>
      </c>
      <c r="I112">
        <f>C7+C10*(C9)</f>
        <v/>
      </c>
      <c r="J112" t="n">
        <v>0.2050258145321001</v>
      </c>
      <c r="K112" t="n">
        <v>0.01</v>
      </c>
      <c r="L112" t="inlineStr">
        <is>
          <t>rnoa__20220831,spread__20220831,flev__20220831</t>
        </is>
      </c>
      <c r="M112" t="inlineStr">
        <is>
          <t>Financial leverage (FLEV) = Average Net Debt / Average Equity.|ROE (decomposed) = RNOA + FLEV × (RNOA − After-tax CoD).|An undefined required upstream ratio propagates into decomposed ROE.</t>
        </is>
      </c>
      <c r="O112" t="inlineStr">
        <is>
          <t>pending</t>
        </is>
      </c>
      <c r="P112" t="inlineStr">
        <is>
          <t>roe_decomp</t>
        </is>
      </c>
      <c r="Q112" t="n">
        <v>24</v>
      </c>
      <c r="R112" t="n">
        <v>1</v>
      </c>
      <c r="S112" t="inlineStr">
        <is>
          <t>2022-08-31</t>
        </is>
      </c>
    </row>
    <row r="113">
      <c r="A113" t="inlineStr">
        <is>
          <t>roe_decomp__20230831</t>
        </is>
      </c>
      <c r="B113" t="n">
        <v>112</v>
      </c>
      <c r="C113" t="inlineStr">
        <is>
          <t>ROE decomposition</t>
        </is>
      </c>
      <c r="D113" t="inlineStr">
        <is>
          <t>ROE = RNOA + FLEV × Spread.</t>
        </is>
      </c>
      <c r="E113" t="inlineStr">
        <is>
          <t>dupont.roe_decomposed.2023-08-31</t>
        </is>
      </c>
      <c r="F113" t="inlineStr">
        <is>
          <t>dupont</t>
        </is>
      </c>
      <c r="G113" t="inlineStr">
        <is>
          <t>ALT DuPont</t>
        </is>
      </c>
      <c r="H113" t="inlineStr">
        <is>
          <t>D11</t>
        </is>
      </c>
      <c r="I113">
        <f>D7+D10*(D9)</f>
        <v/>
      </c>
      <c r="J113" t="n">
        <v>0.1806780521893463</v>
      </c>
      <c r="K113" t="n">
        <v>0.01</v>
      </c>
      <c r="L113" t="inlineStr">
        <is>
          <t>rnoa__20230831,spread__20230831,flev__20230831</t>
        </is>
      </c>
      <c r="M113" t="inlineStr">
        <is>
          <t>Financial leverage (FLEV) = Average Net Debt / Average Equity.|ROE (decomposed) = RNOA + FLEV × (RNOA − After-tax CoD).|An undefined required upstream ratio propagates into decomposed ROE.</t>
        </is>
      </c>
      <c r="O113" t="inlineStr">
        <is>
          <t>pending</t>
        </is>
      </c>
      <c r="P113" t="inlineStr">
        <is>
          <t>roe_decomp</t>
        </is>
      </c>
      <c r="Q113" t="n">
        <v>24</v>
      </c>
      <c r="R113" t="n">
        <v>2</v>
      </c>
      <c r="S113" t="inlineStr">
        <is>
          <t>2023-08-31</t>
        </is>
      </c>
    </row>
    <row r="114">
      <c r="A114" t="inlineStr">
        <is>
          <t>roe_decomp__20240831</t>
        </is>
      </c>
      <c r="B114" t="n">
        <v>113</v>
      </c>
      <c r="C114" t="inlineStr">
        <is>
          <t>ROE decomposition</t>
        </is>
      </c>
      <c r="D114" t="inlineStr">
        <is>
          <t>ROE = RNOA + FLEV × Spread.</t>
        </is>
      </c>
      <c r="E114" t="inlineStr">
        <is>
          <t>dupont.roe_decomposed.2024-08-31</t>
        </is>
      </c>
      <c r="F114" t="inlineStr">
        <is>
          <t>dupont</t>
        </is>
      </c>
      <c r="G114" t="inlineStr">
        <is>
          <t>ALT DuPont</t>
        </is>
      </c>
      <c r="H114" t="inlineStr">
        <is>
          <t>E11</t>
        </is>
      </c>
      <c r="I114">
        <f>E7+E10*(E9)</f>
        <v/>
      </c>
      <c r="J114" t="n">
        <v>0.1997177804410988</v>
      </c>
      <c r="K114" t="n">
        <v>0.01</v>
      </c>
      <c r="L114" t="inlineStr">
        <is>
          <t>rnoa__20240831,spread__20240831,flev__20240831</t>
        </is>
      </c>
      <c r="M114" t="inlineStr">
        <is>
          <t>Financial leverage (FLEV) = Average Net Debt / Average Equity.|ROE (decomposed) = RNOA + FLEV × (RNOA − After-tax CoD).|An undefined required upstream ratio propagates into decomposed ROE.</t>
        </is>
      </c>
      <c r="O114" t="inlineStr">
        <is>
          <t>pending</t>
        </is>
      </c>
      <c r="P114" t="inlineStr">
        <is>
          <t>roe_decomp</t>
        </is>
      </c>
      <c r="Q114" t="n">
        <v>24</v>
      </c>
      <c r="R114" t="n">
        <v>3</v>
      </c>
      <c r="S114" t="inlineStr">
        <is>
          <t>2024-08-31</t>
        </is>
      </c>
    </row>
    <row r="115">
      <c r="A115" t="inlineStr">
        <is>
          <t>roe_decomp__20250831</t>
        </is>
      </c>
      <c r="B115" t="n">
        <v>114</v>
      </c>
      <c r="C115" t="inlineStr">
        <is>
          <t>ROE decomposition</t>
        </is>
      </c>
      <c r="D115" t="inlineStr">
        <is>
          <t>ROE = RNOA + FLEV × Spread.</t>
        </is>
      </c>
      <c r="E115" t="inlineStr">
        <is>
          <t>dupont.roe_decomposed.2025-08-31</t>
        </is>
      </c>
      <c r="F115" t="inlineStr">
        <is>
          <t>dupont</t>
        </is>
      </c>
      <c r="G115" t="inlineStr">
        <is>
          <t>ALT DuPont</t>
        </is>
      </c>
      <c r="H115" t="inlineStr">
        <is>
          <t>F11</t>
        </is>
      </c>
      <c r="I115">
        <f>F7+F10*(F9)</f>
        <v/>
      </c>
      <c r="J115" t="n">
        <v>0.2089075998827959</v>
      </c>
      <c r="K115" t="n">
        <v>0.01</v>
      </c>
      <c r="L115" t="inlineStr">
        <is>
          <t>rnoa__20250831,spread__20250831,flev__20250831</t>
        </is>
      </c>
      <c r="M115" t="inlineStr">
        <is>
          <t>Financial leverage (FLEV) = Average Net Debt / Average Equity.|ROE (decomposed) = RNOA + FLEV × (RNOA − After-tax CoD).|An undefined required upstream ratio propagates into decomposed ROE.</t>
        </is>
      </c>
      <c r="O115" t="inlineStr">
        <is>
          <t>pending</t>
        </is>
      </c>
      <c r="P115" t="inlineStr">
        <is>
          <t>roe_decomp</t>
        </is>
      </c>
      <c r="Q115" t="n">
        <v>24</v>
      </c>
      <c r="R115" t="n">
        <v>4</v>
      </c>
      <c r="S115" t="inlineStr">
        <is>
          <t>2025-08-31</t>
        </is>
      </c>
    </row>
    <row r="116">
      <c r="A116" t="inlineStr">
        <is>
          <t>actual_roe__20220831</t>
        </is>
      </c>
      <c r="B116" t="n">
        <v>115</v>
      </c>
      <c r="C116" t="inlineStr">
        <is>
          <t>Actual ROE</t>
        </is>
      </c>
      <c r="D116" t="inlineStr">
        <is>
          <t>Relate net income to average reformulated equity.</t>
        </is>
      </c>
      <c r="E116" t="inlineStr">
        <is>
          <t>dupont.actual_roe.2022-08-31</t>
        </is>
      </c>
      <c r="F116" t="inlineStr">
        <is>
          <t>dupont</t>
        </is>
      </c>
      <c r="G116" t="inlineStr">
        <is>
          <t>ALT DuPont</t>
        </is>
      </c>
      <c r="H116" t="inlineStr">
        <is>
          <t>C12</t>
        </is>
      </c>
      <c r="I116">
        <f>IF((('Condensed Financials'!C67+'Condensed Financials'!B67)/2)=0,NA(),'Condensed Financials'!C45/(('Condensed Financials'!C67+'Condensed Financials'!B67)/2))</f>
        <v/>
      </c>
      <c r="J116" t="n">
        <v>0.2050258145321001</v>
      </c>
      <c r="K116" t="n">
        <v>0.01</v>
      </c>
      <c r="L116" t="inlineStr">
        <is>
          <t>net_income_link__20220831,equity_reformulated_fy__20220831,equity_reformulated_fy__20210831</t>
        </is>
      </c>
      <c r="M116" t="inlineStr">
        <is>
          <t>Actual ROE = Net Income / Average Equity.|A zero denominator makes this ratio undefined (#N/A), not 0%.</t>
        </is>
      </c>
      <c r="O116" t="inlineStr">
        <is>
          <t>pending</t>
        </is>
      </c>
      <c r="P116" t="inlineStr">
        <is>
          <t>actual_roe</t>
        </is>
      </c>
      <c r="Q116" t="n">
        <v>25</v>
      </c>
      <c r="R116" t="n">
        <v>1</v>
      </c>
      <c r="S116" t="inlineStr">
        <is>
          <t>2022-08-31</t>
        </is>
      </c>
    </row>
    <row r="117">
      <c r="A117" t="inlineStr">
        <is>
          <t>actual_roe__20230831</t>
        </is>
      </c>
      <c r="B117" t="n">
        <v>116</v>
      </c>
      <c r="C117" t="inlineStr">
        <is>
          <t>Actual ROE</t>
        </is>
      </c>
      <c r="D117" t="inlineStr">
        <is>
          <t>Relate net income to average reformulated equity.</t>
        </is>
      </c>
      <c r="E117" t="inlineStr">
        <is>
          <t>dupont.actual_roe.2023-08-31</t>
        </is>
      </c>
      <c r="F117" t="inlineStr">
        <is>
          <t>dupont</t>
        </is>
      </c>
      <c r="G117" t="inlineStr">
        <is>
          <t>ALT DuPont</t>
        </is>
      </c>
      <c r="H117" t="inlineStr">
        <is>
          <t>D12</t>
        </is>
      </c>
      <c r="I117">
        <f>IF((('Condensed Financials'!D67+'Condensed Financials'!C67)/2)=0,NA(),'Condensed Financials'!D45/(('Condensed Financials'!D67+'Condensed Financials'!C67)/2))</f>
        <v/>
      </c>
      <c r="J117" t="n">
        <v>0.1806780521893465</v>
      </c>
      <c r="K117" t="n">
        <v>0.01</v>
      </c>
      <c r="L117" t="inlineStr">
        <is>
          <t>net_income_link__20230831,equity_reformulated_fy__20230831,equity_reformulated_fy__20220831</t>
        </is>
      </c>
      <c r="M117" t="inlineStr">
        <is>
          <t>Actual ROE = Net Income / Average Equity.|A zero denominator makes this ratio undefined (#N/A), not 0%.</t>
        </is>
      </c>
      <c r="O117" t="inlineStr">
        <is>
          <t>pending</t>
        </is>
      </c>
      <c r="P117" t="inlineStr">
        <is>
          <t>actual_roe</t>
        </is>
      </c>
      <c r="Q117" t="n">
        <v>25</v>
      </c>
      <c r="R117" t="n">
        <v>2</v>
      </c>
      <c r="S117" t="inlineStr">
        <is>
          <t>2023-08-31</t>
        </is>
      </c>
    </row>
    <row r="118">
      <c r="A118" t="inlineStr">
        <is>
          <t>actual_roe__20240831</t>
        </is>
      </c>
      <c r="B118" t="n">
        <v>117</v>
      </c>
      <c r="C118" t="inlineStr">
        <is>
          <t>Actual ROE</t>
        </is>
      </c>
      <c r="D118" t="inlineStr">
        <is>
          <t>Relate net income to average reformulated equity.</t>
        </is>
      </c>
      <c r="E118" t="inlineStr">
        <is>
          <t>dupont.actual_roe.2024-08-31</t>
        </is>
      </c>
      <c r="F118" t="inlineStr">
        <is>
          <t>dupont</t>
        </is>
      </c>
      <c r="G118" t="inlineStr">
        <is>
          <t>ALT DuPont</t>
        </is>
      </c>
      <c r="H118" t="inlineStr">
        <is>
          <t>E12</t>
        </is>
      </c>
      <c r="I118">
        <f>IF((('Condensed Financials'!E67+'Condensed Financials'!D67)/2)=0,NA(),'Condensed Financials'!E45/(('Condensed Financials'!E67+'Condensed Financials'!D67)/2))</f>
        <v/>
      </c>
      <c r="J118" t="n">
        <v>0.1997177804410987</v>
      </c>
      <c r="K118" t="n">
        <v>0.01</v>
      </c>
      <c r="L118" t="inlineStr">
        <is>
          <t>net_income_link__20240831,equity_reformulated_fy__20240831,equity_reformulated_fy__20230831</t>
        </is>
      </c>
      <c r="M118" t="inlineStr">
        <is>
          <t>Actual ROE = Net Income / Average Equity.|A zero denominator makes this ratio undefined (#N/A), not 0%.</t>
        </is>
      </c>
      <c r="O118" t="inlineStr">
        <is>
          <t>pending</t>
        </is>
      </c>
      <c r="P118" t="inlineStr">
        <is>
          <t>actual_roe</t>
        </is>
      </c>
      <c r="Q118" t="n">
        <v>25</v>
      </c>
      <c r="R118" t="n">
        <v>3</v>
      </c>
      <c r="S118" t="inlineStr">
        <is>
          <t>2024-08-31</t>
        </is>
      </c>
    </row>
    <row r="119">
      <c r="A119" t="inlineStr">
        <is>
          <t>actual_roe__20250831</t>
        </is>
      </c>
      <c r="B119" t="n">
        <v>118</v>
      </c>
      <c r="C119" t="inlineStr">
        <is>
          <t>Actual ROE</t>
        </is>
      </c>
      <c r="D119" t="inlineStr">
        <is>
          <t>Relate net income to average reformulated equity.</t>
        </is>
      </c>
      <c r="E119" t="inlineStr">
        <is>
          <t>dupont.actual_roe.2025-08-31</t>
        </is>
      </c>
      <c r="F119" t="inlineStr">
        <is>
          <t>dupont</t>
        </is>
      </c>
      <c r="G119" t="inlineStr">
        <is>
          <t>ALT DuPont</t>
        </is>
      </c>
      <c r="H119" t="inlineStr">
        <is>
          <t>F12</t>
        </is>
      </c>
      <c r="I119">
        <f>IF((('Condensed Financials'!F67+'Condensed Financials'!E67)/2)=0,NA(),'Condensed Financials'!F45/(('Condensed Financials'!F67+'Condensed Financials'!E67)/2))</f>
        <v/>
      </c>
      <c r="J119" t="n">
        <v>0.2089075998827959</v>
      </c>
      <c r="K119" t="n">
        <v>0.01</v>
      </c>
      <c r="L119" t="inlineStr">
        <is>
          <t>net_income_link__20250831,equity_reformulated_fy__20250831,equity_reformulated_fy__20240831</t>
        </is>
      </c>
      <c r="M119" t="inlineStr">
        <is>
          <t>Actual ROE = Net Income / Average Equity.|A zero denominator makes this ratio undefined (#N/A), not 0%.</t>
        </is>
      </c>
      <c r="O119" t="inlineStr">
        <is>
          <t>pending</t>
        </is>
      </c>
      <c r="P119" t="inlineStr">
        <is>
          <t>actual_roe</t>
        </is>
      </c>
      <c r="Q119" t="n">
        <v>25</v>
      </c>
      <c r="R119" t="n">
        <v>4</v>
      </c>
      <c r="S119" t="inlineStr">
        <is>
          <t>2025-08-31</t>
        </is>
      </c>
    </row>
    <row r="120">
      <c r="A120" t="inlineStr">
        <is>
          <t>operating_cash_flow_link__20210831</t>
        </is>
      </c>
      <c r="B120" t="n">
        <v>119</v>
      </c>
      <c r="C120" t="inlineStr">
        <is>
          <t>Operating cash flow historical source link</t>
        </is>
      </c>
      <c r="D120" t="inlineStr">
        <is>
          <t>Link net cash from operating activities for the same fiscal period.</t>
        </is>
      </c>
      <c r="E120" t="inlineStr">
        <is>
          <t>quality.operating_cash_flow.2021-08-31</t>
        </is>
      </c>
      <c r="F120" t="inlineStr">
        <is>
          <t>earnings_quality</t>
        </is>
      </c>
      <c r="G120" t="inlineStr">
        <is>
          <t>Earnings Quality</t>
        </is>
      </c>
      <c r="H120" t="inlineStr">
        <is>
          <t>B5</t>
        </is>
      </c>
      <c r="I120">
        <f>'Cash Flow Statement'!B30</f>
        <v/>
      </c>
      <c r="J120" t="n">
        <v>428968</v>
      </c>
      <c r="K120" t="n">
        <v>0.01</v>
      </c>
      <c r="M120" t="inlineStr">
        <is>
          <t>Pull final net cash from operating activities for the same period.</t>
        </is>
      </c>
      <c r="O120" t="inlineStr">
        <is>
          <t>pending</t>
        </is>
      </c>
      <c r="P120" t="inlineStr">
        <is>
          <t>operating_cash_flow_link</t>
        </is>
      </c>
      <c r="Q120" t="n">
        <v>30</v>
      </c>
      <c r="R120" t="n">
        <v>0</v>
      </c>
      <c r="S120" t="inlineStr">
        <is>
          <t>2021-08-31</t>
        </is>
      </c>
    </row>
    <row r="121">
      <c r="A121" t="inlineStr">
        <is>
          <t>operating_cash_flow_link__20220831</t>
        </is>
      </c>
      <c r="B121" t="n">
        <v>120</v>
      </c>
      <c r="C121" t="inlineStr">
        <is>
          <t>Operating cash flow historical source link</t>
        </is>
      </c>
      <c r="D121" t="inlineStr">
        <is>
          <t>Link net cash from operating activities for the same fiscal period.</t>
        </is>
      </c>
      <c r="E121" t="inlineStr">
        <is>
          <t>quality.operating_cash_flow.2022-08-31</t>
        </is>
      </c>
      <c r="F121" t="inlineStr">
        <is>
          <t>earnings_quality</t>
        </is>
      </c>
      <c r="G121" t="inlineStr">
        <is>
          <t>Earnings Quality</t>
        </is>
      </c>
      <c r="H121" t="inlineStr">
        <is>
          <t>C5</t>
        </is>
      </c>
      <c r="I121">
        <f>'Cash Flow Statement'!C30</f>
        <v/>
      </c>
      <c r="J121" t="n">
        <v>430817</v>
      </c>
      <c r="K121" t="n">
        <v>0.01</v>
      </c>
      <c r="M121" t="inlineStr">
        <is>
          <t>Pull final net cash from operating activities for the same period.</t>
        </is>
      </c>
      <c r="O121" t="inlineStr">
        <is>
          <t>pending</t>
        </is>
      </c>
      <c r="P121" t="inlineStr">
        <is>
          <t>operating_cash_flow_link</t>
        </is>
      </c>
      <c r="Q121" t="n">
        <v>30</v>
      </c>
      <c r="R121" t="n">
        <v>1</v>
      </c>
      <c r="S121" t="inlineStr">
        <is>
          <t>2022-08-31</t>
        </is>
      </c>
    </row>
    <row r="122">
      <c r="A122" t="inlineStr">
        <is>
          <t>operating_cash_flow_link__20230831</t>
        </is>
      </c>
      <c r="B122" t="n">
        <v>121</v>
      </c>
      <c r="C122" t="inlineStr">
        <is>
          <t>Operating cash flow historical source link</t>
        </is>
      </c>
      <c r="D122" t="inlineStr">
        <is>
          <t>Link net cash from operating activities for the same fiscal period.</t>
        </is>
      </c>
      <c r="E122" t="inlineStr">
        <is>
          <t>quality.operating_cash_flow.2023-08-31</t>
        </is>
      </c>
      <c r="F122" t="inlineStr">
        <is>
          <t>earnings_quality</t>
        </is>
      </c>
      <c r="G122" t="inlineStr">
        <is>
          <t>Earnings Quality</t>
        </is>
      </c>
      <c r="H122" t="inlineStr">
        <is>
          <t>D5</t>
        </is>
      </c>
      <c r="I122">
        <f>'Cash Flow Statement'!D30</f>
        <v/>
      </c>
      <c r="J122" t="n">
        <v>463216</v>
      </c>
      <c r="K122" t="n">
        <v>0.01</v>
      </c>
      <c r="M122" t="inlineStr">
        <is>
          <t>Pull final net cash from operating activities for the same period.</t>
        </is>
      </c>
      <c r="O122" t="inlineStr">
        <is>
          <t>pending</t>
        </is>
      </c>
      <c r="P122" t="inlineStr">
        <is>
          <t>operating_cash_flow_link</t>
        </is>
      </c>
      <c r="Q122" t="n">
        <v>30</v>
      </c>
      <c r="R122" t="n">
        <v>2</v>
      </c>
      <c r="S122" t="inlineStr">
        <is>
          <t>2023-08-31</t>
        </is>
      </c>
    </row>
    <row r="123">
      <c r="A123" t="inlineStr">
        <is>
          <t>operating_cash_flow_link__20240831</t>
        </is>
      </c>
      <c r="B123" t="n">
        <v>122</v>
      </c>
      <c r="C123" t="inlineStr">
        <is>
          <t>Operating cash flow historical source link</t>
        </is>
      </c>
      <c r="D123" t="inlineStr">
        <is>
          <t>Link net cash from operating activities for the same fiscal period.</t>
        </is>
      </c>
      <c r="E123" t="inlineStr">
        <is>
          <t>quality.operating_cash_flow.2024-08-31</t>
        </is>
      </c>
      <c r="F123" t="inlineStr">
        <is>
          <t>earnings_quality</t>
        </is>
      </c>
      <c r="G123" t="inlineStr">
        <is>
          <t>Earnings Quality</t>
        </is>
      </c>
      <c r="H123" t="inlineStr">
        <is>
          <t>E5</t>
        </is>
      </c>
      <c r="I123">
        <f>'Cash Flow Statement'!E30</f>
        <v/>
      </c>
      <c r="J123" t="n">
        <v>651521</v>
      </c>
      <c r="K123" t="n">
        <v>0.01</v>
      </c>
      <c r="M123" t="inlineStr">
        <is>
          <t>Pull final net cash from operating activities for the same period.</t>
        </is>
      </c>
      <c r="O123" t="inlineStr">
        <is>
          <t>pending</t>
        </is>
      </c>
      <c r="P123" t="inlineStr">
        <is>
          <t>operating_cash_flow_link</t>
        </is>
      </c>
      <c r="Q123" t="n">
        <v>30</v>
      </c>
      <c r="R123" t="n">
        <v>3</v>
      </c>
      <c r="S123" t="inlineStr">
        <is>
          <t>2024-08-31</t>
        </is>
      </c>
    </row>
    <row r="124">
      <c r="A124" t="inlineStr">
        <is>
          <t>operating_cash_flow_link__20250831</t>
        </is>
      </c>
      <c r="B124" t="n">
        <v>123</v>
      </c>
      <c r="C124" t="inlineStr">
        <is>
          <t>Operating cash flow historical source link</t>
        </is>
      </c>
      <c r="D124" t="inlineStr">
        <is>
          <t>Link net cash from operating activities for the same fiscal period.</t>
        </is>
      </c>
      <c r="E124" t="inlineStr">
        <is>
          <t>quality.operating_cash_flow.2025-08-31</t>
        </is>
      </c>
      <c r="F124" t="inlineStr">
        <is>
          <t>earnings_quality</t>
        </is>
      </c>
      <c r="G124" t="inlineStr">
        <is>
          <t>Earnings Quality</t>
        </is>
      </c>
      <c r="H124" t="inlineStr">
        <is>
          <t>F5</t>
        </is>
      </c>
      <c r="I124">
        <f>'Cash Flow Statement'!F30</f>
        <v/>
      </c>
      <c r="J124" t="n">
        <v>580618</v>
      </c>
      <c r="K124" t="n">
        <v>0.01</v>
      </c>
      <c r="M124" t="inlineStr">
        <is>
          <t>Pull final net cash from operating activities for the same period.</t>
        </is>
      </c>
      <c r="O124" t="inlineStr">
        <is>
          <t>pending</t>
        </is>
      </c>
      <c r="P124" t="inlineStr">
        <is>
          <t>operating_cash_flow_link</t>
        </is>
      </c>
      <c r="Q124" t="n">
        <v>30</v>
      </c>
      <c r="R124" t="n">
        <v>4</v>
      </c>
      <c r="S124" t="inlineStr">
        <is>
          <t>2025-08-31</t>
        </is>
      </c>
    </row>
    <row r="125">
      <c r="A125" t="inlineStr">
        <is>
          <t>cash_conversion_ratio__20210831</t>
        </is>
      </c>
      <c r="B125" t="n">
        <v>124</v>
      </c>
      <c r="C125" t="inlineStr">
        <is>
          <t>Cash conversion ratio</t>
        </is>
      </c>
      <c r="D125" t="inlineStr">
        <is>
          <t>Compare operating cash flow with reported Net Income.</t>
        </is>
      </c>
      <c r="E125" t="inlineStr">
        <is>
          <t>quality.cash_conversion_ratio.2021-08-31</t>
        </is>
      </c>
      <c r="F125" t="inlineStr">
        <is>
          <t>earnings_quality</t>
        </is>
      </c>
      <c r="G125" t="inlineStr">
        <is>
          <t>Earnings Quality</t>
        </is>
      </c>
      <c r="H125" t="inlineStr">
        <is>
          <t>B7</t>
        </is>
      </c>
      <c r="I125">
        <f>IF(B6=0,NA(),B5/B6)</f>
        <v/>
      </c>
      <c r="J125" t="n">
        <v>2.441702147036725</v>
      </c>
      <c r="K125" t="n">
        <v>0.01</v>
      </c>
      <c r="L125" t="inlineStr">
        <is>
          <t>operating_cash_flow_link__20210831,net_income_link__20210831</t>
        </is>
      </c>
      <c r="M125" t="inlineStr">
        <is>
          <t>Cash conversion = CFO / Reported Net Income.</t>
        </is>
      </c>
      <c r="O125" t="inlineStr">
        <is>
          <t>pending</t>
        </is>
      </c>
      <c r="P125" t="inlineStr">
        <is>
          <t>cash_conversion_ratio</t>
        </is>
      </c>
      <c r="Q125" t="n">
        <v>31</v>
      </c>
      <c r="R125" t="n">
        <v>0</v>
      </c>
      <c r="S125" t="inlineStr">
        <is>
          <t>2021-08-31</t>
        </is>
      </c>
    </row>
    <row r="126">
      <c r="A126" t="inlineStr">
        <is>
          <t>cash_conversion_ratio__20220831</t>
        </is>
      </c>
      <c r="B126" t="n">
        <v>125</v>
      </c>
      <c r="C126" t="inlineStr">
        <is>
          <t>Cash conversion ratio</t>
        </is>
      </c>
      <c r="D126" t="inlineStr">
        <is>
          <t>Compare operating cash flow with reported Net Income.</t>
        </is>
      </c>
      <c r="E126" t="inlineStr">
        <is>
          <t>quality.cash_conversion_ratio.2022-08-31</t>
        </is>
      </c>
      <c r="F126" t="inlineStr">
        <is>
          <t>earnings_quality</t>
        </is>
      </c>
      <c r="G126" t="inlineStr">
        <is>
          <t>Earnings Quality</t>
        </is>
      </c>
      <c r="H126" t="inlineStr">
        <is>
          <t>C7</t>
        </is>
      </c>
      <c r="I126">
        <f>IF(C6=0,NA(),C5/C6)</f>
        <v/>
      </c>
      <c r="J126" t="n">
        <v>1.512965759438104</v>
      </c>
      <c r="K126" t="n">
        <v>0.01</v>
      </c>
      <c r="L126" t="inlineStr">
        <is>
          <t>operating_cash_flow_link__20220831,net_income_link__20220831</t>
        </is>
      </c>
      <c r="M126" t="inlineStr">
        <is>
          <t>Cash conversion = CFO / Reported Net Income.</t>
        </is>
      </c>
      <c r="O126" t="inlineStr">
        <is>
          <t>pending</t>
        </is>
      </c>
      <c r="P126" t="inlineStr">
        <is>
          <t>cash_conversion_ratio</t>
        </is>
      </c>
      <c r="Q126" t="n">
        <v>31</v>
      </c>
      <c r="R126" t="n">
        <v>1</v>
      </c>
      <c r="S126" t="inlineStr">
        <is>
          <t>2022-08-31</t>
        </is>
      </c>
    </row>
    <row r="127">
      <c r="A127" t="inlineStr">
        <is>
          <t>cash_conversion_ratio__20230831</t>
        </is>
      </c>
      <c r="B127" t="n">
        <v>126</v>
      </c>
      <c r="C127" t="inlineStr">
        <is>
          <t>Cash conversion ratio</t>
        </is>
      </c>
      <c r="D127" t="inlineStr">
        <is>
          <t>Compare operating cash flow with reported Net Income.</t>
        </is>
      </c>
      <c r="E127" t="inlineStr">
        <is>
          <t>quality.cash_conversion_ratio.2023-08-31</t>
        </is>
      </c>
      <c r="F127" t="inlineStr">
        <is>
          <t>earnings_quality</t>
        </is>
      </c>
      <c r="G127" t="inlineStr">
        <is>
          <t>Earnings Quality</t>
        </is>
      </c>
      <c r="H127" t="inlineStr">
        <is>
          <t>D7</t>
        </is>
      </c>
      <c r="I127">
        <f>IF(D6=0,NA(),D5/D6)</f>
        <v/>
      </c>
      <c r="J127" t="n">
        <v>1.469729131170063</v>
      </c>
      <c r="K127" t="n">
        <v>0.01</v>
      </c>
      <c r="L127" t="inlineStr">
        <is>
          <t>operating_cash_flow_link__20230831,net_income_link__20230831</t>
        </is>
      </c>
      <c r="M127" t="inlineStr">
        <is>
          <t>Cash conversion = CFO / Reported Net Income.</t>
        </is>
      </c>
      <c r="O127" t="inlineStr">
        <is>
          <t>pending</t>
        </is>
      </c>
      <c r="P127" t="inlineStr">
        <is>
          <t>cash_conversion_ratio</t>
        </is>
      </c>
      <c r="Q127" t="n">
        <v>31</v>
      </c>
      <c r="R127" t="n">
        <v>2</v>
      </c>
      <c r="S127" t="inlineStr">
        <is>
          <t>2023-08-31</t>
        </is>
      </c>
    </row>
    <row r="128">
      <c r="A128" t="inlineStr">
        <is>
          <t>cash_conversion_ratio__20240831</t>
        </is>
      </c>
      <c r="B128" t="n">
        <v>127</v>
      </c>
      <c r="C128" t="inlineStr">
        <is>
          <t>Cash conversion ratio</t>
        </is>
      </c>
      <c r="D128" t="inlineStr">
        <is>
          <t>Compare operating cash flow with reported Net Income.</t>
        </is>
      </c>
      <c r="E128" t="inlineStr">
        <is>
          <t>quality.cash_conversion_ratio.2024-08-31</t>
        </is>
      </c>
      <c r="F128" t="inlineStr">
        <is>
          <t>earnings_quality</t>
        </is>
      </c>
      <c r="G128" t="inlineStr">
        <is>
          <t>Earnings Quality</t>
        </is>
      </c>
      <c r="H128" t="inlineStr">
        <is>
          <t>E7</t>
        </is>
      </c>
      <c r="I128">
        <f>IF(E6=0,NA(),E5/E6)</f>
        <v/>
      </c>
      <c r="J128" t="n">
        <v>1.655266066233915</v>
      </c>
      <c r="K128" t="n">
        <v>0.01</v>
      </c>
      <c r="L128" t="inlineStr">
        <is>
          <t>operating_cash_flow_link__20240831,net_income_link__20240831</t>
        </is>
      </c>
      <c r="M128" t="inlineStr">
        <is>
          <t>Cash conversion = CFO / Reported Net Income.</t>
        </is>
      </c>
      <c r="O128" t="inlineStr">
        <is>
          <t>pending</t>
        </is>
      </c>
      <c r="P128" t="inlineStr">
        <is>
          <t>cash_conversion_ratio</t>
        </is>
      </c>
      <c r="Q128" t="n">
        <v>31</v>
      </c>
      <c r="R128" t="n">
        <v>3</v>
      </c>
      <c r="S128" t="inlineStr">
        <is>
          <t>2024-08-31</t>
        </is>
      </c>
    </row>
    <row r="129">
      <c r="A129" t="inlineStr">
        <is>
          <t>cash_conversion_ratio__20250831</t>
        </is>
      </c>
      <c r="B129" t="n">
        <v>128</v>
      </c>
      <c r="C129" t="inlineStr">
        <is>
          <t>Cash conversion ratio</t>
        </is>
      </c>
      <c r="D129" t="inlineStr">
        <is>
          <t>Compare operating cash flow with reported Net Income.</t>
        </is>
      </c>
      <c r="E129" t="inlineStr">
        <is>
          <t>quality.cash_conversion_ratio.2025-08-31</t>
        </is>
      </c>
      <c r="F129" t="inlineStr">
        <is>
          <t>earnings_quality</t>
        </is>
      </c>
      <c r="G129" t="inlineStr">
        <is>
          <t>Earnings Quality</t>
        </is>
      </c>
      <c r="H129" t="inlineStr">
        <is>
          <t>F7</t>
        </is>
      </c>
      <c r="I129">
        <f>IF(F6=0,NA(),F5/F6)</f>
        <v/>
      </c>
      <c r="J129" t="n">
        <v>1.264541449146581</v>
      </c>
      <c r="K129" t="n">
        <v>0.01</v>
      </c>
      <c r="L129" t="inlineStr">
        <is>
          <t>operating_cash_flow_link__20250831,net_income_link__20250831</t>
        </is>
      </c>
      <c r="M129" t="inlineStr">
        <is>
          <t>Cash conversion = CFO / Reported Net Income.</t>
        </is>
      </c>
      <c r="O129" t="inlineStr">
        <is>
          <t>pending</t>
        </is>
      </c>
      <c r="P129" t="inlineStr">
        <is>
          <t>cash_conversion_ratio</t>
        </is>
      </c>
      <c r="Q129" t="n">
        <v>31</v>
      </c>
      <c r="R129" t="n">
        <v>4</v>
      </c>
      <c r="S129" t="inlineStr">
        <is>
          <t>2025-08-31</t>
        </is>
      </c>
    </row>
    <row r="130">
      <c r="A130" t="inlineStr">
        <is>
          <t>total_accruals__20210831</t>
        </is>
      </c>
      <c r="B130" t="n">
        <v>129</v>
      </c>
      <c r="C130" t="inlineStr">
        <is>
          <t>Total accruals</t>
        </is>
      </c>
      <c r="D130" t="inlineStr">
        <is>
          <t>Reported Net Income minus operating cash flow.</t>
        </is>
      </c>
      <c r="E130" t="inlineStr">
        <is>
          <t>quality.total_accruals.2021-08-31</t>
        </is>
      </c>
      <c r="F130" t="inlineStr">
        <is>
          <t>earnings_quality</t>
        </is>
      </c>
      <c r="G130" t="inlineStr">
        <is>
          <t>Earnings Quality</t>
        </is>
      </c>
      <c r="H130" t="inlineStr">
        <is>
          <t>B8</t>
        </is>
      </c>
      <c r="I130">
        <f>B6-B5</f>
        <v/>
      </c>
      <c r="J130" t="n">
        <v>-253284</v>
      </c>
      <c r="K130" t="n">
        <v>0.01</v>
      </c>
      <c r="L130" t="inlineStr">
        <is>
          <t>operating_cash_flow_link__20210831,net_income_link__20210831</t>
        </is>
      </c>
      <c r="M130" t="inlineStr">
        <is>
          <t>Total accruals = Reported Net Income − CFO.</t>
        </is>
      </c>
      <c r="O130" t="inlineStr">
        <is>
          <t>pending</t>
        </is>
      </c>
      <c r="P130" t="inlineStr">
        <is>
          <t>total_accruals</t>
        </is>
      </c>
      <c r="Q130" t="n">
        <v>32</v>
      </c>
      <c r="R130" t="n">
        <v>0</v>
      </c>
      <c r="S130" t="inlineStr">
        <is>
          <t>2021-08-31</t>
        </is>
      </c>
    </row>
    <row r="131">
      <c r="A131" t="inlineStr">
        <is>
          <t>total_accruals__20220831</t>
        </is>
      </c>
      <c r="B131" t="n">
        <v>130</v>
      </c>
      <c r="C131" t="inlineStr">
        <is>
          <t>Total accruals</t>
        </is>
      </c>
      <c r="D131" t="inlineStr">
        <is>
          <t>Reported Net Income minus operating cash flow.</t>
        </is>
      </c>
      <c r="E131" t="inlineStr">
        <is>
          <t>quality.total_accruals.2022-08-31</t>
        </is>
      </c>
      <c r="F131" t="inlineStr">
        <is>
          <t>earnings_quality</t>
        </is>
      </c>
      <c r="G131" t="inlineStr">
        <is>
          <t>Earnings Quality</t>
        </is>
      </c>
      <c r="H131" t="inlineStr">
        <is>
          <t>C8</t>
        </is>
      </c>
      <c r="I131">
        <f>C6-C5</f>
        <v/>
      </c>
      <c r="J131" t="n">
        <v>-146067</v>
      </c>
      <c r="K131" t="n">
        <v>0.01</v>
      </c>
      <c r="L131" t="inlineStr">
        <is>
          <t>operating_cash_flow_link__20220831,net_income_link__20220831</t>
        </is>
      </c>
      <c r="M131" t="inlineStr">
        <is>
          <t>Total accruals = Reported Net Income − CFO.</t>
        </is>
      </c>
      <c r="O131" t="inlineStr">
        <is>
          <t>pending</t>
        </is>
      </c>
      <c r="P131" t="inlineStr">
        <is>
          <t>total_accruals</t>
        </is>
      </c>
      <c r="Q131" t="n">
        <v>32</v>
      </c>
      <c r="R131" t="n">
        <v>1</v>
      </c>
      <c r="S131" t="inlineStr">
        <is>
          <t>2022-08-31</t>
        </is>
      </c>
    </row>
    <row r="132">
      <c r="A132" t="inlineStr">
        <is>
          <t>total_accruals__20230831</t>
        </is>
      </c>
      <c r="B132" t="n">
        <v>131</v>
      </c>
      <c r="C132" t="inlineStr">
        <is>
          <t>Total accruals</t>
        </is>
      </c>
      <c r="D132" t="inlineStr">
        <is>
          <t>Reported Net Income minus operating cash flow.</t>
        </is>
      </c>
      <c r="E132" t="inlineStr">
        <is>
          <t>quality.total_accruals.2023-08-31</t>
        </is>
      </c>
      <c r="F132" t="inlineStr">
        <is>
          <t>earnings_quality</t>
        </is>
      </c>
      <c r="G132" t="inlineStr">
        <is>
          <t>Earnings Quality</t>
        </is>
      </c>
      <c r="H132" t="inlineStr">
        <is>
          <t>D8</t>
        </is>
      </c>
      <c r="I132">
        <f>D6-D5</f>
        <v/>
      </c>
      <c r="J132" t="n">
        <v>-148045</v>
      </c>
      <c r="K132" t="n">
        <v>0.01</v>
      </c>
      <c r="L132" t="inlineStr">
        <is>
          <t>operating_cash_flow_link__20230831,net_income_link__20230831</t>
        </is>
      </c>
      <c r="M132" t="inlineStr">
        <is>
          <t>Total accruals = Reported Net Income − CFO.</t>
        </is>
      </c>
      <c r="O132" t="inlineStr">
        <is>
          <t>pending</t>
        </is>
      </c>
      <c r="P132" t="inlineStr">
        <is>
          <t>total_accruals</t>
        </is>
      </c>
      <c r="Q132" t="n">
        <v>32</v>
      </c>
      <c r="R132" t="n">
        <v>2</v>
      </c>
      <c r="S132" t="inlineStr">
        <is>
          <t>2023-08-31</t>
        </is>
      </c>
    </row>
    <row r="133">
      <c r="A133" t="inlineStr">
        <is>
          <t>total_accruals__20240831</t>
        </is>
      </c>
      <c r="B133" t="n">
        <v>132</v>
      </c>
      <c r="C133" t="inlineStr">
        <is>
          <t>Total accruals</t>
        </is>
      </c>
      <c r="D133" t="inlineStr">
        <is>
          <t>Reported Net Income minus operating cash flow.</t>
        </is>
      </c>
      <c r="E133" t="inlineStr">
        <is>
          <t>quality.total_accruals.2024-08-31</t>
        </is>
      </c>
      <c r="F133" t="inlineStr">
        <is>
          <t>earnings_quality</t>
        </is>
      </c>
      <c r="G133" t="inlineStr">
        <is>
          <t>Earnings Quality</t>
        </is>
      </c>
      <c r="H133" t="inlineStr">
        <is>
          <t>E8</t>
        </is>
      </c>
      <c r="I133">
        <f>E6-E5</f>
        <v/>
      </c>
      <c r="J133" t="n">
        <v>-257916</v>
      </c>
      <c r="K133" t="n">
        <v>0.01</v>
      </c>
      <c r="L133" t="inlineStr">
        <is>
          <t>operating_cash_flow_link__20240831,net_income_link__20240831</t>
        </is>
      </c>
      <c r="M133" t="inlineStr">
        <is>
          <t>Total accruals = Reported Net Income − CFO.</t>
        </is>
      </c>
      <c r="O133" t="inlineStr">
        <is>
          <t>pending</t>
        </is>
      </c>
      <c r="P133" t="inlineStr">
        <is>
          <t>total_accruals</t>
        </is>
      </c>
      <c r="Q133" t="n">
        <v>32</v>
      </c>
      <c r="R133" t="n">
        <v>3</v>
      </c>
      <c r="S133" t="inlineStr">
        <is>
          <t>2024-08-31</t>
        </is>
      </c>
    </row>
    <row r="134">
      <c r="A134" t="inlineStr">
        <is>
          <t>total_accruals__20250831</t>
        </is>
      </c>
      <c r="B134" t="n">
        <v>133</v>
      </c>
      <c r="C134" t="inlineStr">
        <is>
          <t>Total accruals</t>
        </is>
      </c>
      <c r="D134" t="inlineStr">
        <is>
          <t>Reported Net Income minus operating cash flow.</t>
        </is>
      </c>
      <c r="E134" t="inlineStr">
        <is>
          <t>quality.total_accruals.2025-08-31</t>
        </is>
      </c>
      <c r="F134" t="inlineStr">
        <is>
          <t>earnings_quality</t>
        </is>
      </c>
      <c r="G134" t="inlineStr">
        <is>
          <t>Earnings Quality</t>
        </is>
      </c>
      <c r="H134" t="inlineStr">
        <is>
          <t>F8</t>
        </is>
      </c>
      <c r="I134">
        <f>F6-F5</f>
        <v/>
      </c>
      <c r="J134" t="n">
        <v>-121465</v>
      </c>
      <c r="K134" t="n">
        <v>0.01</v>
      </c>
      <c r="L134" t="inlineStr">
        <is>
          <t>operating_cash_flow_link__20250831,net_income_link__20250831</t>
        </is>
      </c>
      <c r="M134" t="inlineStr">
        <is>
          <t>Total accruals = Reported Net Income − CFO.</t>
        </is>
      </c>
      <c r="O134" t="inlineStr">
        <is>
          <t>pending</t>
        </is>
      </c>
      <c r="P134" t="inlineStr">
        <is>
          <t>total_accruals</t>
        </is>
      </c>
      <c r="Q134" t="n">
        <v>32</v>
      </c>
      <c r="R134" t="n">
        <v>4</v>
      </c>
      <c r="S134" t="inlineStr">
        <is>
          <t>2025-08-31</t>
        </is>
      </c>
    </row>
    <row r="135">
      <c r="A135" t="inlineStr">
        <is>
          <t>average_total_assets__20220831</t>
        </is>
      </c>
      <c r="B135" t="n">
        <v>134</v>
      </c>
      <c r="C135" t="inlineStr">
        <is>
          <t>Average total assets</t>
        </is>
      </c>
      <c r="D135" t="inlineStr">
        <is>
          <t>Average beginning and ending reported total assets.</t>
        </is>
      </c>
      <c r="E135" t="inlineStr">
        <is>
          <t>quality.average_total_assets.2022-08-31</t>
        </is>
      </c>
      <c r="F135" t="inlineStr">
        <is>
          <t>earnings_quality</t>
        </is>
      </c>
      <c r="G135" t="inlineStr">
        <is>
          <t>Earnings Quality</t>
        </is>
      </c>
      <c r="H135" t="inlineStr">
        <is>
          <t>C11</t>
        </is>
      </c>
      <c r="I135">
        <f>(B10+C10)/2</f>
        <v/>
      </c>
      <c r="J135" t="n">
        <v>2846869</v>
      </c>
      <c r="K135" t="n">
        <v>0.01</v>
      </c>
      <c r="M135" t="inlineStr">
        <is>
          <t>Average Total Assets = (Beginning Total Assets + Ending Total Assets) / 2.</t>
        </is>
      </c>
      <c r="O135" t="inlineStr">
        <is>
          <t>pending</t>
        </is>
      </c>
      <c r="P135" t="inlineStr">
        <is>
          <t>average_total_assets</t>
        </is>
      </c>
      <c r="Q135" t="n">
        <v>33</v>
      </c>
      <c r="R135" t="n">
        <v>1</v>
      </c>
      <c r="S135" t="inlineStr">
        <is>
          <t>2022-08-31</t>
        </is>
      </c>
    </row>
    <row r="136">
      <c r="A136" t="inlineStr">
        <is>
          <t>average_total_assets__20230831</t>
        </is>
      </c>
      <c r="B136" t="n">
        <v>135</v>
      </c>
      <c r="C136" t="inlineStr">
        <is>
          <t>Average total assets</t>
        </is>
      </c>
      <c r="D136" t="inlineStr">
        <is>
          <t>Average beginning and ending reported total assets.</t>
        </is>
      </c>
      <c r="E136" t="inlineStr">
        <is>
          <t>quality.average_total_assets.2023-08-31</t>
        </is>
      </c>
      <c r="F136" t="inlineStr">
        <is>
          <t>earnings_quality</t>
        </is>
      </c>
      <c r="G136" t="inlineStr">
        <is>
          <t>Earnings Quality</t>
        </is>
      </c>
      <c r="H136" t="inlineStr">
        <is>
          <t>D11</t>
        </is>
      </c>
      <c r="I136">
        <f>(C10+D10)/2</f>
        <v/>
      </c>
      <c r="J136" t="n">
        <v>3243728</v>
      </c>
      <c r="K136" t="n">
        <v>0.01</v>
      </c>
      <c r="M136" t="inlineStr">
        <is>
          <t>Average Total Assets = (Beginning Total Assets + Ending Total Assets) / 2.</t>
        </is>
      </c>
      <c r="O136" t="inlineStr">
        <is>
          <t>pending</t>
        </is>
      </c>
      <c r="P136" t="inlineStr">
        <is>
          <t>average_total_assets</t>
        </is>
      </c>
      <c r="Q136" t="n">
        <v>33</v>
      </c>
      <c r="R136" t="n">
        <v>2</v>
      </c>
      <c r="S136" t="inlineStr">
        <is>
          <t>2023-08-31</t>
        </is>
      </c>
    </row>
    <row r="137">
      <c r="A137" t="inlineStr">
        <is>
          <t>average_total_assets__20240831</t>
        </is>
      </c>
      <c r="B137" t="n">
        <v>136</v>
      </c>
      <c r="C137" t="inlineStr">
        <is>
          <t>Average total assets</t>
        </is>
      </c>
      <c r="D137" t="inlineStr">
        <is>
          <t>Average beginning and ending reported total assets.</t>
        </is>
      </c>
      <c r="E137" t="inlineStr">
        <is>
          <t>quality.average_total_assets.2024-08-31</t>
        </is>
      </c>
      <c r="F137" t="inlineStr">
        <is>
          <t>earnings_quality</t>
        </is>
      </c>
      <c r="G137" t="inlineStr">
        <is>
          <t>Earnings Quality</t>
        </is>
      </c>
      <c r="H137" t="inlineStr">
        <is>
          <t>E11</t>
        </is>
      </c>
      <c r="I137">
        <f>(D10+E10)/2</f>
        <v/>
      </c>
      <c r="J137" t="n">
        <v>3445629.5</v>
      </c>
      <c r="K137" t="n">
        <v>0.01</v>
      </c>
      <c r="M137" t="inlineStr">
        <is>
          <t>Average Total Assets = (Beginning Total Assets + Ending Total Assets) / 2.</t>
        </is>
      </c>
      <c r="O137" t="inlineStr">
        <is>
          <t>pending</t>
        </is>
      </c>
      <c r="P137" t="inlineStr">
        <is>
          <t>average_total_assets</t>
        </is>
      </c>
      <c r="Q137" t="n">
        <v>33</v>
      </c>
      <c r="R137" t="n">
        <v>3</v>
      </c>
      <c r="S137" t="inlineStr">
        <is>
          <t>2024-08-31</t>
        </is>
      </c>
    </row>
    <row r="138">
      <c r="A138" t="inlineStr">
        <is>
          <t>average_total_assets__20250831</t>
        </is>
      </c>
      <c r="B138" t="n">
        <v>137</v>
      </c>
      <c r="C138" t="inlineStr">
        <is>
          <t>Average total assets</t>
        </is>
      </c>
      <c r="D138" t="inlineStr">
        <is>
          <t>Average beginning and ending reported total assets.</t>
        </is>
      </c>
      <c r="E138" t="inlineStr">
        <is>
          <t>quality.average_total_assets.2025-08-31</t>
        </is>
      </c>
      <c r="F138" t="inlineStr">
        <is>
          <t>earnings_quality</t>
        </is>
      </c>
      <c r="G138" t="inlineStr">
        <is>
          <t>Earnings Quality</t>
        </is>
      </c>
      <c r="H138" t="inlineStr">
        <is>
          <t>F11</t>
        </is>
      </c>
      <c r="I138">
        <f>(E10+F10)/2</f>
        <v/>
      </c>
      <c r="J138" t="n">
        <v>3723459</v>
      </c>
      <c r="K138" t="n">
        <v>0.01</v>
      </c>
      <c r="M138" t="inlineStr">
        <is>
          <t>Average Total Assets = (Beginning Total Assets + Ending Total Assets) / 2.</t>
        </is>
      </c>
      <c r="O138" t="inlineStr">
        <is>
          <t>pending</t>
        </is>
      </c>
      <c r="P138" t="inlineStr">
        <is>
          <t>average_total_assets</t>
        </is>
      </c>
      <c r="Q138" t="n">
        <v>33</v>
      </c>
      <c r="R138" t="n">
        <v>4</v>
      </c>
      <c r="S138" t="inlineStr">
        <is>
          <t>2025-08-31</t>
        </is>
      </c>
    </row>
    <row r="139">
      <c r="A139" t="inlineStr">
        <is>
          <t>accrual_ratio__20220831</t>
        </is>
      </c>
      <c r="B139" t="n">
        <v>138</v>
      </c>
      <c r="C139" t="inlineStr">
        <is>
          <t>Accrual ratio</t>
        </is>
      </c>
      <c r="D139" t="inlineStr">
        <is>
          <t>Scale total accruals by average total assets.</t>
        </is>
      </c>
      <c r="E139" t="inlineStr">
        <is>
          <t>quality.accrual_ratio.2022-08-31</t>
        </is>
      </c>
      <c r="F139" t="inlineStr">
        <is>
          <t>earnings_quality</t>
        </is>
      </c>
      <c r="G139" t="inlineStr">
        <is>
          <t>Earnings Quality</t>
        </is>
      </c>
      <c r="H139" t="inlineStr">
        <is>
          <t>C12</t>
        </is>
      </c>
      <c r="I139">
        <f>IF(C11=0,NA(),C8/C11)</f>
        <v/>
      </c>
      <c r="J139" t="n">
        <v>-0.0513079456764607</v>
      </c>
      <c r="K139" t="n">
        <v>0.01</v>
      </c>
      <c r="L139" t="inlineStr">
        <is>
          <t>total_accruals__20220831,average_total_assets__20220831</t>
        </is>
      </c>
      <c r="M139" t="inlineStr">
        <is>
          <t>Accrual ratio = Total Accruals / Average Total Assets.</t>
        </is>
      </c>
      <c r="O139" t="inlineStr">
        <is>
          <t>pending</t>
        </is>
      </c>
      <c r="P139" t="inlineStr">
        <is>
          <t>accrual_ratio</t>
        </is>
      </c>
      <c r="Q139" t="n">
        <v>34</v>
      </c>
      <c r="R139" t="n">
        <v>1</v>
      </c>
      <c r="S139" t="inlineStr">
        <is>
          <t>2022-08-31</t>
        </is>
      </c>
    </row>
    <row r="140">
      <c r="A140" t="inlineStr">
        <is>
          <t>accrual_ratio__20230831</t>
        </is>
      </c>
      <c r="B140" t="n">
        <v>139</v>
      </c>
      <c r="C140" t="inlineStr">
        <is>
          <t>Accrual ratio</t>
        </is>
      </c>
      <c r="D140" t="inlineStr">
        <is>
          <t>Scale total accruals by average total assets.</t>
        </is>
      </c>
      <c r="E140" t="inlineStr">
        <is>
          <t>quality.accrual_ratio.2023-08-31</t>
        </is>
      </c>
      <c r="F140" t="inlineStr">
        <is>
          <t>earnings_quality</t>
        </is>
      </c>
      <c r="G140" t="inlineStr">
        <is>
          <t>Earnings Quality</t>
        </is>
      </c>
      <c r="H140" t="inlineStr">
        <is>
          <t>D12</t>
        </is>
      </c>
      <c r="I140">
        <f>IF(D11=0,NA(),D8/D11)</f>
        <v/>
      </c>
      <c r="J140" t="n">
        <v>-0.04564038661688033</v>
      </c>
      <c r="K140" t="n">
        <v>0.01</v>
      </c>
      <c r="L140" t="inlineStr">
        <is>
          <t>total_accruals__20230831,average_total_assets__20230831</t>
        </is>
      </c>
      <c r="M140" t="inlineStr">
        <is>
          <t>Accrual ratio = Total Accruals / Average Total Assets.</t>
        </is>
      </c>
      <c r="O140" t="inlineStr">
        <is>
          <t>pending</t>
        </is>
      </c>
      <c r="P140" t="inlineStr">
        <is>
          <t>accrual_ratio</t>
        </is>
      </c>
      <c r="Q140" t="n">
        <v>34</v>
      </c>
      <c r="R140" t="n">
        <v>2</v>
      </c>
      <c r="S140" t="inlineStr">
        <is>
          <t>2023-08-31</t>
        </is>
      </c>
    </row>
    <row r="141">
      <c r="A141" t="inlineStr">
        <is>
          <t>accrual_ratio__20240831</t>
        </is>
      </c>
      <c r="B141" t="n">
        <v>140</v>
      </c>
      <c r="C141" t="inlineStr">
        <is>
          <t>Accrual ratio</t>
        </is>
      </c>
      <c r="D141" t="inlineStr">
        <is>
          <t>Scale total accruals by average total assets.</t>
        </is>
      </c>
      <c r="E141" t="inlineStr">
        <is>
          <t>quality.accrual_ratio.2024-08-31</t>
        </is>
      </c>
      <c r="F141" t="inlineStr">
        <is>
          <t>earnings_quality</t>
        </is>
      </c>
      <c r="G141" t="inlineStr">
        <is>
          <t>Earnings Quality</t>
        </is>
      </c>
      <c r="H141" t="inlineStr">
        <is>
          <t>E12</t>
        </is>
      </c>
      <c r="I141">
        <f>IF(E11=0,NA(),E8/E11)</f>
        <v/>
      </c>
      <c r="J141" t="n">
        <v>-0.07485308562629847</v>
      </c>
      <c r="K141" t="n">
        <v>0.01</v>
      </c>
      <c r="L141" t="inlineStr">
        <is>
          <t>total_accruals__20240831,average_total_assets__20240831</t>
        </is>
      </c>
      <c r="M141" t="inlineStr">
        <is>
          <t>Accrual ratio = Total Accruals / Average Total Assets.</t>
        </is>
      </c>
      <c r="O141" t="inlineStr">
        <is>
          <t>pending</t>
        </is>
      </c>
      <c r="P141" t="inlineStr">
        <is>
          <t>accrual_ratio</t>
        </is>
      </c>
      <c r="Q141" t="n">
        <v>34</v>
      </c>
      <c r="R141" t="n">
        <v>3</v>
      </c>
      <c r="S141" t="inlineStr">
        <is>
          <t>2024-08-31</t>
        </is>
      </c>
    </row>
    <row r="142">
      <c r="A142" t="inlineStr">
        <is>
          <t>accrual_ratio__20250831</t>
        </is>
      </c>
      <c r="B142" t="n">
        <v>141</v>
      </c>
      <c r="C142" t="inlineStr">
        <is>
          <t>Accrual ratio</t>
        </is>
      </c>
      <c r="D142" t="inlineStr">
        <is>
          <t>Scale total accruals by average total assets.</t>
        </is>
      </c>
      <c r="E142" t="inlineStr">
        <is>
          <t>quality.accrual_ratio.2025-08-31</t>
        </is>
      </c>
      <c r="F142" t="inlineStr">
        <is>
          <t>earnings_quality</t>
        </is>
      </c>
      <c r="G142" t="inlineStr">
        <is>
          <t>Earnings Quality</t>
        </is>
      </c>
      <c r="H142" t="inlineStr">
        <is>
          <t>F12</t>
        </is>
      </c>
      <c r="I142">
        <f>IF(F11=0,NA(),F8/F11)</f>
        <v/>
      </c>
      <c r="J142" t="n">
        <v>-0.03262154894145471</v>
      </c>
      <c r="K142" t="n">
        <v>0.01</v>
      </c>
      <c r="L142" t="inlineStr">
        <is>
          <t>total_accruals__20250831,average_total_assets__20250831</t>
        </is>
      </c>
      <c r="M142" t="inlineStr">
        <is>
          <t>Accrual ratio = Total Accruals / Average Total Assets.</t>
        </is>
      </c>
      <c r="O142" t="inlineStr">
        <is>
          <t>pending</t>
        </is>
      </c>
      <c r="P142" t="inlineStr">
        <is>
          <t>accrual_ratio</t>
        </is>
      </c>
      <c r="Q142" t="n">
        <v>34</v>
      </c>
      <c r="R142" t="n">
        <v>4</v>
      </c>
      <c r="S142" t="inlineStr">
        <is>
          <t>2025-08-31</t>
        </is>
      </c>
    </row>
    <row r="143">
      <c r="A143" t="inlineStr">
        <is>
          <t>owca_to_revenue__20210831</t>
        </is>
      </c>
      <c r="B143" t="n">
        <v>142</v>
      </c>
      <c r="C143" t="inlineStr">
        <is>
          <t>Operating working capital assets / Revenue</t>
        </is>
      </c>
      <c r="D143" t="inlineStr">
        <is>
          <t>OWCA divided by Revenue for the same fiscal period.</t>
        </is>
      </c>
      <c r="E143" t="inlineStr">
        <is>
          <t>working_capital.owca_to_revenue.2021-08-31</t>
        </is>
      </c>
      <c r="F143" t="inlineStr">
        <is>
          <t>working_capital</t>
        </is>
      </c>
      <c r="G143" t="inlineStr">
        <is>
          <t>Working Capital Analysis</t>
        </is>
      </c>
      <c r="H143" t="inlineStr">
        <is>
          <t>B11</t>
        </is>
      </c>
      <c r="I143">
        <f>IF(B6=0,NA(),B7/B6)</f>
        <v/>
      </c>
      <c r="J143" t="n">
        <v>0.2173829062650024</v>
      </c>
      <c r="K143" t="n">
        <v>0.01</v>
      </c>
      <c r="M143" t="inlineStr">
        <is>
          <t>Operating Working Capital Assets / Revenue measures operating current assets tied up per sales dollar.|A zero Revenue denominator makes the ratio undefined (#N/A).|A higher ratio is not automatically deterioration; diagnose the underlying operating balances before drawing a conclusion.</t>
        </is>
      </c>
      <c r="O143" t="inlineStr">
        <is>
          <t>pending</t>
        </is>
      </c>
      <c r="P143" t="inlineStr">
        <is>
          <t>owca_to_revenue</t>
        </is>
      </c>
      <c r="Q143" t="n">
        <v>35</v>
      </c>
      <c r="R143" t="n">
        <v>0</v>
      </c>
      <c r="S143" t="inlineStr">
        <is>
          <t>2021-08-31</t>
        </is>
      </c>
    </row>
    <row r="144">
      <c r="A144" t="inlineStr">
        <is>
          <t>owca_to_revenue__20220831</t>
        </is>
      </c>
      <c r="B144" t="n">
        <v>143</v>
      </c>
      <c r="C144" t="inlineStr">
        <is>
          <t>Operating working capital assets / Revenue</t>
        </is>
      </c>
      <c r="D144" t="inlineStr">
        <is>
          <t>OWCA divided by Revenue for the same fiscal period.</t>
        </is>
      </c>
      <c r="E144" t="inlineStr">
        <is>
          <t>working_capital.owca_to_revenue.2022-08-31</t>
        </is>
      </c>
      <c r="F144" t="inlineStr">
        <is>
          <t>working_capital</t>
        </is>
      </c>
      <c r="G144" t="inlineStr">
        <is>
          <t>Working Capital Analysis</t>
        </is>
      </c>
      <c r="H144" t="inlineStr">
        <is>
          <t>C11</t>
        </is>
      </c>
      <c r="I144">
        <f>IF(C6=0,NA(),C7/C6)</f>
        <v/>
      </c>
      <c r="J144" t="n">
        <v>0.2488173160745063</v>
      </c>
      <c r="K144" t="n">
        <v>0.01</v>
      </c>
      <c r="M144" t="inlineStr">
        <is>
          <t>Operating Working Capital Assets / Revenue measures operating current assets tied up per sales dollar.|A zero Revenue denominator makes the ratio undefined (#N/A).|A higher ratio is not automatically deterioration; diagnose the underlying operating balances before drawing a conclusion.</t>
        </is>
      </c>
      <c r="O144" t="inlineStr">
        <is>
          <t>pending</t>
        </is>
      </c>
      <c r="P144" t="inlineStr">
        <is>
          <t>owca_to_revenue</t>
        </is>
      </c>
      <c r="Q144" t="n">
        <v>35</v>
      </c>
      <c r="R144" t="n">
        <v>1</v>
      </c>
      <c r="S144" t="inlineStr">
        <is>
          <t>2022-08-31</t>
        </is>
      </c>
    </row>
    <row r="145">
      <c r="A145" t="inlineStr">
        <is>
          <t>owca_to_revenue__20230831</t>
        </is>
      </c>
      <c r="B145" t="n">
        <v>144</v>
      </c>
      <c r="C145" t="inlineStr">
        <is>
          <t>Operating working capital assets / Revenue</t>
        </is>
      </c>
      <c r="D145" t="inlineStr">
        <is>
          <t>OWCA divided by Revenue for the same fiscal period.</t>
        </is>
      </c>
      <c r="E145" t="inlineStr">
        <is>
          <t>working_capital.owca_to_revenue.2023-08-31</t>
        </is>
      </c>
      <c r="F145" t="inlineStr">
        <is>
          <t>working_capital</t>
        </is>
      </c>
      <c r="G145" t="inlineStr">
        <is>
          <t>Working Capital Analysis</t>
        </is>
      </c>
      <c r="H145" t="inlineStr">
        <is>
          <t>D11</t>
        </is>
      </c>
      <c r="I145">
        <f>IF(D6=0,NA(),D7/D6)</f>
        <v/>
      </c>
      <c r="J145" t="n">
        <v>0.204267253485108</v>
      </c>
      <c r="K145" t="n">
        <v>0.01</v>
      </c>
      <c r="M145" t="inlineStr">
        <is>
          <t>Operating Working Capital Assets / Revenue measures operating current assets tied up per sales dollar.|A zero Revenue denominator makes the ratio undefined (#N/A).|A higher ratio is not automatically deterioration; diagnose the underlying operating balances before drawing a conclusion.</t>
        </is>
      </c>
      <c r="O145" t="inlineStr">
        <is>
          <t>pending</t>
        </is>
      </c>
      <c r="P145" t="inlineStr">
        <is>
          <t>owca_to_revenue</t>
        </is>
      </c>
      <c r="Q145" t="n">
        <v>35</v>
      </c>
      <c r="R145" t="n">
        <v>2</v>
      </c>
      <c r="S145" t="inlineStr">
        <is>
          <t>2023-08-31</t>
        </is>
      </c>
    </row>
    <row r="146">
      <c r="A146" t="inlineStr">
        <is>
          <t>owca_to_revenue__20240831</t>
        </is>
      </c>
      <c r="B146" t="n">
        <v>145</v>
      </c>
      <c r="C146" t="inlineStr">
        <is>
          <t>Operating working capital assets / Revenue</t>
        </is>
      </c>
      <c r="D146" t="inlineStr">
        <is>
          <t>OWCA divided by Revenue for the same fiscal period.</t>
        </is>
      </c>
      <c r="E146" t="inlineStr">
        <is>
          <t>working_capital.owca_to_revenue.2024-08-31</t>
        </is>
      </c>
      <c r="F146" t="inlineStr">
        <is>
          <t>working_capital</t>
        </is>
      </c>
      <c r="G146" t="inlineStr">
        <is>
          <t>Working Capital Analysis</t>
        </is>
      </c>
      <c r="H146" t="inlineStr">
        <is>
          <t>E11</t>
        </is>
      </c>
      <c r="I146">
        <f>IF(E6=0,NA(),E7/E6)</f>
        <v/>
      </c>
      <c r="J146" t="n">
        <v>0.1892806192079736</v>
      </c>
      <c r="K146" t="n">
        <v>0.01</v>
      </c>
      <c r="M146" t="inlineStr">
        <is>
          <t>Operating Working Capital Assets / Revenue measures operating current assets tied up per sales dollar.|A zero Revenue denominator makes the ratio undefined (#N/A).|A higher ratio is not automatically deterioration; diagnose the underlying operating balances before drawing a conclusion.</t>
        </is>
      </c>
      <c r="O146" t="inlineStr">
        <is>
          <t>pending</t>
        </is>
      </c>
      <c r="P146" t="inlineStr">
        <is>
          <t>owca_to_revenue</t>
        </is>
      </c>
      <c r="Q146" t="n">
        <v>35</v>
      </c>
      <c r="R146" t="n">
        <v>3</v>
      </c>
      <c r="S146" t="inlineStr">
        <is>
          <t>2024-08-31</t>
        </is>
      </c>
    </row>
    <row r="147">
      <c r="A147" t="inlineStr">
        <is>
          <t>owca_to_revenue__20250831</t>
        </is>
      </c>
      <c r="B147" t="n">
        <v>146</v>
      </c>
      <c r="C147" t="inlineStr">
        <is>
          <t>Operating working capital assets / Revenue</t>
        </is>
      </c>
      <c r="D147" t="inlineStr">
        <is>
          <t>OWCA divided by Revenue for the same fiscal period.</t>
        </is>
      </c>
      <c r="E147" t="inlineStr">
        <is>
          <t>working_capital.owca_to_revenue.2025-08-31</t>
        </is>
      </c>
      <c r="F147" t="inlineStr">
        <is>
          <t>working_capital</t>
        </is>
      </c>
      <c r="G147" t="inlineStr">
        <is>
          <t>Working Capital Analysis</t>
        </is>
      </c>
      <c r="H147" t="inlineStr">
        <is>
          <t>F11</t>
        </is>
      </c>
      <c r="I147">
        <f>IF(F6=0,NA(),F7/F6)</f>
        <v/>
      </c>
      <c r="J147" t="n">
        <v>0.1882257489180392</v>
      </c>
      <c r="K147" t="n">
        <v>0.01</v>
      </c>
      <c r="M147" t="inlineStr">
        <is>
          <t>Operating Working Capital Assets / Revenue measures operating current assets tied up per sales dollar.|A zero Revenue denominator makes the ratio undefined (#N/A).|A higher ratio is not automatically deterioration; diagnose the underlying operating balances before drawing a conclusion.</t>
        </is>
      </c>
      <c r="O147" t="inlineStr">
        <is>
          <t>pending</t>
        </is>
      </c>
      <c r="P147" t="inlineStr">
        <is>
          <t>owca_to_revenue</t>
        </is>
      </c>
      <c r="Q147" t="n">
        <v>35</v>
      </c>
      <c r="R147" t="n">
        <v>4</v>
      </c>
      <c r="S147" t="inlineStr">
        <is>
          <t>2025-08-31</t>
        </is>
      </c>
    </row>
    <row r="148">
      <c r="A148" t="inlineStr">
        <is>
          <t>owcl_to_revenue__20210831</t>
        </is>
      </c>
      <c r="B148" t="n">
        <v>147</v>
      </c>
      <c r="C148" t="inlineStr">
        <is>
          <t>Operating working capital liabilities / Revenue</t>
        </is>
      </c>
      <c r="D148" t="inlineStr">
        <is>
          <t>OWCL divided by Revenue for the same fiscal period.</t>
        </is>
      </c>
      <c r="E148" t="inlineStr">
        <is>
          <t>working_capital.owcl_to_revenue.2021-08-31</t>
        </is>
      </c>
      <c r="F148" t="inlineStr">
        <is>
          <t>working_capital</t>
        </is>
      </c>
      <c r="G148" t="inlineStr">
        <is>
          <t>Working Capital Analysis</t>
        </is>
      </c>
      <c r="H148" t="inlineStr">
        <is>
          <t>B12</t>
        </is>
      </c>
      <c r="I148">
        <f>IF(B6=0,NA(),B8/B6)</f>
        <v/>
      </c>
      <c r="J148" t="n">
        <v>0.1671192390782525</v>
      </c>
      <c r="K148" t="n">
        <v>0.01</v>
      </c>
      <c r="M148" t="inlineStr">
        <is>
          <t>Operating Working Capital Liabilities / Revenue measures operating current liabilities financing each sales dollar.|A zero Revenue denominator makes the ratio undefined (#N/A).|A higher ratio can finance growth but is not automatically positive; payment behavior and business model matter.</t>
        </is>
      </c>
      <c r="O148" t="inlineStr">
        <is>
          <t>pending</t>
        </is>
      </c>
      <c r="P148" t="inlineStr">
        <is>
          <t>owcl_to_revenue</t>
        </is>
      </c>
      <c r="Q148" t="n">
        <v>36</v>
      </c>
      <c r="R148" t="n">
        <v>0</v>
      </c>
      <c r="S148" t="inlineStr">
        <is>
          <t>2021-08-31</t>
        </is>
      </c>
    </row>
    <row r="149">
      <c r="A149" t="inlineStr">
        <is>
          <t>owcl_to_revenue__20220831</t>
        </is>
      </c>
      <c r="B149" t="n">
        <v>148</v>
      </c>
      <c r="C149" t="inlineStr">
        <is>
          <t>Operating working capital liabilities / Revenue</t>
        </is>
      </c>
      <c r="D149" t="inlineStr">
        <is>
          <t>OWCL divided by Revenue for the same fiscal period.</t>
        </is>
      </c>
      <c r="E149" t="inlineStr">
        <is>
          <t>working_capital.owcl_to_revenue.2022-08-31</t>
        </is>
      </c>
      <c r="F149" t="inlineStr">
        <is>
          <t>working_capital</t>
        </is>
      </c>
      <c r="G149" t="inlineStr">
        <is>
          <t>Working Capital Analysis</t>
        </is>
      </c>
      <c r="H149" t="inlineStr">
        <is>
          <t>C12</t>
        </is>
      </c>
      <c r="I149">
        <f>IF(C6=0,NA(),C8/C6)</f>
        <v/>
      </c>
      <c r="J149" t="n">
        <v>0.2353443233344429</v>
      </c>
      <c r="K149" t="n">
        <v>0.01</v>
      </c>
      <c r="M149" t="inlineStr">
        <is>
          <t>Operating Working Capital Liabilities / Revenue measures operating current liabilities financing each sales dollar.|A zero Revenue denominator makes the ratio undefined (#N/A).|A higher ratio can finance growth but is not automatically positive; payment behavior and business model matter.</t>
        </is>
      </c>
      <c r="O149" t="inlineStr">
        <is>
          <t>pending</t>
        </is>
      </c>
      <c r="P149" t="inlineStr">
        <is>
          <t>owcl_to_revenue</t>
        </is>
      </c>
      <c r="Q149" t="n">
        <v>36</v>
      </c>
      <c r="R149" t="n">
        <v>1</v>
      </c>
      <c r="S149" t="inlineStr">
        <is>
          <t>2022-08-31</t>
        </is>
      </c>
    </row>
    <row r="150">
      <c r="A150" t="inlineStr">
        <is>
          <t>owcl_to_revenue__20230831</t>
        </is>
      </c>
      <c r="B150" t="n">
        <v>149</v>
      </c>
      <c r="C150" t="inlineStr">
        <is>
          <t>Operating working capital liabilities / Revenue</t>
        </is>
      </c>
      <c r="D150" t="inlineStr">
        <is>
          <t>OWCL divided by Revenue for the same fiscal period.</t>
        </is>
      </c>
      <c r="E150" t="inlineStr">
        <is>
          <t>working_capital.owcl_to_revenue.2023-08-31</t>
        </is>
      </c>
      <c r="F150" t="inlineStr">
        <is>
          <t>working_capital</t>
        </is>
      </c>
      <c r="G150" t="inlineStr">
        <is>
          <t>Working Capital Analysis</t>
        </is>
      </c>
      <c r="H150" t="inlineStr">
        <is>
          <t>D12</t>
        </is>
      </c>
      <c r="I150">
        <f>IF(D6=0,NA(),D8/D6)</f>
        <v/>
      </c>
      <c r="J150" t="n">
        <v>0.19401479889986</v>
      </c>
      <c r="K150" t="n">
        <v>0.01</v>
      </c>
      <c r="M150" t="inlineStr">
        <is>
          <t>Operating Working Capital Liabilities / Revenue measures operating current liabilities financing each sales dollar.|A zero Revenue denominator makes the ratio undefined (#N/A).|A higher ratio can finance growth but is not automatically positive; payment behavior and business model matter.</t>
        </is>
      </c>
      <c r="O150" t="inlineStr">
        <is>
          <t>pending</t>
        </is>
      </c>
      <c r="P150" t="inlineStr">
        <is>
          <t>owcl_to_revenue</t>
        </is>
      </c>
      <c r="Q150" t="n">
        <v>36</v>
      </c>
      <c r="R150" t="n">
        <v>2</v>
      </c>
      <c r="S150" t="inlineStr">
        <is>
          <t>2023-08-31</t>
        </is>
      </c>
    </row>
    <row r="151">
      <c r="A151" t="inlineStr">
        <is>
          <t>owcl_to_revenue__20240831</t>
        </is>
      </c>
      <c r="B151" t="n">
        <v>150</v>
      </c>
      <c r="C151" t="inlineStr">
        <is>
          <t>Operating working capital liabilities / Revenue</t>
        </is>
      </c>
      <c r="D151" t="inlineStr">
        <is>
          <t>OWCL divided by Revenue for the same fiscal period.</t>
        </is>
      </c>
      <c r="E151" t="inlineStr">
        <is>
          <t>working_capital.owcl_to_revenue.2024-08-31</t>
        </is>
      </c>
      <c r="F151" t="inlineStr">
        <is>
          <t>working_capital</t>
        </is>
      </c>
      <c r="G151" t="inlineStr">
        <is>
          <t>Working Capital Analysis</t>
        </is>
      </c>
      <c r="H151" t="inlineStr">
        <is>
          <t>E12</t>
        </is>
      </c>
      <c r="I151">
        <f>IF(E6=0,NA(),E8/E6)</f>
        <v/>
      </c>
      <c r="J151" t="n">
        <v>0.1946481708440781</v>
      </c>
      <c r="K151" t="n">
        <v>0.01</v>
      </c>
      <c r="M151" t="inlineStr">
        <is>
          <t>Operating Working Capital Liabilities / Revenue measures operating current liabilities financing each sales dollar.|A zero Revenue denominator makes the ratio undefined (#N/A).|A higher ratio can finance growth but is not automatically positive; payment behavior and business model matter.</t>
        </is>
      </c>
      <c r="O151" t="inlineStr">
        <is>
          <t>pending</t>
        </is>
      </c>
      <c r="P151" t="inlineStr">
        <is>
          <t>owcl_to_revenue</t>
        </is>
      </c>
      <c r="Q151" t="n">
        <v>36</v>
      </c>
      <c r="R151" t="n">
        <v>3</v>
      </c>
      <c r="S151" t="inlineStr">
        <is>
          <t>2024-08-31</t>
        </is>
      </c>
    </row>
    <row r="152">
      <c r="A152" t="inlineStr">
        <is>
          <t>owcl_to_revenue__20250831</t>
        </is>
      </c>
      <c r="B152" t="n">
        <v>151</v>
      </c>
      <c r="C152" t="inlineStr">
        <is>
          <t>Operating working capital liabilities / Revenue</t>
        </is>
      </c>
      <c r="D152" t="inlineStr">
        <is>
          <t>OWCL divided by Revenue for the same fiscal period.</t>
        </is>
      </c>
      <c r="E152" t="inlineStr">
        <is>
          <t>working_capital.owcl_to_revenue.2025-08-31</t>
        </is>
      </c>
      <c r="F152" t="inlineStr">
        <is>
          <t>working_capital</t>
        </is>
      </c>
      <c r="G152" t="inlineStr">
        <is>
          <t>Working Capital Analysis</t>
        </is>
      </c>
      <c r="H152" t="inlineStr">
        <is>
          <t>F12</t>
        </is>
      </c>
      <c r="I152">
        <f>IF(F6=0,NA(),F8/F6)</f>
        <v/>
      </c>
      <c r="J152" t="n">
        <v>0.1806378341786405</v>
      </c>
      <c r="K152" t="n">
        <v>0.01</v>
      </c>
      <c r="M152" t="inlineStr">
        <is>
          <t>Operating Working Capital Liabilities / Revenue measures operating current liabilities financing each sales dollar.|A zero Revenue denominator makes the ratio undefined (#N/A).|A higher ratio can finance growth but is not automatically positive; payment behavior and business model matter.</t>
        </is>
      </c>
      <c r="O152" t="inlineStr">
        <is>
          <t>pending</t>
        </is>
      </c>
      <c r="P152" t="inlineStr">
        <is>
          <t>owcl_to_revenue</t>
        </is>
      </c>
      <c r="Q152" t="n">
        <v>36</v>
      </c>
      <c r="R152" t="n">
        <v>4</v>
      </c>
      <c r="S152" t="inlineStr">
        <is>
          <t>2025-08-31</t>
        </is>
      </c>
    </row>
    <row r="153">
      <c r="A153" t="inlineStr">
        <is>
          <t>nowc_to_revenue__20210831</t>
        </is>
      </c>
      <c r="B153" t="n">
        <v>152</v>
      </c>
      <c r="C153" t="inlineStr">
        <is>
          <t>NOWC / Revenue</t>
        </is>
      </c>
      <c r="D153" t="inlineStr">
        <is>
          <t>NOWC divided by Revenue for the same fiscal period.</t>
        </is>
      </c>
      <c r="E153" t="inlineStr">
        <is>
          <t>working_capital.nowc_to_revenue.2021-08-31</t>
        </is>
      </c>
      <c r="F153" t="inlineStr">
        <is>
          <t>working_capital</t>
        </is>
      </c>
      <c r="G153" t="inlineStr">
        <is>
          <t>Working Capital Analysis</t>
        </is>
      </c>
      <c r="H153" t="inlineStr">
        <is>
          <t>B13</t>
        </is>
      </c>
      <c r="I153">
        <f>IF(B6=0,NA(),B9/B6)</f>
        <v/>
      </c>
      <c r="J153" t="n">
        <v>0.05026366718674988</v>
      </c>
      <c r="K153" t="n">
        <v>0.01</v>
      </c>
      <c r="M153" t="inlineStr">
        <is>
          <t>NOWC / Revenue measures net operating working capital tied up per sales dollar.|NOWC = OWCA - OWCL.|Rising intensity means more net working capital is tied up per sales dollar, but the cause must be diagnosed rather than labeled automatically.</t>
        </is>
      </c>
      <c r="O153" t="inlineStr">
        <is>
          <t>pending</t>
        </is>
      </c>
      <c r="P153" t="inlineStr">
        <is>
          <t>nowc_to_revenue</t>
        </is>
      </c>
      <c r="Q153" t="n">
        <v>37</v>
      </c>
      <c r="R153" t="n">
        <v>0</v>
      </c>
      <c r="S153" t="inlineStr">
        <is>
          <t>2021-08-31</t>
        </is>
      </c>
    </row>
    <row r="154">
      <c r="A154" t="inlineStr">
        <is>
          <t>nowc_to_revenue__20220831</t>
        </is>
      </c>
      <c r="B154" t="n">
        <v>153</v>
      </c>
      <c r="C154" t="inlineStr">
        <is>
          <t>NOWC / Revenue</t>
        </is>
      </c>
      <c r="D154" t="inlineStr">
        <is>
          <t>NOWC divided by Revenue for the same fiscal period.</t>
        </is>
      </c>
      <c r="E154" t="inlineStr">
        <is>
          <t>working_capital.nowc_to_revenue.2022-08-31</t>
        </is>
      </c>
      <c r="F154" t="inlineStr">
        <is>
          <t>working_capital</t>
        </is>
      </c>
      <c r="G154" t="inlineStr">
        <is>
          <t>Working Capital Analysis</t>
        </is>
      </c>
      <c r="H154" t="inlineStr">
        <is>
          <t>C13</t>
        </is>
      </c>
      <c r="I154">
        <f>IF(C6=0,NA(),C9/C6)</f>
        <v/>
      </c>
      <c r="J154" t="n">
        <v>0.01347299274006333</v>
      </c>
      <c r="K154" t="n">
        <v>0.01</v>
      </c>
      <c r="M154" t="inlineStr">
        <is>
          <t>NOWC / Revenue measures net operating working capital tied up per sales dollar.|NOWC = OWCA - OWCL.|Rising intensity means more net working capital is tied up per sales dollar, but the cause must be diagnosed rather than labeled automatically.</t>
        </is>
      </c>
      <c r="O154" t="inlineStr">
        <is>
          <t>pending</t>
        </is>
      </c>
      <c r="P154" t="inlineStr">
        <is>
          <t>nowc_to_revenue</t>
        </is>
      </c>
      <c r="Q154" t="n">
        <v>37</v>
      </c>
      <c r="R154" t="n">
        <v>1</v>
      </c>
      <c r="S154" t="inlineStr">
        <is>
          <t>2022-08-31</t>
        </is>
      </c>
    </row>
    <row r="155">
      <c r="A155" t="inlineStr">
        <is>
          <t>nowc_to_revenue__20230831</t>
        </is>
      </c>
      <c r="B155" t="n">
        <v>154</v>
      </c>
      <c r="C155" t="inlineStr">
        <is>
          <t>NOWC / Revenue</t>
        </is>
      </c>
      <c r="D155" t="inlineStr">
        <is>
          <t>NOWC divided by Revenue for the same fiscal period.</t>
        </is>
      </c>
      <c r="E155" t="inlineStr">
        <is>
          <t>working_capital.nowc_to_revenue.2023-08-31</t>
        </is>
      </c>
      <c r="F155" t="inlineStr">
        <is>
          <t>working_capital</t>
        </is>
      </c>
      <c r="G155" t="inlineStr">
        <is>
          <t>Working Capital Analysis</t>
        </is>
      </c>
      <c r="H155" t="inlineStr">
        <is>
          <t>D13</t>
        </is>
      </c>
      <c r="I155">
        <f>IF(D6=0,NA(),D9/D6)</f>
        <v/>
      </c>
      <c r="J155" t="n">
        <v>0.01025245458524802</v>
      </c>
      <c r="K155" t="n">
        <v>0.01</v>
      </c>
      <c r="M155" t="inlineStr">
        <is>
          <t>NOWC / Revenue measures net operating working capital tied up per sales dollar.|NOWC = OWCA - OWCL.|Rising intensity means more net working capital is tied up per sales dollar, but the cause must be diagnosed rather than labeled automatically.</t>
        </is>
      </c>
      <c r="O155" t="inlineStr">
        <is>
          <t>pending</t>
        </is>
      </c>
      <c r="P155" t="inlineStr">
        <is>
          <t>nowc_to_revenue</t>
        </is>
      </c>
      <c r="Q155" t="n">
        <v>37</v>
      </c>
      <c r="R155" t="n">
        <v>2</v>
      </c>
      <c r="S155" t="inlineStr">
        <is>
          <t>2023-08-31</t>
        </is>
      </c>
    </row>
    <row r="156">
      <c r="A156" t="inlineStr">
        <is>
          <t>nowc_to_revenue__20240831</t>
        </is>
      </c>
      <c r="B156" t="n">
        <v>155</v>
      </c>
      <c r="C156" t="inlineStr">
        <is>
          <t>NOWC / Revenue</t>
        </is>
      </c>
      <c r="D156" t="inlineStr">
        <is>
          <t>NOWC divided by Revenue for the same fiscal period.</t>
        </is>
      </c>
      <c r="E156" t="inlineStr">
        <is>
          <t>working_capital.nowc_to_revenue.2024-08-31</t>
        </is>
      </c>
      <c r="F156" t="inlineStr">
        <is>
          <t>working_capital</t>
        </is>
      </c>
      <c r="G156" t="inlineStr">
        <is>
          <t>Working Capital Analysis</t>
        </is>
      </c>
      <c r="H156" t="inlineStr">
        <is>
          <t>E13</t>
        </is>
      </c>
      <c r="I156">
        <f>IF(E6=0,NA(),E9/E6)</f>
        <v/>
      </c>
      <c r="J156" t="n">
        <v>-0.005367551636104485</v>
      </c>
      <c r="K156" t="n">
        <v>0.01</v>
      </c>
      <c r="M156" t="inlineStr">
        <is>
          <t>NOWC / Revenue measures net operating working capital tied up per sales dollar.|NOWC = OWCA - OWCL.|Rising intensity means more net working capital is tied up per sales dollar, but the cause must be diagnosed rather than labeled automatically.</t>
        </is>
      </c>
      <c r="O156" t="inlineStr">
        <is>
          <t>pending</t>
        </is>
      </c>
      <c r="P156" t="inlineStr">
        <is>
          <t>nowc_to_revenue</t>
        </is>
      </c>
      <c r="Q156" t="n">
        <v>37</v>
      </c>
      <c r="R156" t="n">
        <v>3</v>
      </c>
      <c r="S156" t="inlineStr">
        <is>
          <t>2024-08-31</t>
        </is>
      </c>
    </row>
    <row r="157">
      <c r="A157" t="inlineStr">
        <is>
          <t>nowc_to_revenue__20250831</t>
        </is>
      </c>
      <c r="B157" t="n">
        <v>156</v>
      </c>
      <c r="C157" t="inlineStr">
        <is>
          <t>NOWC / Revenue</t>
        </is>
      </c>
      <c r="D157" t="inlineStr">
        <is>
          <t>NOWC divided by Revenue for the same fiscal period.</t>
        </is>
      </c>
      <c r="E157" t="inlineStr">
        <is>
          <t>working_capital.nowc_to_revenue.2025-08-31</t>
        </is>
      </c>
      <c r="F157" t="inlineStr">
        <is>
          <t>working_capital</t>
        </is>
      </c>
      <c r="G157" t="inlineStr">
        <is>
          <t>Working Capital Analysis</t>
        </is>
      </c>
      <c r="H157" t="inlineStr">
        <is>
          <t>F13</t>
        </is>
      </c>
      <c r="I157">
        <f>IF(F6=0,NA(),F9/F6)</f>
        <v/>
      </c>
      <c r="J157" t="n">
        <v>0.007587914739398666</v>
      </c>
      <c r="K157" t="n">
        <v>0.01</v>
      </c>
      <c r="M157" t="inlineStr">
        <is>
          <t>NOWC / Revenue measures net operating working capital tied up per sales dollar.|NOWC = OWCA - OWCL.|Rising intensity means more net working capital is tied up per sales dollar, but the cause must be diagnosed rather than labeled automatically.</t>
        </is>
      </c>
      <c r="O157" t="inlineStr">
        <is>
          <t>pending</t>
        </is>
      </c>
      <c r="P157" t="inlineStr">
        <is>
          <t>nowc_to_revenue</t>
        </is>
      </c>
      <c r="Q157" t="n">
        <v>37</v>
      </c>
      <c r="R157" t="n">
        <v>4</v>
      </c>
      <c r="S157" t="inlineStr">
        <is>
          <t>2025-08-31</t>
        </is>
      </c>
    </row>
    <row r="158">
      <c r="A158" t="inlineStr">
        <is>
          <t>revenue_change__20220831</t>
        </is>
      </c>
      <c r="B158" t="n">
        <v>157</v>
      </c>
      <c r="C158" t="inlineStr">
        <is>
          <t>Change in Revenue</t>
        </is>
      </c>
      <c r="D158" t="inlineStr">
        <is>
          <t>Absolute year-on-year change in Revenue.</t>
        </is>
      </c>
      <c r="E158" t="inlineStr">
        <is>
          <t>working_capital.revenue_change.2022-08-31</t>
        </is>
      </c>
      <c r="F158" t="inlineStr">
        <is>
          <t>working_capital</t>
        </is>
      </c>
      <c r="G158" t="inlineStr">
        <is>
          <t>Working Capital Analysis</t>
        </is>
      </c>
      <c r="H158" t="inlineStr">
        <is>
          <t>C14</t>
        </is>
      </c>
      <c r="I158">
        <f>C6-B6</f>
        <v/>
      </c>
      <c r="J158" t="n">
        <v>168130</v>
      </c>
      <c r="K158" t="n">
        <v>0.01</v>
      </c>
      <c r="M158" t="inlineStr">
        <is>
          <t>Use the absolute year-on-year change in Revenue, not the percentage growth rate.</t>
        </is>
      </c>
      <c r="O158" t="inlineStr">
        <is>
          <t>pending</t>
        </is>
      </c>
      <c r="P158" t="inlineStr">
        <is>
          <t>revenue_change</t>
        </is>
      </c>
      <c r="Q158" t="n">
        <v>38</v>
      </c>
      <c r="R158" t="n">
        <v>1</v>
      </c>
      <c r="S158" t="inlineStr">
        <is>
          <t>2022-08-31</t>
        </is>
      </c>
    </row>
    <row r="159">
      <c r="A159" t="inlineStr">
        <is>
          <t>revenue_change__20230831</t>
        </is>
      </c>
      <c r="B159" t="n">
        <v>158</v>
      </c>
      <c r="C159" t="inlineStr">
        <is>
          <t>Change in Revenue</t>
        </is>
      </c>
      <c r="D159" t="inlineStr">
        <is>
          <t>Absolute year-on-year change in Revenue.</t>
        </is>
      </c>
      <c r="E159" t="inlineStr">
        <is>
          <t>working_capital.revenue_change.2023-08-31</t>
        </is>
      </c>
      <c r="F159" t="inlineStr">
        <is>
          <t>working_capital</t>
        </is>
      </c>
      <c r="G159" t="inlineStr">
        <is>
          <t>Working Capital Analysis</t>
        </is>
      </c>
      <c r="H159" t="inlineStr">
        <is>
          <t>D14</t>
        </is>
      </c>
      <c r="I159">
        <f>D6-C6</f>
        <v/>
      </c>
      <c r="J159" t="n">
        <v>465435</v>
      </c>
      <c r="K159" t="n">
        <v>0.01</v>
      </c>
      <c r="M159" t="inlineStr">
        <is>
          <t>Use the absolute year-on-year change in Revenue, not the percentage growth rate.</t>
        </is>
      </c>
      <c r="O159" t="inlineStr">
        <is>
          <t>pending</t>
        </is>
      </c>
      <c r="P159" t="inlineStr">
        <is>
          <t>revenue_change</t>
        </is>
      </c>
      <c r="Q159" t="n">
        <v>38</v>
      </c>
      <c r="R159" t="n">
        <v>2</v>
      </c>
      <c r="S159" t="inlineStr">
        <is>
          <t>2023-08-31</t>
        </is>
      </c>
    </row>
    <row r="160">
      <c r="A160" t="inlineStr">
        <is>
          <t>revenue_change__20240831</t>
        </is>
      </c>
      <c r="B160" t="n">
        <v>159</v>
      </c>
      <c r="C160" t="inlineStr">
        <is>
          <t>Change in Revenue</t>
        </is>
      </c>
      <c r="D160" t="inlineStr">
        <is>
          <t>Absolute year-on-year change in Revenue.</t>
        </is>
      </c>
      <c r="E160" t="inlineStr">
        <is>
          <t>working_capital.revenue_change.2024-08-31</t>
        </is>
      </c>
      <c r="F160" t="inlineStr">
        <is>
          <t>working_capital</t>
        </is>
      </c>
      <c r="G160" t="inlineStr">
        <is>
          <t>Working Capital Analysis</t>
        </is>
      </c>
      <c r="H160" t="inlineStr">
        <is>
          <t>E14</t>
        </is>
      </c>
      <c r="I160">
        <f>E6-D6</f>
        <v/>
      </c>
      <c r="J160" t="n">
        <v>337279</v>
      </c>
      <c r="K160" t="n">
        <v>0.01</v>
      </c>
      <c r="M160" t="inlineStr">
        <is>
          <t>Use the absolute year-on-year change in Revenue, not the percentage growth rate.</t>
        </is>
      </c>
      <c r="O160" t="inlineStr">
        <is>
          <t>pending</t>
        </is>
      </c>
      <c r="P160" t="inlineStr">
        <is>
          <t>revenue_change</t>
        </is>
      </c>
      <c r="Q160" t="n">
        <v>38</v>
      </c>
      <c r="R160" t="n">
        <v>3</v>
      </c>
      <c r="S160" t="inlineStr">
        <is>
          <t>2024-08-31</t>
        </is>
      </c>
    </row>
    <row r="161">
      <c r="A161" t="inlineStr">
        <is>
          <t>revenue_change__20250831</t>
        </is>
      </c>
      <c r="B161" t="n">
        <v>160</v>
      </c>
      <c r="C161" t="inlineStr">
        <is>
          <t>Change in Revenue</t>
        </is>
      </c>
      <c r="D161" t="inlineStr">
        <is>
          <t>Absolute year-on-year change in Revenue.</t>
        </is>
      </c>
      <c r="E161" t="inlineStr">
        <is>
          <t>working_capital.revenue_change.2025-08-31</t>
        </is>
      </c>
      <c r="F161" t="inlineStr">
        <is>
          <t>working_capital</t>
        </is>
      </c>
      <c r="G161" t="inlineStr">
        <is>
          <t>Working Capital Analysis</t>
        </is>
      </c>
      <c r="H161" t="inlineStr">
        <is>
          <t>F14</t>
        </is>
      </c>
      <c r="I161">
        <f>F6-E6</f>
        <v/>
      </c>
      <c r="J161" t="n">
        <v>296703</v>
      </c>
      <c r="K161" t="n">
        <v>0.01</v>
      </c>
      <c r="M161" t="inlineStr">
        <is>
          <t>Use the absolute year-on-year change in Revenue, not the percentage growth rate.</t>
        </is>
      </c>
      <c r="O161" t="inlineStr">
        <is>
          <t>pending</t>
        </is>
      </c>
      <c r="P161" t="inlineStr">
        <is>
          <t>revenue_change</t>
        </is>
      </c>
      <c r="Q161" t="n">
        <v>38</v>
      </c>
      <c r="R161" t="n">
        <v>4</v>
      </c>
      <c r="S161" t="inlineStr">
        <is>
          <t>2025-08-31</t>
        </is>
      </c>
    </row>
    <row r="162">
      <c r="A162" t="inlineStr">
        <is>
          <t>nowc_change__20220831</t>
        </is>
      </c>
      <c r="B162" t="n">
        <v>161</v>
      </c>
      <c r="C162" t="inlineStr">
        <is>
          <t>Change in NOWC</t>
        </is>
      </c>
      <c r="D162" t="inlineStr">
        <is>
          <t>Absolute year-on-year change in NOWC.</t>
        </is>
      </c>
      <c r="E162" t="inlineStr">
        <is>
          <t>working_capital.nowc_change.2022-08-31</t>
        </is>
      </c>
      <c r="F162" t="inlineStr">
        <is>
          <t>working_capital</t>
        </is>
      </c>
      <c r="G162" t="inlineStr">
        <is>
          <t>Working Capital Analysis</t>
        </is>
      </c>
      <c r="H162" t="inlineStr">
        <is>
          <t>C15</t>
        </is>
      </c>
      <c r="I162">
        <f>C9-B9</f>
        <v/>
      </c>
      <c r="J162" t="n">
        <v>-76209</v>
      </c>
      <c r="K162" t="n">
        <v>0.01</v>
      </c>
      <c r="M162" t="inlineStr">
        <is>
          <t>Positive Change in NOWC means additional operating working capital is tied up; negative Change in NOWC means a release.|Do not call the movement good or bad without examining why it occurred.</t>
        </is>
      </c>
      <c r="O162" t="inlineStr">
        <is>
          <t>pending</t>
        </is>
      </c>
      <c r="P162" t="inlineStr">
        <is>
          <t>nowc_change</t>
        </is>
      </c>
      <c r="Q162" t="n">
        <v>39</v>
      </c>
      <c r="R162" t="n">
        <v>1</v>
      </c>
      <c r="S162" t="inlineStr">
        <is>
          <t>2022-08-31</t>
        </is>
      </c>
    </row>
    <row r="163">
      <c r="A163" t="inlineStr">
        <is>
          <t>nowc_change__20230831</t>
        </is>
      </c>
      <c r="B163" t="n">
        <v>162</v>
      </c>
      <c r="C163" t="inlineStr">
        <is>
          <t>Change in NOWC</t>
        </is>
      </c>
      <c r="D163" t="inlineStr">
        <is>
          <t>Absolute year-on-year change in NOWC.</t>
        </is>
      </c>
      <c r="E163" t="inlineStr">
        <is>
          <t>working_capital.nowc_change.2023-08-31</t>
        </is>
      </c>
      <c r="F163" t="inlineStr">
        <is>
          <t>working_capital</t>
        </is>
      </c>
      <c r="G163" t="inlineStr">
        <is>
          <t>Working Capital Analysis</t>
        </is>
      </c>
      <c r="H163" t="inlineStr">
        <is>
          <t>D15</t>
        </is>
      </c>
      <c r="I163">
        <f>D9-C9</f>
        <v/>
      </c>
      <c r="J163" t="n">
        <v>-2639</v>
      </c>
      <c r="K163" t="n">
        <v>0.01</v>
      </c>
      <c r="M163" t="inlineStr">
        <is>
          <t>Positive Change in NOWC means additional operating working capital is tied up; negative Change in NOWC means a release.|Do not call the movement good or bad without examining why it occurred.</t>
        </is>
      </c>
      <c r="O163" t="inlineStr">
        <is>
          <t>pending</t>
        </is>
      </c>
      <c r="P163" t="inlineStr">
        <is>
          <t>nowc_change</t>
        </is>
      </c>
      <c r="Q163" t="n">
        <v>39</v>
      </c>
      <c r="R163" t="n">
        <v>2</v>
      </c>
      <c r="S163" t="inlineStr">
        <is>
          <t>2023-08-31</t>
        </is>
      </c>
    </row>
    <row r="164">
      <c r="A164" t="inlineStr">
        <is>
          <t>nowc_change__20240831</t>
        </is>
      </c>
      <c r="B164" t="n">
        <v>163</v>
      </c>
      <c r="C164" t="inlineStr">
        <is>
          <t>Change in NOWC</t>
        </is>
      </c>
      <c r="D164" t="inlineStr">
        <is>
          <t>Absolute year-on-year change in NOWC.</t>
        </is>
      </c>
      <c r="E164" t="inlineStr">
        <is>
          <t>working_capital.nowc_change.2024-08-31</t>
        </is>
      </c>
      <c r="F164" t="inlineStr">
        <is>
          <t>working_capital</t>
        </is>
      </c>
      <c r="G164" t="inlineStr">
        <is>
          <t>Working Capital Analysis</t>
        </is>
      </c>
      <c r="H164" t="inlineStr">
        <is>
          <t>E15</t>
        </is>
      </c>
      <c r="I164">
        <f>E9-D9</f>
        <v/>
      </c>
      <c r="J164" t="n">
        <v>-45024</v>
      </c>
      <c r="K164" t="n">
        <v>0.01</v>
      </c>
      <c r="M164" t="inlineStr">
        <is>
          <t>Positive Change in NOWC means additional operating working capital is tied up; negative Change in NOWC means a release.|Do not call the movement good or bad without examining why it occurred.</t>
        </is>
      </c>
      <c r="O164" t="inlineStr">
        <is>
          <t>pending</t>
        </is>
      </c>
      <c r="P164" t="inlineStr">
        <is>
          <t>nowc_change</t>
        </is>
      </c>
      <c r="Q164" t="n">
        <v>39</v>
      </c>
      <c r="R164" t="n">
        <v>3</v>
      </c>
      <c r="S164" t="inlineStr">
        <is>
          <t>2024-08-31</t>
        </is>
      </c>
    </row>
    <row r="165">
      <c r="A165" t="inlineStr">
        <is>
          <t>nowc_change__20250831</t>
        </is>
      </c>
      <c r="B165" t="n">
        <v>164</v>
      </c>
      <c r="C165" t="inlineStr">
        <is>
          <t>Change in NOWC</t>
        </is>
      </c>
      <c r="D165" t="inlineStr">
        <is>
          <t>Absolute year-on-year change in NOWC.</t>
        </is>
      </c>
      <c r="E165" t="inlineStr">
        <is>
          <t>working_capital.nowc_change.2025-08-31</t>
        </is>
      </c>
      <c r="F165" t="inlineStr">
        <is>
          <t>working_capital</t>
        </is>
      </c>
      <c r="G165" t="inlineStr">
        <is>
          <t>Working Capital Analysis</t>
        </is>
      </c>
      <c r="H165" t="inlineStr">
        <is>
          <t>F15</t>
        </is>
      </c>
      <c r="I165">
        <f>F9-E9</f>
        <v/>
      </c>
      <c r="J165" t="n">
        <v>42463</v>
      </c>
      <c r="K165" t="n">
        <v>0.01</v>
      </c>
      <c r="M165" t="inlineStr">
        <is>
          <t>Positive Change in NOWC means additional operating working capital is tied up; negative Change in NOWC means a release.|Do not call the movement good or bad without examining why it occurred.</t>
        </is>
      </c>
      <c r="O165" t="inlineStr">
        <is>
          <t>pending</t>
        </is>
      </c>
      <c r="P165" t="inlineStr">
        <is>
          <t>nowc_change</t>
        </is>
      </c>
      <c r="Q165" t="n">
        <v>39</v>
      </c>
      <c r="R165" t="n">
        <v>4</v>
      </c>
      <c r="S165" t="inlineStr">
        <is>
          <t>2025-08-31</t>
        </is>
      </c>
    </row>
    <row r="166">
      <c r="A166" t="inlineStr">
        <is>
          <t>incremental_nowc_to_revenue_change__20220831</t>
        </is>
      </c>
      <c r="B166" t="n">
        <v>165</v>
      </c>
      <c r="C166" t="inlineStr">
        <is>
          <t>Incremental NOWC / Change in Revenue</t>
        </is>
      </c>
      <c r="D166" t="inlineStr">
        <is>
          <t>Change in NOWC divided by Change in Revenue.</t>
        </is>
      </c>
      <c r="E166" t="inlineStr">
        <is>
          <t>working_capital.incremental_nowc_to_revenue_change.2022-08-31</t>
        </is>
      </c>
      <c r="F166" t="inlineStr">
        <is>
          <t>working_capital</t>
        </is>
      </c>
      <c r="G166" t="inlineStr">
        <is>
          <t>Working Capital Analysis</t>
        </is>
      </c>
      <c r="H166" t="inlineStr">
        <is>
          <t>C16</t>
        </is>
      </c>
      <c r="I166">
        <f>IF(C14=0,NA(),C15/C14)</f>
        <v/>
      </c>
      <c r="J166" t="n">
        <v>-0.453274252066853</v>
      </c>
      <c r="K166" t="n">
        <v>0.01</v>
      </c>
      <c r="L166" t="inlineStr">
        <is>
          <t>nowc_change__20220831,revenue_change__20220831</t>
        </is>
      </c>
      <c r="M166" t="inlineStr">
        <is>
          <t>This ratio measures incremental working-capital investment per unit of incremental sales.|A zero Change in Revenue denominator makes the ratio undefined (#N/A).|Negative or unusually large values are diagnostic signals, not automatic quality labels.</t>
        </is>
      </c>
      <c r="O166" t="inlineStr">
        <is>
          <t>pending</t>
        </is>
      </c>
      <c r="P166" t="inlineStr">
        <is>
          <t>incremental_nowc_to_revenue_change</t>
        </is>
      </c>
      <c r="Q166" t="n">
        <v>40</v>
      </c>
      <c r="R166" t="n">
        <v>1</v>
      </c>
      <c r="S166" t="inlineStr">
        <is>
          <t>2022-08-31</t>
        </is>
      </c>
    </row>
    <row r="167">
      <c r="A167" t="inlineStr">
        <is>
          <t>incremental_nowc_to_revenue_change__20230831</t>
        </is>
      </c>
      <c r="B167" t="n">
        <v>166</v>
      </c>
      <c r="C167" t="inlineStr">
        <is>
          <t>Incremental NOWC / Change in Revenue</t>
        </is>
      </c>
      <c r="D167" t="inlineStr">
        <is>
          <t>Change in NOWC divided by Change in Revenue.</t>
        </is>
      </c>
      <c r="E167" t="inlineStr">
        <is>
          <t>working_capital.incremental_nowc_to_revenue_change.2023-08-31</t>
        </is>
      </c>
      <c r="F167" t="inlineStr">
        <is>
          <t>working_capital</t>
        </is>
      </c>
      <c r="G167" t="inlineStr">
        <is>
          <t>Working Capital Analysis</t>
        </is>
      </c>
      <c r="H167" t="inlineStr">
        <is>
          <t>D16</t>
        </is>
      </c>
      <c r="I167">
        <f>IF(D14=0,NA(),D15/D14)</f>
        <v/>
      </c>
      <c r="J167" t="n">
        <v>-0.005669964656718983</v>
      </c>
      <c r="K167" t="n">
        <v>0.01</v>
      </c>
      <c r="L167" t="inlineStr">
        <is>
          <t>nowc_change__20230831,revenue_change__20230831</t>
        </is>
      </c>
      <c r="M167" t="inlineStr">
        <is>
          <t>This ratio measures incremental working-capital investment per unit of incremental sales.|A zero Change in Revenue denominator makes the ratio undefined (#N/A).|Negative or unusually large values are diagnostic signals, not automatic quality labels.</t>
        </is>
      </c>
      <c r="O167" t="inlineStr">
        <is>
          <t>pending</t>
        </is>
      </c>
      <c r="P167" t="inlineStr">
        <is>
          <t>incremental_nowc_to_revenue_change</t>
        </is>
      </c>
      <c r="Q167" t="n">
        <v>40</v>
      </c>
      <c r="R167" t="n">
        <v>2</v>
      </c>
      <c r="S167" t="inlineStr">
        <is>
          <t>2023-08-31</t>
        </is>
      </c>
    </row>
    <row r="168">
      <c r="A168" t="inlineStr">
        <is>
          <t>incremental_nowc_to_revenue_change__20240831</t>
        </is>
      </c>
      <c r="B168" t="n">
        <v>167</v>
      </c>
      <c r="C168" t="inlineStr">
        <is>
          <t>Incremental NOWC / Change in Revenue</t>
        </is>
      </c>
      <c r="D168" t="inlineStr">
        <is>
          <t>Change in NOWC divided by Change in Revenue.</t>
        </is>
      </c>
      <c r="E168" t="inlineStr">
        <is>
          <t>working_capital.incremental_nowc_to_revenue_change.2024-08-31</t>
        </is>
      </c>
      <c r="F168" t="inlineStr">
        <is>
          <t>working_capital</t>
        </is>
      </c>
      <c r="G168" t="inlineStr">
        <is>
          <t>Working Capital Analysis</t>
        </is>
      </c>
      <c r="H168" t="inlineStr">
        <is>
          <t>E16</t>
        </is>
      </c>
      <c r="I168">
        <f>IF(E14=0,NA(),E15/E14)</f>
        <v/>
      </c>
      <c r="J168" t="n">
        <v>-0.1334918568899932</v>
      </c>
      <c r="K168" t="n">
        <v>0.01</v>
      </c>
      <c r="L168" t="inlineStr">
        <is>
          <t>nowc_change__20240831,revenue_change__20240831</t>
        </is>
      </c>
      <c r="M168" t="inlineStr">
        <is>
          <t>This ratio measures incremental working-capital investment per unit of incremental sales.|A zero Change in Revenue denominator makes the ratio undefined (#N/A).|Negative or unusually large values are diagnostic signals, not automatic quality labels.</t>
        </is>
      </c>
      <c r="O168" t="inlineStr">
        <is>
          <t>pending</t>
        </is>
      </c>
      <c r="P168" t="inlineStr">
        <is>
          <t>incremental_nowc_to_revenue_change</t>
        </is>
      </c>
      <c r="Q168" t="n">
        <v>40</v>
      </c>
      <c r="R168" t="n">
        <v>3</v>
      </c>
      <c r="S168" t="inlineStr">
        <is>
          <t>2024-08-31</t>
        </is>
      </c>
    </row>
    <row r="169">
      <c r="A169" t="inlineStr">
        <is>
          <t>incremental_nowc_to_revenue_change__20250831</t>
        </is>
      </c>
      <c r="B169" t="n">
        <v>168</v>
      </c>
      <c r="C169" t="inlineStr">
        <is>
          <t>Incremental NOWC / Change in Revenue</t>
        </is>
      </c>
      <c r="D169" t="inlineStr">
        <is>
          <t>Change in NOWC divided by Change in Revenue.</t>
        </is>
      </c>
      <c r="E169" t="inlineStr">
        <is>
          <t>working_capital.incremental_nowc_to_revenue_change.2025-08-31</t>
        </is>
      </c>
      <c r="F169" t="inlineStr">
        <is>
          <t>working_capital</t>
        </is>
      </c>
      <c r="G169" t="inlineStr">
        <is>
          <t>Working Capital Analysis</t>
        </is>
      </c>
      <c r="H169" t="inlineStr">
        <is>
          <t>F16</t>
        </is>
      </c>
      <c r="I169">
        <f>IF(F14=0,NA(),F15/F14)</f>
        <v/>
      </c>
      <c r="J169" t="n">
        <v>0.1431161801532172</v>
      </c>
      <c r="K169" t="n">
        <v>0.01</v>
      </c>
      <c r="L169" t="inlineStr">
        <is>
          <t>nowc_change__20250831,revenue_change__20250831</t>
        </is>
      </c>
      <c r="M169" t="inlineStr">
        <is>
          <t>This ratio measures incremental working-capital investment per unit of incremental sales.|A zero Change in Revenue denominator makes the ratio undefined (#N/A).|Negative or unusually large values are diagnostic signals, not automatic quality labels.</t>
        </is>
      </c>
      <c r="O169" t="inlineStr">
        <is>
          <t>pending</t>
        </is>
      </c>
      <c r="P169" t="inlineStr">
        <is>
          <t>incremental_nowc_to_revenue_change</t>
        </is>
      </c>
      <c r="Q169" t="n">
        <v>40</v>
      </c>
      <c r="R169" t="n">
        <v>4</v>
      </c>
      <c r="S169" t="inlineStr">
        <is>
          <t>2025-08-31</t>
        </is>
      </c>
    </row>
    <row r="170">
      <c r="A170" t="inlineStr">
        <is>
          <t>owca_change__20220831</t>
        </is>
      </c>
      <c r="B170" t="n">
        <v>169</v>
      </c>
      <c r="C170" t="inlineStr">
        <is>
          <t>Change in Operating Working Capital Assets</t>
        </is>
      </c>
      <c r="D170" t="inlineStr">
        <is>
          <t>Absolute year-on-year change in OWCA.</t>
        </is>
      </c>
      <c r="E170" t="inlineStr">
        <is>
          <t>working_capital.owca_change.2022-08-31</t>
        </is>
      </c>
      <c r="F170" t="inlineStr">
        <is>
          <t>working_capital</t>
        </is>
      </c>
      <c r="G170" t="inlineStr">
        <is>
          <t>Working Capital Analysis</t>
        </is>
      </c>
      <c r="H170" t="inlineStr">
        <is>
          <t>C19</t>
        </is>
      </c>
      <c r="I170">
        <f>C7-B7</f>
        <v/>
      </c>
      <c r="J170" t="n">
        <v>108883</v>
      </c>
      <c r="K170" t="n">
        <v>0.01</v>
      </c>
      <c r="L170" t="inlineStr">
        <is>
          <t>owca_agg__20220831,owca_agg__20210831</t>
        </is>
      </c>
      <c r="M170" t="inlineStr">
        <is>
          <t>Change in OWCA = Current OWCA - Prior OWCA.|A positive change is additional operating-current-asset investment; a negative change is a release.|Do not infer the underlying receivables/inventory cause from this aggregate alone.</t>
        </is>
      </c>
      <c r="O170" t="inlineStr">
        <is>
          <t>pending</t>
        </is>
      </c>
      <c r="P170" t="inlineStr">
        <is>
          <t>owca_change</t>
        </is>
      </c>
      <c r="Q170" t="n">
        <v>41</v>
      </c>
      <c r="R170" t="n">
        <v>1</v>
      </c>
      <c r="S170" t="inlineStr">
        <is>
          <t>2022-08-31</t>
        </is>
      </c>
    </row>
    <row r="171">
      <c r="A171" t="inlineStr">
        <is>
          <t>owca_change__20230831</t>
        </is>
      </c>
      <c r="B171" t="n">
        <v>170</v>
      </c>
      <c r="C171" t="inlineStr">
        <is>
          <t>Change in Operating Working Capital Assets</t>
        </is>
      </c>
      <c r="D171" t="inlineStr">
        <is>
          <t>Absolute year-on-year change in OWCA.</t>
        </is>
      </c>
      <c r="E171" t="inlineStr">
        <is>
          <t>working_capital.owca_change.2023-08-31</t>
        </is>
      </c>
      <c r="F171" t="inlineStr">
        <is>
          <t>working_capital</t>
        </is>
      </c>
      <c r="G171" t="inlineStr">
        <is>
          <t>Working Capital Analysis</t>
        </is>
      </c>
      <c r="H171" t="inlineStr">
        <is>
          <t>D19</t>
        </is>
      </c>
      <c r="I171">
        <f>D7-C7</f>
        <v/>
      </c>
      <c r="J171" t="n">
        <v>-7442</v>
      </c>
      <c r="K171" t="n">
        <v>0.01</v>
      </c>
      <c r="L171" t="inlineStr">
        <is>
          <t>owca_agg__20230831,owca_agg__20220831</t>
        </is>
      </c>
      <c r="M171" t="inlineStr">
        <is>
          <t>Change in OWCA = Current OWCA - Prior OWCA.|A positive change is additional operating-current-asset investment; a negative change is a release.|Do not infer the underlying receivables/inventory cause from this aggregate alone.</t>
        </is>
      </c>
      <c r="O171" t="inlineStr">
        <is>
          <t>pending</t>
        </is>
      </c>
      <c r="P171" t="inlineStr">
        <is>
          <t>owca_change</t>
        </is>
      </c>
      <c r="Q171" t="n">
        <v>41</v>
      </c>
      <c r="R171" t="n">
        <v>2</v>
      </c>
      <c r="S171" t="inlineStr">
        <is>
          <t>2023-08-31</t>
        </is>
      </c>
    </row>
    <row r="172">
      <c r="A172" t="inlineStr">
        <is>
          <t>owca_change__20240831</t>
        </is>
      </c>
      <c r="B172" t="n">
        <v>171</v>
      </c>
      <c r="C172" t="inlineStr">
        <is>
          <t>Change in Operating Working Capital Assets</t>
        </is>
      </c>
      <c r="D172" t="inlineStr">
        <is>
          <t>Absolute year-on-year change in OWCA.</t>
        </is>
      </c>
      <c r="E172" t="inlineStr">
        <is>
          <t>working_capital.owca_change.2024-08-31</t>
        </is>
      </c>
      <c r="F172" t="inlineStr">
        <is>
          <t>working_capital</t>
        </is>
      </c>
      <c r="G172" t="inlineStr">
        <is>
          <t>Working Capital Analysis</t>
        </is>
      </c>
      <c r="H172" t="inlineStr">
        <is>
          <t>E19</t>
        </is>
      </c>
      <c r="I172">
        <f>E7-D7</f>
        <v/>
      </c>
      <c r="J172" t="n">
        <v>22379</v>
      </c>
      <c r="K172" t="n">
        <v>0.01</v>
      </c>
      <c r="L172" t="inlineStr">
        <is>
          <t>owca_agg__20240831,owca_agg__20230831</t>
        </is>
      </c>
      <c r="M172" t="inlineStr">
        <is>
          <t>Change in OWCA = Current OWCA - Prior OWCA.|A positive change is additional operating-current-asset investment; a negative change is a release.|Do not infer the underlying receivables/inventory cause from this aggregate alone.</t>
        </is>
      </c>
      <c r="O172" t="inlineStr">
        <is>
          <t>pending</t>
        </is>
      </c>
      <c r="P172" t="inlineStr">
        <is>
          <t>owca_change</t>
        </is>
      </c>
      <c r="Q172" t="n">
        <v>41</v>
      </c>
      <c r="R172" t="n">
        <v>3</v>
      </c>
      <c r="S172" t="inlineStr">
        <is>
          <t>2024-08-31</t>
        </is>
      </c>
    </row>
    <row r="173">
      <c r="A173" t="inlineStr">
        <is>
          <t>owca_change__20250831</t>
        </is>
      </c>
      <c r="B173" t="n">
        <v>172</v>
      </c>
      <c r="C173" t="inlineStr">
        <is>
          <t>Change in Operating Working Capital Assets</t>
        </is>
      </c>
      <c r="D173" t="inlineStr">
        <is>
          <t>Absolute year-on-year change in OWCA.</t>
        </is>
      </c>
      <c r="E173" t="inlineStr">
        <is>
          <t>working_capital.owca_change.2025-08-31</t>
        </is>
      </c>
      <c r="F173" t="inlineStr">
        <is>
          <t>working_capital</t>
        </is>
      </c>
      <c r="G173" t="inlineStr">
        <is>
          <t>Working Capital Analysis</t>
        </is>
      </c>
      <c r="H173" t="inlineStr">
        <is>
          <t>F19</t>
        </is>
      </c>
      <c r="I173">
        <f>F7-E7</f>
        <v/>
      </c>
      <c r="J173" t="n">
        <v>52573</v>
      </c>
      <c r="K173" t="n">
        <v>0.01</v>
      </c>
      <c r="L173" t="inlineStr">
        <is>
          <t>owca_agg__20250831,owca_agg__20240831</t>
        </is>
      </c>
      <c r="M173" t="inlineStr">
        <is>
          <t>Change in OWCA = Current OWCA - Prior OWCA.|A positive change is additional operating-current-asset investment; a negative change is a release.|Do not infer the underlying receivables/inventory cause from this aggregate alone.</t>
        </is>
      </c>
      <c r="O173" t="inlineStr">
        <is>
          <t>pending</t>
        </is>
      </c>
      <c r="P173" t="inlineStr">
        <is>
          <t>owca_change</t>
        </is>
      </c>
      <c r="Q173" t="n">
        <v>41</v>
      </c>
      <c r="R173" t="n">
        <v>4</v>
      </c>
      <c r="S173" t="inlineStr">
        <is>
          <t>2025-08-31</t>
        </is>
      </c>
    </row>
    <row r="174">
      <c r="A174" t="inlineStr">
        <is>
          <t>owcl_change__20220831</t>
        </is>
      </c>
      <c r="B174" t="n">
        <v>173</v>
      </c>
      <c r="C174" t="inlineStr">
        <is>
          <t>Change in Operating Working Capital Liabilities</t>
        </is>
      </c>
      <c r="D174" t="inlineStr">
        <is>
          <t>Absolute year-on-year change in OWCL.</t>
        </is>
      </c>
      <c r="E174" t="inlineStr">
        <is>
          <t>working_capital.owcl_change.2022-08-31</t>
        </is>
      </c>
      <c r="F174" t="inlineStr">
        <is>
          <t>working_capital</t>
        </is>
      </c>
      <c r="G174" t="inlineStr">
        <is>
          <t>Working Capital Analysis</t>
        </is>
      </c>
      <c r="H174" t="inlineStr">
        <is>
          <t>C20</t>
        </is>
      </c>
      <c r="I174">
        <f>C8-B8</f>
        <v/>
      </c>
      <c r="J174" t="n">
        <v>185092</v>
      </c>
      <c r="K174" t="n">
        <v>0.01</v>
      </c>
      <c r="L174" t="inlineStr">
        <is>
          <t>owcl_agg__20220831,owcl_agg__20210831</t>
        </is>
      </c>
      <c r="M174" t="inlineStr">
        <is>
          <t>Change in OWCL = Current OWCL - Prior OWCL.|A positive change supplies additional operating-liability financing; a negative change reduces that financing.|Do not infer payment quality or supplier pressure from this aggregate alone.</t>
        </is>
      </c>
      <c r="O174" t="inlineStr">
        <is>
          <t>pending</t>
        </is>
      </c>
      <c r="P174" t="inlineStr">
        <is>
          <t>owcl_change</t>
        </is>
      </c>
      <c r="Q174" t="n">
        <v>42</v>
      </c>
      <c r="R174" t="n">
        <v>1</v>
      </c>
      <c r="S174" t="inlineStr">
        <is>
          <t>2022-08-31</t>
        </is>
      </c>
    </row>
    <row r="175">
      <c r="A175" t="inlineStr">
        <is>
          <t>owcl_change__20230831</t>
        </is>
      </c>
      <c r="B175" t="n">
        <v>174</v>
      </c>
      <c r="C175" t="inlineStr">
        <is>
          <t>Change in Operating Working Capital Liabilities</t>
        </is>
      </c>
      <c r="D175" t="inlineStr">
        <is>
          <t>Absolute year-on-year change in OWCL.</t>
        </is>
      </c>
      <c r="E175" t="inlineStr">
        <is>
          <t>working_capital.owcl_change.2023-08-31</t>
        </is>
      </c>
      <c r="F175" t="inlineStr">
        <is>
          <t>working_capital</t>
        </is>
      </c>
      <c r="G175" t="inlineStr">
        <is>
          <t>Working Capital Analysis</t>
        </is>
      </c>
      <c r="H175" t="inlineStr">
        <is>
          <t>D20</t>
        </is>
      </c>
      <c r="I175">
        <f>D8-C8</f>
        <v/>
      </c>
      <c r="J175" t="n">
        <v>-4803</v>
      </c>
      <c r="K175" t="n">
        <v>0.01</v>
      </c>
      <c r="L175" t="inlineStr">
        <is>
          <t>owcl_agg__20230831,owcl_agg__20220831</t>
        </is>
      </c>
      <c r="M175" t="inlineStr">
        <is>
          <t>Change in OWCL = Current OWCL - Prior OWCL.|A positive change supplies additional operating-liability financing; a negative change reduces that financing.|Do not infer payment quality or supplier pressure from this aggregate alone.</t>
        </is>
      </c>
      <c r="O175" t="inlineStr">
        <is>
          <t>pending</t>
        </is>
      </c>
      <c r="P175" t="inlineStr">
        <is>
          <t>owcl_change</t>
        </is>
      </c>
      <c r="Q175" t="n">
        <v>42</v>
      </c>
      <c r="R175" t="n">
        <v>2</v>
      </c>
      <c r="S175" t="inlineStr">
        <is>
          <t>2023-08-31</t>
        </is>
      </c>
    </row>
    <row r="176">
      <c r="A176" t="inlineStr">
        <is>
          <t>owcl_change__20240831</t>
        </is>
      </c>
      <c r="B176" t="n">
        <v>175</v>
      </c>
      <c r="C176" t="inlineStr">
        <is>
          <t>Change in Operating Working Capital Liabilities</t>
        </is>
      </c>
      <c r="D176" t="inlineStr">
        <is>
          <t>Absolute year-on-year change in OWCL.</t>
        </is>
      </c>
      <c r="E176" t="inlineStr">
        <is>
          <t>working_capital.owcl_change.2024-08-31</t>
        </is>
      </c>
      <c r="F176" t="inlineStr">
        <is>
          <t>working_capital</t>
        </is>
      </c>
      <c r="G176" t="inlineStr">
        <is>
          <t>Working Capital Analysis</t>
        </is>
      </c>
      <c r="H176" t="inlineStr">
        <is>
          <t>E20</t>
        </is>
      </c>
      <c r="I176">
        <f>E8-D8</f>
        <v/>
      </c>
      <c r="J176" t="n">
        <v>67403</v>
      </c>
      <c r="K176" t="n">
        <v>0.01</v>
      </c>
      <c r="L176" t="inlineStr">
        <is>
          <t>owcl_agg__20240831,owcl_agg__20230831</t>
        </is>
      </c>
      <c r="M176" t="inlineStr">
        <is>
          <t>Change in OWCL = Current OWCL - Prior OWCL.|A positive change supplies additional operating-liability financing; a negative change reduces that financing.|Do not infer payment quality or supplier pressure from this aggregate alone.</t>
        </is>
      </c>
      <c r="O176" t="inlineStr">
        <is>
          <t>pending</t>
        </is>
      </c>
      <c r="P176" t="inlineStr">
        <is>
          <t>owcl_change</t>
        </is>
      </c>
      <c r="Q176" t="n">
        <v>42</v>
      </c>
      <c r="R176" t="n">
        <v>3</v>
      </c>
      <c r="S176" t="inlineStr">
        <is>
          <t>2024-08-31</t>
        </is>
      </c>
    </row>
    <row r="177">
      <c r="A177" t="inlineStr">
        <is>
          <t>owcl_change__20250831</t>
        </is>
      </c>
      <c r="B177" t="n">
        <v>176</v>
      </c>
      <c r="C177" t="inlineStr">
        <is>
          <t>Change in Operating Working Capital Liabilities</t>
        </is>
      </c>
      <c r="D177" t="inlineStr">
        <is>
          <t>Absolute year-on-year change in OWCL.</t>
        </is>
      </c>
      <c r="E177" t="inlineStr">
        <is>
          <t>working_capital.owcl_change.2025-08-31</t>
        </is>
      </c>
      <c r="F177" t="inlineStr">
        <is>
          <t>working_capital</t>
        </is>
      </c>
      <c r="G177" t="inlineStr">
        <is>
          <t>Working Capital Analysis</t>
        </is>
      </c>
      <c r="H177" t="inlineStr">
        <is>
          <t>F20</t>
        </is>
      </c>
      <c r="I177">
        <f>F8-E8</f>
        <v/>
      </c>
      <c r="J177" t="n">
        <v>10110</v>
      </c>
      <c r="K177" t="n">
        <v>0.01</v>
      </c>
      <c r="L177" t="inlineStr">
        <is>
          <t>owcl_agg__20250831,owcl_agg__20240831</t>
        </is>
      </c>
      <c r="M177" t="inlineStr">
        <is>
          <t>Change in OWCL = Current OWCL - Prior OWCL.|A positive change supplies additional operating-liability financing; a negative change reduces that financing.|Do not infer payment quality or supplier pressure from this aggregate alone.</t>
        </is>
      </c>
      <c r="O177" t="inlineStr">
        <is>
          <t>pending</t>
        </is>
      </c>
      <c r="P177" t="inlineStr">
        <is>
          <t>owcl_change</t>
        </is>
      </c>
      <c r="Q177" t="n">
        <v>42</v>
      </c>
      <c r="R177" t="n">
        <v>4</v>
      </c>
      <c r="S177" t="inlineStr">
        <is>
          <t>2025-08-31</t>
        </is>
      </c>
    </row>
    <row r="178">
      <c r="A178" t="inlineStr">
        <is>
          <t>nowc_change_from_components__20220831</t>
        </is>
      </c>
      <c r="B178" t="n">
        <v>177</v>
      </c>
      <c r="C178" t="inlineStr">
        <is>
          <t>Change in NOWC from OWCA / OWCL bridge</t>
        </is>
      </c>
      <c r="D178" t="inlineStr">
        <is>
          <t>Change in OWCA minus Change in OWCL.</t>
        </is>
      </c>
      <c r="E178" t="inlineStr">
        <is>
          <t>working_capital.nowc_change_from_components.2022-08-31</t>
        </is>
      </c>
      <c r="F178" t="inlineStr">
        <is>
          <t>working_capital</t>
        </is>
      </c>
      <c r="G178" t="inlineStr">
        <is>
          <t>Working Capital Analysis</t>
        </is>
      </c>
      <c r="H178" t="inlineStr">
        <is>
          <t>C21</t>
        </is>
      </c>
      <c r="I178">
        <f>C19-C20</f>
        <v/>
      </c>
      <c r="J178" t="n">
        <v>-76209</v>
      </c>
      <c r="K178" t="n">
        <v>0.01</v>
      </c>
      <c r="L178" t="inlineStr">
        <is>
          <t>owca_change__20220831,owcl_change__20220831</t>
        </is>
      </c>
      <c r="M178" t="inlineStr">
        <is>
          <t>Because NOWC = OWCA - OWCL, Change in NOWC = Change in OWCA - Change in OWCL.|Use this bridge to separate asset investment from operating-liability financing.|The bridge must reconcile to the direct Change in NOWC row.</t>
        </is>
      </c>
      <c r="O178" t="inlineStr">
        <is>
          <t>pending</t>
        </is>
      </c>
      <c r="P178" t="inlineStr">
        <is>
          <t>nowc_change_from_components</t>
        </is>
      </c>
      <c r="Q178" t="n">
        <v>43</v>
      </c>
      <c r="R178" t="n">
        <v>1</v>
      </c>
      <c r="S178" t="inlineStr">
        <is>
          <t>2022-08-31</t>
        </is>
      </c>
    </row>
    <row r="179">
      <c r="A179" t="inlineStr">
        <is>
          <t>nowc_change_from_components__20230831</t>
        </is>
      </c>
      <c r="B179" t="n">
        <v>178</v>
      </c>
      <c r="C179" t="inlineStr">
        <is>
          <t>Change in NOWC from OWCA / OWCL bridge</t>
        </is>
      </c>
      <c r="D179" t="inlineStr">
        <is>
          <t>Change in OWCA minus Change in OWCL.</t>
        </is>
      </c>
      <c r="E179" t="inlineStr">
        <is>
          <t>working_capital.nowc_change_from_components.2023-08-31</t>
        </is>
      </c>
      <c r="F179" t="inlineStr">
        <is>
          <t>working_capital</t>
        </is>
      </c>
      <c r="G179" t="inlineStr">
        <is>
          <t>Working Capital Analysis</t>
        </is>
      </c>
      <c r="H179" t="inlineStr">
        <is>
          <t>D21</t>
        </is>
      </c>
      <c r="I179">
        <f>D19-D20</f>
        <v/>
      </c>
      <c r="J179" t="n">
        <v>-2639</v>
      </c>
      <c r="K179" t="n">
        <v>0.01</v>
      </c>
      <c r="L179" t="inlineStr">
        <is>
          <t>owca_change__20230831,owcl_change__20230831</t>
        </is>
      </c>
      <c r="M179" t="inlineStr">
        <is>
          <t>Because NOWC = OWCA - OWCL, Change in NOWC = Change in OWCA - Change in OWCL.|Use this bridge to separate asset investment from operating-liability financing.|The bridge must reconcile to the direct Change in NOWC row.</t>
        </is>
      </c>
      <c r="O179" t="inlineStr">
        <is>
          <t>pending</t>
        </is>
      </c>
      <c r="P179" t="inlineStr">
        <is>
          <t>nowc_change_from_components</t>
        </is>
      </c>
      <c r="Q179" t="n">
        <v>43</v>
      </c>
      <c r="R179" t="n">
        <v>2</v>
      </c>
      <c r="S179" t="inlineStr">
        <is>
          <t>2023-08-31</t>
        </is>
      </c>
    </row>
    <row r="180">
      <c r="A180" t="inlineStr">
        <is>
          <t>nowc_change_from_components__20240831</t>
        </is>
      </c>
      <c r="B180" t="n">
        <v>179</v>
      </c>
      <c r="C180" t="inlineStr">
        <is>
          <t>Change in NOWC from OWCA / OWCL bridge</t>
        </is>
      </c>
      <c r="D180" t="inlineStr">
        <is>
          <t>Change in OWCA minus Change in OWCL.</t>
        </is>
      </c>
      <c r="E180" t="inlineStr">
        <is>
          <t>working_capital.nowc_change_from_components.2024-08-31</t>
        </is>
      </c>
      <c r="F180" t="inlineStr">
        <is>
          <t>working_capital</t>
        </is>
      </c>
      <c r="G180" t="inlineStr">
        <is>
          <t>Working Capital Analysis</t>
        </is>
      </c>
      <c r="H180" t="inlineStr">
        <is>
          <t>E21</t>
        </is>
      </c>
      <c r="I180">
        <f>E19-E20</f>
        <v/>
      </c>
      <c r="J180" t="n">
        <v>-45024</v>
      </c>
      <c r="K180" t="n">
        <v>0.01</v>
      </c>
      <c r="L180" t="inlineStr">
        <is>
          <t>owca_change__20240831,owcl_change__20240831</t>
        </is>
      </c>
      <c r="M180" t="inlineStr">
        <is>
          <t>Because NOWC = OWCA - OWCL, Change in NOWC = Change in OWCA - Change in OWCL.|Use this bridge to separate asset investment from operating-liability financing.|The bridge must reconcile to the direct Change in NOWC row.</t>
        </is>
      </c>
      <c r="O180" t="inlineStr">
        <is>
          <t>pending</t>
        </is>
      </c>
      <c r="P180" t="inlineStr">
        <is>
          <t>nowc_change_from_components</t>
        </is>
      </c>
      <c r="Q180" t="n">
        <v>43</v>
      </c>
      <c r="R180" t="n">
        <v>3</v>
      </c>
      <c r="S180" t="inlineStr">
        <is>
          <t>2024-08-31</t>
        </is>
      </c>
    </row>
    <row r="181">
      <c r="A181" t="inlineStr">
        <is>
          <t>nowc_change_from_components__20250831</t>
        </is>
      </c>
      <c r="B181" t="n">
        <v>180</v>
      </c>
      <c r="C181" t="inlineStr">
        <is>
          <t>Change in NOWC from OWCA / OWCL bridge</t>
        </is>
      </c>
      <c r="D181" t="inlineStr">
        <is>
          <t>Change in OWCA minus Change in OWCL.</t>
        </is>
      </c>
      <c r="E181" t="inlineStr">
        <is>
          <t>working_capital.nowc_change_from_components.2025-08-31</t>
        </is>
      </c>
      <c r="F181" t="inlineStr">
        <is>
          <t>working_capital</t>
        </is>
      </c>
      <c r="G181" t="inlineStr">
        <is>
          <t>Working Capital Analysis</t>
        </is>
      </c>
      <c r="H181" t="inlineStr">
        <is>
          <t>F21</t>
        </is>
      </c>
      <c r="I181">
        <f>F19-F20</f>
        <v/>
      </c>
      <c r="J181" t="n">
        <v>42463</v>
      </c>
      <c r="K181" t="n">
        <v>0.01</v>
      </c>
      <c r="L181" t="inlineStr">
        <is>
          <t>owca_change__20250831,owcl_change__20250831</t>
        </is>
      </c>
      <c r="M181" t="inlineStr">
        <is>
          <t>Because NOWC = OWCA - OWCL, Change in NOWC = Change in OWCA - Change in OWCL.|Use this bridge to separate asset investment from operating-liability financing.|The bridge must reconcile to the direct Change in NOWC row.</t>
        </is>
      </c>
      <c r="O181" t="inlineStr">
        <is>
          <t>pending</t>
        </is>
      </c>
      <c r="P181" t="inlineStr">
        <is>
          <t>nowc_change_from_components</t>
        </is>
      </c>
      <c r="Q181" t="n">
        <v>43</v>
      </c>
      <c r="R181" t="n">
        <v>4</v>
      </c>
      <c r="S181" t="inlineStr">
        <is>
          <t>2025-08-31</t>
        </is>
      </c>
    </row>
    <row r="182">
      <c r="A182" t="inlineStr">
        <is>
          <t>incremental_owca_to_revenue_change__20220831</t>
        </is>
      </c>
      <c r="B182" t="n">
        <v>181</v>
      </c>
      <c r="C182" t="inlineStr">
        <is>
          <t>Incremental OWCA / Change in Revenue</t>
        </is>
      </c>
      <c r="D182" t="inlineStr">
        <is>
          <t>Change in OWCA divided by Change in Revenue.</t>
        </is>
      </c>
      <c r="E182" t="inlineStr">
        <is>
          <t>working_capital.incremental_owca_to_revenue_change.2022-08-31</t>
        </is>
      </c>
      <c r="F182" t="inlineStr">
        <is>
          <t>working_capital</t>
        </is>
      </c>
      <c r="G182" t="inlineStr">
        <is>
          <t>Working Capital Analysis</t>
        </is>
      </c>
      <c r="H182" t="inlineStr">
        <is>
          <t>C22</t>
        </is>
      </c>
      <c r="I182">
        <f>IF(C14=0,NA(),C19/C14)</f>
        <v/>
      </c>
      <c r="J182" t="n">
        <v>0.6476119669303515</v>
      </c>
      <c r="K182" t="n">
        <v>0.01</v>
      </c>
      <c r="L182" t="inlineStr">
        <is>
          <t>owca_change__20220831,revenue_change__20220831</t>
        </is>
      </c>
      <c r="M182" t="inlineStr">
        <is>
          <t>This ratio measures incremental operating-current-asset investment per unit of incremental sales.|A zero Change in Revenue denominator makes the ratio undefined (#N/A).|Keep the signed denominator when Revenue falls; do not convert it to an absolute value.</t>
        </is>
      </c>
      <c r="O182" t="inlineStr">
        <is>
          <t>pending</t>
        </is>
      </c>
      <c r="P182" t="inlineStr">
        <is>
          <t>incremental_owca_to_revenue_change</t>
        </is>
      </c>
      <c r="Q182" t="n">
        <v>44</v>
      </c>
      <c r="R182" t="n">
        <v>1</v>
      </c>
      <c r="S182" t="inlineStr">
        <is>
          <t>2022-08-31</t>
        </is>
      </c>
    </row>
    <row r="183">
      <c r="A183" t="inlineStr">
        <is>
          <t>incremental_owca_to_revenue_change__20230831</t>
        </is>
      </c>
      <c r="B183" t="n">
        <v>182</v>
      </c>
      <c r="C183" t="inlineStr">
        <is>
          <t>Incremental OWCA / Change in Revenue</t>
        </is>
      </c>
      <c r="D183" t="inlineStr">
        <is>
          <t>Change in OWCA divided by Change in Revenue.</t>
        </is>
      </c>
      <c r="E183" t="inlineStr">
        <is>
          <t>working_capital.incremental_owca_to_revenue_change.2023-08-31</t>
        </is>
      </c>
      <c r="F183" t="inlineStr">
        <is>
          <t>working_capital</t>
        </is>
      </c>
      <c r="G183" t="inlineStr">
        <is>
          <t>Working Capital Analysis</t>
        </is>
      </c>
      <c r="H183" t="inlineStr">
        <is>
          <t>D22</t>
        </is>
      </c>
      <c r="I183">
        <f>IF(D14=0,NA(),D19/D14)</f>
        <v/>
      </c>
      <c r="J183" t="n">
        <v>-0.01598934330250196</v>
      </c>
      <c r="K183" t="n">
        <v>0.01</v>
      </c>
      <c r="L183" t="inlineStr">
        <is>
          <t>owca_change__20230831,revenue_change__20230831</t>
        </is>
      </c>
      <c r="M183" t="inlineStr">
        <is>
          <t>This ratio measures incremental operating-current-asset investment per unit of incremental sales.|A zero Change in Revenue denominator makes the ratio undefined (#N/A).|Keep the signed denominator when Revenue falls; do not convert it to an absolute value.</t>
        </is>
      </c>
      <c r="O183" t="inlineStr">
        <is>
          <t>pending</t>
        </is>
      </c>
      <c r="P183" t="inlineStr">
        <is>
          <t>incremental_owca_to_revenue_change</t>
        </is>
      </c>
      <c r="Q183" t="n">
        <v>44</v>
      </c>
      <c r="R183" t="n">
        <v>2</v>
      </c>
      <c r="S183" t="inlineStr">
        <is>
          <t>2023-08-31</t>
        </is>
      </c>
    </row>
    <row r="184">
      <c r="A184" t="inlineStr">
        <is>
          <t>incremental_owca_to_revenue_change__20240831</t>
        </is>
      </c>
      <c r="B184" t="n">
        <v>183</v>
      </c>
      <c r="C184" t="inlineStr">
        <is>
          <t>Incremental OWCA / Change in Revenue</t>
        </is>
      </c>
      <c r="D184" t="inlineStr">
        <is>
          <t>Change in OWCA divided by Change in Revenue.</t>
        </is>
      </c>
      <c r="E184" t="inlineStr">
        <is>
          <t>working_capital.incremental_owca_to_revenue_change.2024-08-31</t>
        </is>
      </c>
      <c r="F184" t="inlineStr">
        <is>
          <t>working_capital</t>
        </is>
      </c>
      <c r="G184" t="inlineStr">
        <is>
          <t>Working Capital Analysis</t>
        </is>
      </c>
      <c r="H184" t="inlineStr">
        <is>
          <t>E22</t>
        </is>
      </c>
      <c r="I184">
        <f>IF(E14=0,NA(),E19/E14)</f>
        <v/>
      </c>
      <c r="J184" t="n">
        <v>0.0663515961562979</v>
      </c>
      <c r="K184" t="n">
        <v>0.01</v>
      </c>
      <c r="L184" t="inlineStr">
        <is>
          <t>owca_change__20240831,revenue_change__20240831</t>
        </is>
      </c>
      <c r="M184" t="inlineStr">
        <is>
          <t>This ratio measures incremental operating-current-asset investment per unit of incremental sales.|A zero Change in Revenue denominator makes the ratio undefined (#N/A).|Keep the signed denominator when Revenue falls; do not convert it to an absolute value.</t>
        </is>
      </c>
      <c r="O184" t="inlineStr">
        <is>
          <t>pending</t>
        </is>
      </c>
      <c r="P184" t="inlineStr">
        <is>
          <t>incremental_owca_to_revenue_change</t>
        </is>
      </c>
      <c r="Q184" t="n">
        <v>44</v>
      </c>
      <c r="R184" t="n">
        <v>3</v>
      </c>
      <c r="S184" t="inlineStr">
        <is>
          <t>2024-08-31</t>
        </is>
      </c>
    </row>
    <row r="185">
      <c r="A185" t="inlineStr">
        <is>
          <t>incremental_owca_to_revenue_change__20250831</t>
        </is>
      </c>
      <c r="B185" t="n">
        <v>184</v>
      </c>
      <c r="C185" t="inlineStr">
        <is>
          <t>Incremental OWCA / Change in Revenue</t>
        </is>
      </c>
      <c r="D185" t="inlineStr">
        <is>
          <t>Change in OWCA divided by Change in Revenue.</t>
        </is>
      </c>
      <c r="E185" t="inlineStr">
        <is>
          <t>working_capital.incremental_owca_to_revenue_change.2025-08-31</t>
        </is>
      </c>
      <c r="F185" t="inlineStr">
        <is>
          <t>working_capital</t>
        </is>
      </c>
      <c r="G185" t="inlineStr">
        <is>
          <t>Working Capital Analysis</t>
        </is>
      </c>
      <c r="H185" t="inlineStr">
        <is>
          <t>F22</t>
        </is>
      </c>
      <c r="I185">
        <f>IF(F14=0,NA(),F19/F14)</f>
        <v/>
      </c>
      <c r="J185" t="n">
        <v>0.1771906586721401</v>
      </c>
      <c r="K185" t="n">
        <v>0.01</v>
      </c>
      <c r="L185" t="inlineStr">
        <is>
          <t>owca_change__20250831,revenue_change__20250831</t>
        </is>
      </c>
      <c r="M185" t="inlineStr">
        <is>
          <t>This ratio measures incremental operating-current-asset investment per unit of incremental sales.|A zero Change in Revenue denominator makes the ratio undefined (#N/A).|Keep the signed denominator when Revenue falls; do not convert it to an absolute value.</t>
        </is>
      </c>
      <c r="O185" t="inlineStr">
        <is>
          <t>pending</t>
        </is>
      </c>
      <c r="P185" t="inlineStr">
        <is>
          <t>incremental_owca_to_revenue_change</t>
        </is>
      </c>
      <c r="Q185" t="n">
        <v>44</v>
      </c>
      <c r="R185" t="n">
        <v>4</v>
      </c>
      <c r="S185" t="inlineStr">
        <is>
          <t>2025-08-31</t>
        </is>
      </c>
    </row>
    <row r="186">
      <c r="A186" t="inlineStr">
        <is>
          <t>incremental_owcl_to_revenue_change__20220831</t>
        </is>
      </c>
      <c r="B186" t="n">
        <v>185</v>
      </c>
      <c r="C186" t="inlineStr">
        <is>
          <t>Incremental OWCL / Change in Revenue</t>
        </is>
      </c>
      <c r="D186" t="inlineStr">
        <is>
          <t>Change in OWCL divided by Change in Revenue.</t>
        </is>
      </c>
      <c r="E186" t="inlineStr">
        <is>
          <t>working_capital.incremental_owcl_to_revenue_change.2022-08-31</t>
        </is>
      </c>
      <c r="F186" t="inlineStr">
        <is>
          <t>working_capital</t>
        </is>
      </c>
      <c r="G186" t="inlineStr">
        <is>
          <t>Working Capital Analysis</t>
        </is>
      </c>
      <c r="H186" t="inlineStr">
        <is>
          <t>C23</t>
        </is>
      </c>
      <c r="I186">
        <f>IF(C14=0,NA(),C20/C14)</f>
        <v/>
      </c>
      <c r="J186" t="n">
        <v>1.100886218997205</v>
      </c>
      <c r="K186" t="n">
        <v>0.01</v>
      </c>
      <c r="L186" t="inlineStr">
        <is>
          <t>owcl_change__20220831,revenue_change__20220831</t>
        </is>
      </c>
      <c r="M186" t="inlineStr">
        <is>
          <t>This ratio measures incremental operating-liability financing per unit of incremental sales.|A zero Change in Revenue denominator makes the ratio undefined (#N/A).|A larger value is not automatically good; it only shows that more operating liabilities accompany the sales change.</t>
        </is>
      </c>
      <c r="O186" t="inlineStr">
        <is>
          <t>pending</t>
        </is>
      </c>
      <c r="P186" t="inlineStr">
        <is>
          <t>incremental_owcl_to_revenue_change</t>
        </is>
      </c>
      <c r="Q186" t="n">
        <v>45</v>
      </c>
      <c r="R186" t="n">
        <v>1</v>
      </c>
      <c r="S186" t="inlineStr">
        <is>
          <t>2022-08-31</t>
        </is>
      </c>
    </row>
    <row r="187">
      <c r="A187" t="inlineStr">
        <is>
          <t>incremental_owcl_to_revenue_change__20230831</t>
        </is>
      </c>
      <c r="B187" t="n">
        <v>186</v>
      </c>
      <c r="C187" t="inlineStr">
        <is>
          <t>Incremental OWCL / Change in Revenue</t>
        </is>
      </c>
      <c r="D187" t="inlineStr">
        <is>
          <t>Change in OWCL divided by Change in Revenue.</t>
        </is>
      </c>
      <c r="E187" t="inlineStr">
        <is>
          <t>working_capital.incremental_owcl_to_revenue_change.2023-08-31</t>
        </is>
      </c>
      <c r="F187" t="inlineStr">
        <is>
          <t>working_capital</t>
        </is>
      </c>
      <c r="G187" t="inlineStr">
        <is>
          <t>Working Capital Analysis</t>
        </is>
      </c>
      <c r="H187" t="inlineStr">
        <is>
          <t>D23</t>
        </is>
      </c>
      <c r="I187">
        <f>IF(D14=0,NA(),D20/D14)</f>
        <v/>
      </c>
      <c r="J187" t="n">
        <v>-0.01031937864578298</v>
      </c>
      <c r="K187" t="n">
        <v>0.01</v>
      </c>
      <c r="L187" t="inlineStr">
        <is>
          <t>owcl_change__20230831,revenue_change__20230831</t>
        </is>
      </c>
      <c r="M187" t="inlineStr">
        <is>
          <t>This ratio measures incremental operating-liability financing per unit of incremental sales.|A zero Change in Revenue denominator makes the ratio undefined (#N/A).|A larger value is not automatically good; it only shows that more operating liabilities accompany the sales change.</t>
        </is>
      </c>
      <c r="O187" t="inlineStr">
        <is>
          <t>pending</t>
        </is>
      </c>
      <c r="P187" t="inlineStr">
        <is>
          <t>incremental_owcl_to_revenue_change</t>
        </is>
      </c>
      <c r="Q187" t="n">
        <v>45</v>
      </c>
      <c r="R187" t="n">
        <v>2</v>
      </c>
      <c r="S187" t="inlineStr">
        <is>
          <t>2023-08-31</t>
        </is>
      </c>
    </row>
    <row r="188">
      <c r="A188" t="inlineStr">
        <is>
          <t>incremental_owcl_to_revenue_change__20240831</t>
        </is>
      </c>
      <c r="B188" t="n">
        <v>187</v>
      </c>
      <c r="C188" t="inlineStr">
        <is>
          <t>Incremental OWCL / Change in Revenue</t>
        </is>
      </c>
      <c r="D188" t="inlineStr">
        <is>
          <t>Change in OWCL divided by Change in Revenue.</t>
        </is>
      </c>
      <c r="E188" t="inlineStr">
        <is>
          <t>working_capital.incremental_owcl_to_revenue_change.2024-08-31</t>
        </is>
      </c>
      <c r="F188" t="inlineStr">
        <is>
          <t>working_capital</t>
        </is>
      </c>
      <c r="G188" t="inlineStr">
        <is>
          <t>Working Capital Analysis</t>
        </is>
      </c>
      <c r="H188" t="inlineStr">
        <is>
          <t>E23</t>
        </is>
      </c>
      <c r="I188">
        <f>IF(E14=0,NA(),E20/E14)</f>
        <v/>
      </c>
      <c r="J188" t="n">
        <v>0.1998434530462911</v>
      </c>
      <c r="K188" t="n">
        <v>0.01</v>
      </c>
      <c r="L188" t="inlineStr">
        <is>
          <t>owcl_change__20240831,revenue_change__20240831</t>
        </is>
      </c>
      <c r="M188" t="inlineStr">
        <is>
          <t>This ratio measures incremental operating-liability financing per unit of incremental sales.|A zero Change in Revenue denominator makes the ratio undefined (#N/A).|A larger value is not automatically good; it only shows that more operating liabilities accompany the sales change.</t>
        </is>
      </c>
      <c r="O188" t="inlineStr">
        <is>
          <t>pending</t>
        </is>
      </c>
      <c r="P188" t="inlineStr">
        <is>
          <t>incremental_owcl_to_revenue_change</t>
        </is>
      </c>
      <c r="Q188" t="n">
        <v>45</v>
      </c>
      <c r="R188" t="n">
        <v>3</v>
      </c>
      <c r="S188" t="inlineStr">
        <is>
          <t>2024-08-31</t>
        </is>
      </c>
    </row>
    <row r="189">
      <c r="A189" t="inlineStr">
        <is>
          <t>incremental_owcl_to_revenue_change__20250831</t>
        </is>
      </c>
      <c r="B189" t="n">
        <v>188</v>
      </c>
      <c r="C189" t="inlineStr">
        <is>
          <t>Incremental OWCL / Change in Revenue</t>
        </is>
      </c>
      <c r="D189" t="inlineStr">
        <is>
          <t>Change in OWCL divided by Change in Revenue.</t>
        </is>
      </c>
      <c r="E189" t="inlineStr">
        <is>
          <t>working_capital.incremental_owcl_to_revenue_change.2025-08-31</t>
        </is>
      </c>
      <c r="F189" t="inlineStr">
        <is>
          <t>working_capital</t>
        </is>
      </c>
      <c r="G189" t="inlineStr">
        <is>
          <t>Working Capital Analysis</t>
        </is>
      </c>
      <c r="H189" t="inlineStr">
        <is>
          <t>F23</t>
        </is>
      </c>
      <c r="I189">
        <f>IF(F14=0,NA(),F20/F14)</f>
        <v/>
      </c>
      <c r="J189" t="n">
        <v>0.03407447851892297</v>
      </c>
      <c r="K189" t="n">
        <v>0.01</v>
      </c>
      <c r="L189" t="inlineStr">
        <is>
          <t>owcl_change__20250831,revenue_change__20250831</t>
        </is>
      </c>
      <c r="M189" t="inlineStr">
        <is>
          <t>This ratio measures incremental operating-liability financing per unit of incremental sales.|A zero Change in Revenue denominator makes the ratio undefined (#N/A).|A larger value is not automatically good; it only shows that more operating liabilities accompany the sales change.</t>
        </is>
      </c>
      <c r="O189" t="inlineStr">
        <is>
          <t>pending</t>
        </is>
      </c>
      <c r="P189" t="inlineStr">
        <is>
          <t>incremental_owcl_to_revenue_change</t>
        </is>
      </c>
      <c r="Q189" t="n">
        <v>45</v>
      </c>
      <c r="R189" t="n">
        <v>4</v>
      </c>
      <c r="S189" t="inlineStr">
        <is>
          <t>2025-08-31</t>
        </is>
      </c>
    </row>
    <row r="190">
      <c r="A190" t="inlineStr">
        <is>
          <t>average_noa__20220831</t>
        </is>
      </c>
      <c r="B190" t="n">
        <v>189</v>
      </c>
      <c r="C190" t="inlineStr">
        <is>
          <t>Average Net Operating Assets</t>
        </is>
      </c>
      <c r="D190" t="inlineStr">
        <is>
          <t>Average beginning and ending NOA for the comparable period.</t>
        </is>
      </c>
      <c r="E190" t="inlineStr">
        <is>
          <t>profitability.average_noa.2022-08-31</t>
        </is>
      </c>
      <c r="F190" t="inlineStr">
        <is>
          <t>profitability_driver</t>
        </is>
      </c>
      <c r="G190" t="inlineStr">
        <is>
          <t>ALT DuPont</t>
        </is>
      </c>
      <c r="H190" t="inlineStr">
        <is>
          <t>C15</t>
        </is>
      </c>
      <c r="I190">
        <f>('Condensed Financials'!B63+'Condensed Financials'!C63)/2</f>
        <v/>
      </c>
      <c r="J190" t="n">
        <v>226664</v>
      </c>
      <c r="K190" t="n">
        <v>0.01</v>
      </c>
      <c r="L190" t="inlineStr">
        <is>
          <t>noa_agg__20220831,noa_agg__20210831</t>
        </is>
      </c>
      <c r="M190" t="inlineStr">
        <is>
          <t>Average NOA = (Beginning NOA + Ending NOA) / 2.|Use the same Average NOA denominator as direct RNOA.</t>
        </is>
      </c>
      <c r="O190" t="inlineStr">
        <is>
          <t>pending</t>
        </is>
      </c>
      <c r="P190" t="inlineStr">
        <is>
          <t>average_noa</t>
        </is>
      </c>
      <c r="Q190" t="n">
        <v>46</v>
      </c>
      <c r="R190" t="n">
        <v>1</v>
      </c>
      <c r="S190" t="inlineStr">
        <is>
          <t>2022-08-31</t>
        </is>
      </c>
    </row>
    <row r="191">
      <c r="A191" t="inlineStr">
        <is>
          <t>average_noa__20230831</t>
        </is>
      </c>
      <c r="B191" t="n">
        <v>190</v>
      </c>
      <c r="C191" t="inlineStr">
        <is>
          <t>Average Net Operating Assets</t>
        </is>
      </c>
      <c r="D191" t="inlineStr">
        <is>
          <t>Average beginning and ending NOA for the comparable period.</t>
        </is>
      </c>
      <c r="E191" t="inlineStr">
        <is>
          <t>profitability.average_noa.2023-08-31</t>
        </is>
      </c>
      <c r="F191" t="inlineStr">
        <is>
          <t>profitability_driver</t>
        </is>
      </c>
      <c r="G191" t="inlineStr">
        <is>
          <t>ALT DuPont</t>
        </is>
      </c>
      <c r="H191" t="inlineStr">
        <is>
          <t>D15</t>
        </is>
      </c>
      <c r="I191">
        <f>('Condensed Financials'!C63+'Condensed Financials'!D63)/2</f>
        <v/>
      </c>
      <c r="J191" t="n">
        <v>188828</v>
      </c>
      <c r="K191" t="n">
        <v>0.01</v>
      </c>
      <c r="L191" t="inlineStr">
        <is>
          <t>noa_agg__20230831,noa_agg__20220831</t>
        </is>
      </c>
      <c r="M191" t="inlineStr">
        <is>
          <t>Average NOA = (Beginning NOA + Ending NOA) / 2.|Use the same Average NOA denominator as direct RNOA.</t>
        </is>
      </c>
      <c r="O191" t="inlineStr">
        <is>
          <t>pending</t>
        </is>
      </c>
      <c r="P191" t="inlineStr">
        <is>
          <t>average_noa</t>
        </is>
      </c>
      <c r="Q191" t="n">
        <v>46</v>
      </c>
      <c r="R191" t="n">
        <v>2</v>
      </c>
      <c r="S191" t="inlineStr">
        <is>
          <t>2023-08-31</t>
        </is>
      </c>
    </row>
    <row r="192">
      <c r="A192" t="inlineStr">
        <is>
          <t>average_noa__20240831</t>
        </is>
      </c>
      <c r="B192" t="n">
        <v>191</v>
      </c>
      <c r="C192" t="inlineStr">
        <is>
          <t>Average Net Operating Assets</t>
        </is>
      </c>
      <c r="D192" t="inlineStr">
        <is>
          <t>Average beginning and ending NOA for the comparable period.</t>
        </is>
      </c>
      <c r="E192" t="inlineStr">
        <is>
          <t>profitability.average_noa.2024-08-31</t>
        </is>
      </c>
      <c r="F192" t="inlineStr">
        <is>
          <t>profitability_driver</t>
        </is>
      </c>
      <c r="G192" t="inlineStr">
        <is>
          <t>ALT DuPont</t>
        </is>
      </c>
      <c r="H192" t="inlineStr">
        <is>
          <t>E15</t>
        </is>
      </c>
      <c r="I192">
        <f>('Condensed Financials'!D63+'Condensed Financials'!E63)/2</f>
        <v/>
      </c>
      <c r="J192" t="n">
        <v>227231.5</v>
      </c>
      <c r="K192" t="n">
        <v>0.01</v>
      </c>
      <c r="L192" t="inlineStr">
        <is>
          <t>noa_agg__20240831,noa_agg__20230831</t>
        </is>
      </c>
      <c r="M192" t="inlineStr">
        <is>
          <t>Average NOA = (Beginning NOA + Ending NOA) / 2.|Use the same Average NOA denominator as direct RNOA.</t>
        </is>
      </c>
      <c r="O192" t="inlineStr">
        <is>
          <t>pending</t>
        </is>
      </c>
      <c r="P192" t="inlineStr">
        <is>
          <t>average_noa</t>
        </is>
      </c>
      <c r="Q192" t="n">
        <v>46</v>
      </c>
      <c r="R192" t="n">
        <v>3</v>
      </c>
      <c r="S192" t="inlineStr">
        <is>
          <t>2024-08-31</t>
        </is>
      </c>
    </row>
    <row r="193">
      <c r="A193" t="inlineStr">
        <is>
          <t>average_noa__20250831</t>
        </is>
      </c>
      <c r="B193" t="n">
        <v>192</v>
      </c>
      <c r="C193" t="inlineStr">
        <is>
          <t>Average Net Operating Assets</t>
        </is>
      </c>
      <c r="D193" t="inlineStr">
        <is>
          <t>Average beginning and ending NOA for the comparable period.</t>
        </is>
      </c>
      <c r="E193" t="inlineStr">
        <is>
          <t>profitability.average_noa.2025-08-31</t>
        </is>
      </c>
      <c r="F193" t="inlineStr">
        <is>
          <t>profitability_driver</t>
        </is>
      </c>
      <c r="G193" t="inlineStr">
        <is>
          <t>ALT DuPont</t>
        </is>
      </c>
      <c r="H193" t="inlineStr">
        <is>
          <t>F15</t>
        </is>
      </c>
      <c r="I193">
        <f>('Condensed Financials'!E63+'Condensed Financials'!F63)/2</f>
        <v/>
      </c>
      <c r="J193" t="n">
        <v>328005.5</v>
      </c>
      <c r="K193" t="n">
        <v>0.01</v>
      </c>
      <c r="L193" t="inlineStr">
        <is>
          <t>noa_agg__20250831,noa_agg__20240831</t>
        </is>
      </c>
      <c r="M193" t="inlineStr">
        <is>
          <t>Average NOA = (Beginning NOA + Ending NOA) / 2.|Use the same Average NOA denominator as direct RNOA.</t>
        </is>
      </c>
      <c r="O193" t="inlineStr">
        <is>
          <t>pending</t>
        </is>
      </c>
      <c r="P193" t="inlineStr">
        <is>
          <t>average_noa</t>
        </is>
      </c>
      <c r="Q193" t="n">
        <v>46</v>
      </c>
      <c r="R193" t="n">
        <v>4</v>
      </c>
      <c r="S193" t="inlineStr">
        <is>
          <t>2025-08-31</t>
        </is>
      </c>
    </row>
    <row r="194">
      <c r="A194" t="inlineStr">
        <is>
          <t>noa_turnover__20220831</t>
        </is>
      </c>
      <c r="B194" t="n">
        <v>193</v>
      </c>
      <c r="C194" t="inlineStr">
        <is>
          <t>Net Operating Asset Turnover</t>
        </is>
      </c>
      <c r="D194" t="inlineStr">
        <is>
          <t>Revenue divided by Average NOA.</t>
        </is>
      </c>
      <c r="E194" t="inlineStr">
        <is>
          <t>profitability.noa_turnover.2022-08-31</t>
        </is>
      </c>
      <c r="F194" t="inlineStr">
        <is>
          <t>profitability_driver</t>
        </is>
      </c>
      <c r="G194" t="inlineStr">
        <is>
          <t>ALT DuPont</t>
        </is>
      </c>
      <c r="H194" t="inlineStr">
        <is>
          <t>C16</t>
        </is>
      </c>
      <c r="I194">
        <f>IF(C15=0,NA(),'Condensed Financials'!C44/C15)</f>
        <v/>
      </c>
      <c r="J194" t="n">
        <v>10.15212826033247</v>
      </c>
      <c r="K194" t="n">
        <v>0.01</v>
      </c>
      <c r="L194" t="inlineStr">
        <is>
          <t>revenue_link__20220831,average_noa__20220831</t>
        </is>
      </c>
      <c r="M194" t="inlineStr">
        <is>
          <t>NOA Turnover = Revenue / Average NOA.|Higher turnover means more Revenue is generated per unit of net operating assets, but the cause requires separate analysis.|A zero Average NOA denominator makes the ratio undefined (#N/A).</t>
        </is>
      </c>
      <c r="O194" t="inlineStr">
        <is>
          <t>pending</t>
        </is>
      </c>
      <c r="P194" t="inlineStr">
        <is>
          <t>noa_turnover</t>
        </is>
      </c>
      <c r="Q194" t="n">
        <v>47</v>
      </c>
      <c r="R194" t="n">
        <v>1</v>
      </c>
      <c r="S194" t="inlineStr">
        <is>
          <t>2022-08-31</t>
        </is>
      </c>
    </row>
    <row r="195">
      <c r="A195" t="inlineStr">
        <is>
          <t>noa_turnover__20230831</t>
        </is>
      </c>
      <c r="B195" t="n">
        <v>194</v>
      </c>
      <c r="C195" t="inlineStr">
        <is>
          <t>Net Operating Asset Turnover</t>
        </is>
      </c>
      <c r="D195" t="inlineStr">
        <is>
          <t>Revenue divided by Average NOA.</t>
        </is>
      </c>
      <c r="E195" t="inlineStr">
        <is>
          <t>profitability.noa_turnover.2023-08-31</t>
        </is>
      </c>
      <c r="F195" t="inlineStr">
        <is>
          <t>profitability_driver</t>
        </is>
      </c>
      <c r="G195" t="inlineStr">
        <is>
          <t>ALT DuPont</t>
        </is>
      </c>
      <c r="H195" t="inlineStr">
        <is>
          <t>D16</t>
        </is>
      </c>
      <c r="I195">
        <f>IF(D15=0,NA(),'Condensed Financials'!D44/D15)</f>
        <v/>
      </c>
      <c r="J195" t="n">
        <v>14.65120109305823</v>
      </c>
      <c r="K195" t="n">
        <v>0.01</v>
      </c>
      <c r="L195" t="inlineStr">
        <is>
          <t>revenue_link__20230831,average_noa__20230831</t>
        </is>
      </c>
      <c r="M195" t="inlineStr">
        <is>
          <t>NOA Turnover = Revenue / Average NOA.|Higher turnover means more Revenue is generated per unit of net operating assets, but the cause requires separate analysis.|A zero Average NOA denominator makes the ratio undefined (#N/A).</t>
        </is>
      </c>
      <c r="O195" t="inlineStr">
        <is>
          <t>pending</t>
        </is>
      </c>
      <c r="P195" t="inlineStr">
        <is>
          <t>noa_turnover</t>
        </is>
      </c>
      <c r="Q195" t="n">
        <v>47</v>
      </c>
      <c r="R195" t="n">
        <v>2</v>
      </c>
      <c r="S195" t="inlineStr">
        <is>
          <t>2023-08-31</t>
        </is>
      </c>
    </row>
    <row r="196">
      <c r="A196" t="inlineStr">
        <is>
          <t>noa_turnover__20240831</t>
        </is>
      </c>
      <c r="B196" t="n">
        <v>195</v>
      </c>
      <c r="C196" t="inlineStr">
        <is>
          <t>Net Operating Asset Turnover</t>
        </is>
      </c>
      <c r="D196" t="inlineStr">
        <is>
          <t>Revenue divided by Average NOA.</t>
        </is>
      </c>
      <c r="E196" t="inlineStr">
        <is>
          <t>profitability.noa_turnover.2024-08-31</t>
        </is>
      </c>
      <c r="F196" t="inlineStr">
        <is>
          <t>profitability_driver</t>
        </is>
      </c>
      <c r="G196" t="inlineStr">
        <is>
          <t>ALT DuPont</t>
        </is>
      </c>
      <c r="H196" t="inlineStr">
        <is>
          <t>E16</t>
        </is>
      </c>
      <c r="I196">
        <f>IF(E15=0,NA(),'Condensed Financials'!E44/E15)</f>
        <v/>
      </c>
      <c r="J196" t="n">
        <v>13.65935620721599</v>
      </c>
      <c r="K196" t="n">
        <v>0.01</v>
      </c>
      <c r="L196" t="inlineStr">
        <is>
          <t>revenue_link__20240831,average_noa__20240831</t>
        </is>
      </c>
      <c r="M196" t="inlineStr">
        <is>
          <t>NOA Turnover = Revenue / Average NOA.|Higher turnover means more Revenue is generated per unit of net operating assets, but the cause requires separate analysis.|A zero Average NOA denominator makes the ratio undefined (#N/A).</t>
        </is>
      </c>
      <c r="O196" t="inlineStr">
        <is>
          <t>pending</t>
        </is>
      </c>
      <c r="P196" t="inlineStr">
        <is>
          <t>noa_turnover</t>
        </is>
      </c>
      <c r="Q196" t="n">
        <v>47</v>
      </c>
      <c r="R196" t="n">
        <v>3</v>
      </c>
      <c r="S196" t="inlineStr">
        <is>
          <t>2024-08-31</t>
        </is>
      </c>
    </row>
    <row r="197">
      <c r="A197" t="inlineStr">
        <is>
          <t>noa_turnover__20250831</t>
        </is>
      </c>
      <c r="B197" t="n">
        <v>196</v>
      </c>
      <c r="C197" t="inlineStr">
        <is>
          <t>Net Operating Asset Turnover</t>
        </is>
      </c>
      <c r="D197" t="inlineStr">
        <is>
          <t>Revenue divided by Average NOA.</t>
        </is>
      </c>
      <c r="E197" t="inlineStr">
        <is>
          <t>profitability.noa_turnover.2025-08-31</t>
        </is>
      </c>
      <c r="F197" t="inlineStr">
        <is>
          <t>profitability_driver</t>
        </is>
      </c>
      <c r="G197" t="inlineStr">
        <is>
          <t>ALT DuPont</t>
        </is>
      </c>
      <c r="H197" t="inlineStr">
        <is>
          <t>F16</t>
        </is>
      </c>
      <c r="I197">
        <f>IF(F15=0,NA(),'Condensed Financials'!F44/F15)</f>
        <v/>
      </c>
      <c r="J197" t="n">
        <v>10.36732310891128</v>
      </c>
      <c r="K197" t="n">
        <v>0.01</v>
      </c>
      <c r="L197" t="inlineStr">
        <is>
          <t>revenue_link__20250831,average_noa__20250831</t>
        </is>
      </c>
      <c r="M197" t="inlineStr">
        <is>
          <t>NOA Turnover = Revenue / Average NOA.|Higher turnover means more Revenue is generated per unit of net operating assets, but the cause requires separate analysis.|A zero Average NOA denominator makes the ratio undefined (#N/A).</t>
        </is>
      </c>
      <c r="O197" t="inlineStr">
        <is>
          <t>pending</t>
        </is>
      </c>
      <c r="P197" t="inlineStr">
        <is>
          <t>noa_turnover</t>
        </is>
      </c>
      <c r="Q197" t="n">
        <v>47</v>
      </c>
      <c r="R197" t="n">
        <v>4</v>
      </c>
      <c r="S197" t="inlineStr">
        <is>
          <t>2025-08-31</t>
        </is>
      </c>
    </row>
    <row r="198">
      <c r="A198" t="inlineStr">
        <is>
          <t>noa_intensity__20220831</t>
        </is>
      </c>
      <c r="B198" t="n">
        <v>197</v>
      </c>
      <c r="C198" t="inlineStr">
        <is>
          <t>Net Operating Asset Intensity</t>
        </is>
      </c>
      <c r="D198" t="inlineStr">
        <is>
          <t>Average NOA divided by Revenue.</t>
        </is>
      </c>
      <c r="E198" t="inlineStr">
        <is>
          <t>profitability.noa_intensity.2022-08-31</t>
        </is>
      </c>
      <c r="F198" t="inlineStr">
        <is>
          <t>profitability_driver</t>
        </is>
      </c>
      <c r="G198" t="inlineStr">
        <is>
          <t>ALT DuPont</t>
        </is>
      </c>
      <c r="H198" t="inlineStr">
        <is>
          <t>C17</t>
        </is>
      </c>
      <c r="I198">
        <f>IF('Condensed Financials'!C44=0,NA(),C15/'Condensed Financials'!C44)</f>
        <v/>
      </c>
      <c r="J198" t="n">
        <v>0.09850151360944791</v>
      </c>
      <c r="K198" t="n">
        <v>0.01</v>
      </c>
      <c r="L198" t="inlineStr">
        <is>
          <t>average_noa__20220831,revenue_link__20220831</t>
        </is>
      </c>
      <c r="M198" t="inlineStr">
        <is>
          <t>NOA Intensity = Average NOA / Revenue.|It expresses how much net operating asset investment supports each unit of Revenue.|A zero Revenue denominator makes the ratio undefined (#N/A).</t>
        </is>
      </c>
      <c r="O198" t="inlineStr">
        <is>
          <t>pending</t>
        </is>
      </c>
      <c r="P198" t="inlineStr">
        <is>
          <t>noa_intensity</t>
        </is>
      </c>
      <c r="Q198" t="n">
        <v>48</v>
      </c>
      <c r="R198" t="n">
        <v>1</v>
      </c>
      <c r="S198" t="inlineStr">
        <is>
          <t>2022-08-31</t>
        </is>
      </c>
    </row>
    <row r="199">
      <c r="A199" t="inlineStr">
        <is>
          <t>noa_intensity__20230831</t>
        </is>
      </c>
      <c r="B199" t="n">
        <v>198</v>
      </c>
      <c r="C199" t="inlineStr">
        <is>
          <t>Net Operating Asset Intensity</t>
        </is>
      </c>
      <c r="D199" t="inlineStr">
        <is>
          <t>Average NOA divided by Revenue.</t>
        </is>
      </c>
      <c r="E199" t="inlineStr">
        <is>
          <t>profitability.noa_intensity.2023-08-31</t>
        </is>
      </c>
      <c r="F199" t="inlineStr">
        <is>
          <t>profitability_driver</t>
        </is>
      </c>
      <c r="G199" t="inlineStr">
        <is>
          <t>ALT DuPont</t>
        </is>
      </c>
      <c r="H199" t="inlineStr">
        <is>
          <t>D17</t>
        </is>
      </c>
      <c r="I199">
        <f>IF('Condensed Financials'!D44=0,NA(),D15/'Condensed Financials'!D44)</f>
        <v/>
      </c>
      <c r="J199" t="n">
        <v>0.06825378981889764</v>
      </c>
      <c r="K199" t="n">
        <v>0.01</v>
      </c>
      <c r="L199" t="inlineStr">
        <is>
          <t>average_noa__20230831,revenue_link__20230831</t>
        </is>
      </c>
      <c r="M199" t="inlineStr">
        <is>
          <t>NOA Intensity = Average NOA / Revenue.|It expresses how much net operating asset investment supports each unit of Revenue.|A zero Revenue denominator makes the ratio undefined (#N/A).</t>
        </is>
      </c>
      <c r="O199" t="inlineStr">
        <is>
          <t>pending</t>
        </is>
      </c>
      <c r="P199" t="inlineStr">
        <is>
          <t>noa_intensity</t>
        </is>
      </c>
      <c r="Q199" t="n">
        <v>48</v>
      </c>
      <c r="R199" t="n">
        <v>2</v>
      </c>
      <c r="S199" t="inlineStr">
        <is>
          <t>2023-08-31</t>
        </is>
      </c>
    </row>
    <row r="200">
      <c r="A200" t="inlineStr">
        <is>
          <t>noa_intensity__20240831</t>
        </is>
      </c>
      <c r="B200" t="n">
        <v>199</v>
      </c>
      <c r="C200" t="inlineStr">
        <is>
          <t>Net Operating Asset Intensity</t>
        </is>
      </c>
      <c r="D200" t="inlineStr">
        <is>
          <t>Average NOA divided by Revenue.</t>
        </is>
      </c>
      <c r="E200" t="inlineStr">
        <is>
          <t>profitability.noa_intensity.2024-08-31</t>
        </is>
      </c>
      <c r="F200" t="inlineStr">
        <is>
          <t>profitability_driver</t>
        </is>
      </c>
      <c r="G200" t="inlineStr">
        <is>
          <t>ALT DuPont</t>
        </is>
      </c>
      <c r="H200" t="inlineStr">
        <is>
          <t>E17</t>
        </is>
      </c>
      <c r="I200">
        <f>IF('Condensed Financials'!E44=0,NA(),E15/'Condensed Financials'!E44)</f>
        <v/>
      </c>
      <c r="J200" t="n">
        <v>0.07320989253298177</v>
      </c>
      <c r="K200" t="n">
        <v>0.01</v>
      </c>
      <c r="L200" t="inlineStr">
        <is>
          <t>average_noa__20240831,revenue_link__20240831</t>
        </is>
      </c>
      <c r="M200" t="inlineStr">
        <is>
          <t>NOA Intensity = Average NOA / Revenue.|It expresses how much net operating asset investment supports each unit of Revenue.|A zero Revenue denominator makes the ratio undefined (#N/A).</t>
        </is>
      </c>
      <c r="O200" t="inlineStr">
        <is>
          <t>pending</t>
        </is>
      </c>
      <c r="P200" t="inlineStr">
        <is>
          <t>noa_intensity</t>
        </is>
      </c>
      <c r="Q200" t="n">
        <v>48</v>
      </c>
      <c r="R200" t="n">
        <v>3</v>
      </c>
      <c r="S200" t="inlineStr">
        <is>
          <t>2024-08-31</t>
        </is>
      </c>
    </row>
    <row r="201">
      <c r="A201" t="inlineStr">
        <is>
          <t>noa_intensity__20250831</t>
        </is>
      </c>
      <c r="B201" t="n">
        <v>200</v>
      </c>
      <c r="C201" t="inlineStr">
        <is>
          <t>Net Operating Asset Intensity</t>
        </is>
      </c>
      <c r="D201" t="inlineStr">
        <is>
          <t>Average NOA divided by Revenue.</t>
        </is>
      </c>
      <c r="E201" t="inlineStr">
        <is>
          <t>profitability.noa_intensity.2025-08-31</t>
        </is>
      </c>
      <c r="F201" t="inlineStr">
        <is>
          <t>profitability_driver</t>
        </is>
      </c>
      <c r="G201" t="inlineStr">
        <is>
          <t>ALT DuPont</t>
        </is>
      </c>
      <c r="H201" t="inlineStr">
        <is>
          <t>F17</t>
        </is>
      </c>
      <c r="I201">
        <f>IF('Condensed Financials'!F44=0,NA(),F15/'Condensed Financials'!F44)</f>
        <v/>
      </c>
      <c r="J201" t="n">
        <v>0.0964569146244169</v>
      </c>
      <c r="K201" t="n">
        <v>0.01</v>
      </c>
      <c r="L201" t="inlineStr">
        <is>
          <t>average_noa__20250831,revenue_link__20250831</t>
        </is>
      </c>
      <c r="M201" t="inlineStr">
        <is>
          <t>NOA Intensity = Average NOA / Revenue.|It expresses how much net operating asset investment supports each unit of Revenue.|A zero Revenue denominator makes the ratio undefined (#N/A).</t>
        </is>
      </c>
      <c r="O201" t="inlineStr">
        <is>
          <t>pending</t>
        </is>
      </c>
      <c r="P201" t="inlineStr">
        <is>
          <t>noa_intensity</t>
        </is>
      </c>
      <c r="Q201" t="n">
        <v>48</v>
      </c>
      <c r="R201" t="n">
        <v>4</v>
      </c>
      <c r="S201" t="inlineStr">
        <is>
          <t>2025-08-31</t>
        </is>
      </c>
    </row>
    <row r="202">
      <c r="A202" t="inlineStr">
        <is>
          <t>rnoa_margin_turnover__20220831</t>
        </is>
      </c>
      <c r="B202" t="n">
        <v>201</v>
      </c>
      <c r="C202" t="inlineStr">
        <is>
          <t>RNOA from Margin × Turnover</t>
        </is>
      </c>
      <c r="D202" t="inlineStr">
        <is>
          <t>NOPAT Margin multiplied by NOA Turnover.</t>
        </is>
      </c>
      <c r="E202" t="inlineStr">
        <is>
          <t>profitability.rnoa_margin_turnover.2022-08-31</t>
        </is>
      </c>
      <c r="F202" t="inlineStr">
        <is>
          <t>profitability_driver</t>
        </is>
      </c>
      <c r="G202" t="inlineStr">
        <is>
          <t>ALT DuPont</t>
        </is>
      </c>
      <c r="H202" t="inlineStr">
        <is>
          <t>C18</t>
        </is>
      </c>
      <c r="I202">
        <f>C6*C16</f>
        <v/>
      </c>
      <c r="J202" t="n">
        <v>0.8886746531999125</v>
      </c>
      <c r="K202" t="n">
        <v>0.01</v>
      </c>
      <c r="L202" t="inlineStr">
        <is>
          <t>nopat_margin__20220831,noa_turnover__20220831</t>
        </is>
      </c>
      <c r="M202" t="inlineStr">
        <is>
          <t>RNOA = NOPAT Margin × NOA Turnover when both terms are defined.|This separates operating profitability per sales dollar from operating-asset efficiency.|If either required driver is undefined, the decomposition is also undefined (#N/A).</t>
        </is>
      </c>
      <c r="O202" t="inlineStr">
        <is>
          <t>pending</t>
        </is>
      </c>
      <c r="P202" t="inlineStr">
        <is>
          <t>rnoa_margin_turnover</t>
        </is>
      </c>
      <c r="Q202" t="n">
        <v>49</v>
      </c>
      <c r="R202" t="n">
        <v>1</v>
      </c>
      <c r="S202" t="inlineStr">
        <is>
          <t>2022-08-31</t>
        </is>
      </c>
    </row>
    <row r="203">
      <c r="A203" t="inlineStr">
        <is>
          <t>rnoa_margin_turnover__20230831</t>
        </is>
      </c>
      <c r="B203" t="n">
        <v>202</v>
      </c>
      <c r="C203" t="inlineStr">
        <is>
          <t>RNOA from Margin × Turnover</t>
        </is>
      </c>
      <c r="D203" t="inlineStr">
        <is>
          <t>NOPAT Margin multiplied by NOA Turnover.</t>
        </is>
      </c>
      <c r="E203" t="inlineStr">
        <is>
          <t>profitability.rnoa_margin_turnover.2023-08-31</t>
        </is>
      </c>
      <c r="F203" t="inlineStr">
        <is>
          <t>profitability_driver</t>
        </is>
      </c>
      <c r="G203" t="inlineStr">
        <is>
          <t>ALT DuPont</t>
        </is>
      </c>
      <c r="H203" t="inlineStr">
        <is>
          <t>D18</t>
        </is>
      </c>
      <c r="I203">
        <f>D6*D16</f>
        <v/>
      </c>
      <c r="J203" t="n">
        <v>1.432724291139595</v>
      </c>
      <c r="K203" t="n">
        <v>0.01</v>
      </c>
      <c r="L203" t="inlineStr">
        <is>
          <t>nopat_margin__20230831,noa_turnover__20230831</t>
        </is>
      </c>
      <c r="M203" t="inlineStr">
        <is>
          <t>RNOA = NOPAT Margin × NOA Turnover when both terms are defined.|This separates operating profitability per sales dollar from operating-asset efficiency.|If either required driver is undefined, the decomposition is also undefined (#N/A).</t>
        </is>
      </c>
      <c r="O203" t="inlineStr">
        <is>
          <t>pending</t>
        </is>
      </c>
      <c r="P203" t="inlineStr">
        <is>
          <t>rnoa_margin_turnover</t>
        </is>
      </c>
      <c r="Q203" t="n">
        <v>49</v>
      </c>
      <c r="R203" t="n">
        <v>2</v>
      </c>
      <c r="S203" t="inlineStr">
        <is>
          <t>2023-08-31</t>
        </is>
      </c>
    </row>
    <row r="204">
      <c r="A204" t="inlineStr">
        <is>
          <t>rnoa_margin_turnover__20240831</t>
        </is>
      </c>
      <c r="B204" t="n">
        <v>203</v>
      </c>
      <c r="C204" t="inlineStr">
        <is>
          <t>RNOA from Margin × Turnover</t>
        </is>
      </c>
      <c r="D204" t="inlineStr">
        <is>
          <t>NOPAT Margin multiplied by NOA Turnover.</t>
        </is>
      </c>
      <c r="E204" t="inlineStr">
        <is>
          <t>profitability.rnoa_margin_turnover.2024-08-31</t>
        </is>
      </c>
      <c r="F204" t="inlineStr">
        <is>
          <t>profitability_driver</t>
        </is>
      </c>
      <c r="G204" t="inlineStr">
        <is>
          <t>ALT DuPont</t>
        </is>
      </c>
      <c r="H204" t="inlineStr">
        <is>
          <t>E18</t>
        </is>
      </c>
      <c r="I204">
        <f>E6*E16</f>
        <v/>
      </c>
      <c r="J204" t="n">
        <v>1.536933696931817</v>
      </c>
      <c r="K204" t="n">
        <v>0.01</v>
      </c>
      <c r="L204" t="inlineStr">
        <is>
          <t>nopat_margin__20240831,noa_turnover__20240831</t>
        </is>
      </c>
      <c r="M204" t="inlineStr">
        <is>
          <t>RNOA = NOPAT Margin × NOA Turnover when both terms are defined.|This separates operating profitability per sales dollar from operating-asset efficiency.|If either required driver is undefined, the decomposition is also undefined (#N/A).</t>
        </is>
      </c>
      <c r="O204" t="inlineStr">
        <is>
          <t>pending</t>
        </is>
      </c>
      <c r="P204" t="inlineStr">
        <is>
          <t>rnoa_margin_turnover</t>
        </is>
      </c>
      <c r="Q204" t="n">
        <v>49</v>
      </c>
      <c r="R204" t="n">
        <v>3</v>
      </c>
      <c r="S204" t="inlineStr">
        <is>
          <t>2024-08-31</t>
        </is>
      </c>
    </row>
    <row r="205">
      <c r="A205" t="inlineStr">
        <is>
          <t>rnoa_margin_turnover__20250831</t>
        </is>
      </c>
      <c r="B205" t="n">
        <v>204</v>
      </c>
      <c r="C205" t="inlineStr">
        <is>
          <t>RNOA from Margin × Turnover</t>
        </is>
      </c>
      <c r="D205" t="inlineStr">
        <is>
          <t>NOPAT Margin multiplied by NOA Turnover.</t>
        </is>
      </c>
      <c r="E205" t="inlineStr">
        <is>
          <t>profitability.rnoa_margin_turnover.2025-08-31</t>
        </is>
      </c>
      <c r="F205" t="inlineStr">
        <is>
          <t>profitability_driver</t>
        </is>
      </c>
      <c r="G205" t="inlineStr">
        <is>
          <t>ALT DuPont</t>
        </is>
      </c>
      <c r="H205" t="inlineStr">
        <is>
          <t>F18</t>
        </is>
      </c>
      <c r="I205">
        <f>F6*F16</f>
        <v/>
      </c>
      <c r="J205" t="n">
        <v>1.195911167016181</v>
      </c>
      <c r="K205" t="n">
        <v>0.01</v>
      </c>
      <c r="L205" t="inlineStr">
        <is>
          <t>nopat_margin__20250831,noa_turnover__20250831</t>
        </is>
      </c>
      <c r="M205" t="inlineStr">
        <is>
          <t>RNOA = NOPAT Margin × NOA Turnover when both terms are defined.|This separates operating profitability per sales dollar from operating-asset efficiency.|If either required driver is undefined, the decomposition is also undefined (#N/A).</t>
        </is>
      </c>
      <c r="O205" t="inlineStr">
        <is>
          <t>pending</t>
        </is>
      </c>
      <c r="P205" t="inlineStr">
        <is>
          <t>rnoa_margin_turnover</t>
        </is>
      </c>
      <c r="Q205" t="n">
        <v>49</v>
      </c>
      <c r="R205" t="n">
        <v>4</v>
      </c>
      <c r="S205" t="inlineStr">
        <is>
          <t>2025-08-31</t>
        </is>
      </c>
    </row>
    <row r="206">
      <c r="A206" t="inlineStr">
        <is>
          <t>nopat_margin_change__20230831</t>
        </is>
      </c>
      <c r="B206" t="n">
        <v>205</v>
      </c>
      <c r="C206" t="inlineStr">
        <is>
          <t>Change in NOPAT Margin</t>
        </is>
      </c>
      <c r="D206" t="inlineStr">
        <is>
          <t>Current NOPAT Margin minus prior comparable NOPAT Margin.</t>
        </is>
      </c>
      <c r="E206" t="inlineStr">
        <is>
          <t>profitability_change.nopat_margin_change.2023-08-31</t>
        </is>
      </c>
      <c r="F206" t="inlineStr">
        <is>
          <t>profitability_change</t>
        </is>
      </c>
      <c r="G206" t="inlineStr">
        <is>
          <t>ALT DuPont</t>
        </is>
      </c>
      <c r="H206" t="inlineStr">
        <is>
          <t>D22</t>
        </is>
      </c>
      <c r="I206">
        <f>D6-C6</f>
        <v/>
      </c>
      <c r="J206" t="n">
        <v>0.01025306418932846</v>
      </c>
      <c r="K206" t="n">
        <v>0.01</v>
      </c>
      <c r="L206" t="inlineStr">
        <is>
          <t>nopat_margin__20230831,nopat_margin__20220831</t>
        </is>
      </c>
      <c r="M206" t="inlineStr">
        <is>
          <t>Change in NOPAT Margin = Current Margin - Prior Margin.|This is an arithmetic movement, not a causal explanation of pricing or costs.</t>
        </is>
      </c>
      <c r="O206" t="inlineStr">
        <is>
          <t>pending</t>
        </is>
      </c>
      <c r="P206" t="inlineStr">
        <is>
          <t>nopat_margin_change</t>
        </is>
      </c>
      <c r="Q206" t="n">
        <v>50</v>
      </c>
      <c r="R206" t="n">
        <v>2</v>
      </c>
      <c r="S206" t="inlineStr">
        <is>
          <t>2023-08-31</t>
        </is>
      </c>
    </row>
    <row r="207">
      <c r="A207" t="inlineStr">
        <is>
          <t>nopat_margin_change__20240831</t>
        </is>
      </c>
      <c r="B207" t="n">
        <v>206</v>
      </c>
      <c r="C207" t="inlineStr">
        <is>
          <t>Change in NOPAT Margin</t>
        </is>
      </c>
      <c r="D207" t="inlineStr">
        <is>
          <t>Current NOPAT Margin minus prior comparable NOPAT Margin.</t>
        </is>
      </c>
      <c r="E207" t="inlineStr">
        <is>
          <t>profitability_change.nopat_margin_change.2024-08-31</t>
        </is>
      </c>
      <c r="F207" t="inlineStr">
        <is>
          <t>profitability_change</t>
        </is>
      </c>
      <c r="G207" t="inlineStr">
        <is>
          <t>ALT DuPont</t>
        </is>
      </c>
      <c r="H207" t="inlineStr">
        <is>
          <t>E22</t>
        </is>
      </c>
      <c r="I207">
        <f>E6-D6</f>
        <v/>
      </c>
      <c r="J207" t="n">
        <v>0.01472988814682567</v>
      </c>
      <c r="K207" t="n">
        <v>0.01</v>
      </c>
      <c r="L207" t="inlineStr">
        <is>
          <t>nopat_margin__20240831,nopat_margin__20230831</t>
        </is>
      </c>
      <c r="M207" t="inlineStr">
        <is>
          <t>Change in NOPAT Margin = Current Margin - Prior Margin.|This is an arithmetic movement, not a causal explanation of pricing or costs.</t>
        </is>
      </c>
      <c r="O207" t="inlineStr">
        <is>
          <t>pending</t>
        </is>
      </c>
      <c r="P207" t="inlineStr">
        <is>
          <t>nopat_margin_change</t>
        </is>
      </c>
      <c r="Q207" t="n">
        <v>50</v>
      </c>
      <c r="R207" t="n">
        <v>3</v>
      </c>
      <c r="S207" t="inlineStr">
        <is>
          <t>2024-08-31</t>
        </is>
      </c>
    </row>
    <row r="208">
      <c r="A208" t="inlineStr">
        <is>
          <t>nopat_margin_change__20250831</t>
        </is>
      </c>
      <c r="B208" t="n">
        <v>207</v>
      </c>
      <c r="C208" t="inlineStr">
        <is>
          <t>Change in NOPAT Margin</t>
        </is>
      </c>
      <c r="D208" t="inlineStr">
        <is>
          <t>Current NOPAT Margin minus prior comparable NOPAT Margin.</t>
        </is>
      </c>
      <c r="E208" t="inlineStr">
        <is>
          <t>profitability_change.nopat_margin_change.2025-08-31</t>
        </is>
      </c>
      <c r="F208" t="inlineStr">
        <is>
          <t>profitability_change</t>
        </is>
      </c>
      <c r="G208" t="inlineStr">
        <is>
          <t>ALT DuPont</t>
        </is>
      </c>
      <c r="H208" t="inlineStr">
        <is>
          <t>F22</t>
        </is>
      </c>
      <c r="I208">
        <f>F6-E6</f>
        <v/>
      </c>
      <c r="J208" t="n">
        <v>0.002835150552569873</v>
      </c>
      <c r="K208" t="n">
        <v>0.01</v>
      </c>
      <c r="L208" t="inlineStr">
        <is>
          <t>nopat_margin__20250831,nopat_margin__20240831</t>
        </is>
      </c>
      <c r="M208" t="inlineStr">
        <is>
          <t>Change in NOPAT Margin = Current Margin - Prior Margin.|This is an arithmetic movement, not a causal explanation of pricing or costs.</t>
        </is>
      </c>
      <c r="O208" t="inlineStr">
        <is>
          <t>pending</t>
        </is>
      </c>
      <c r="P208" t="inlineStr">
        <is>
          <t>nopat_margin_change</t>
        </is>
      </c>
      <c r="Q208" t="n">
        <v>50</v>
      </c>
      <c r="R208" t="n">
        <v>4</v>
      </c>
      <c r="S208" t="inlineStr">
        <is>
          <t>2025-08-31</t>
        </is>
      </c>
    </row>
    <row r="209">
      <c r="A209" t="inlineStr">
        <is>
          <t>noa_turnover_change__20230831</t>
        </is>
      </c>
      <c r="B209" t="n">
        <v>208</v>
      </c>
      <c r="C209" t="inlineStr">
        <is>
          <t>Change in NOA Turnover</t>
        </is>
      </c>
      <c r="D209" t="inlineStr">
        <is>
          <t>Current NOA Turnover minus prior comparable NOA Turnover.</t>
        </is>
      </c>
      <c r="E209" t="inlineStr">
        <is>
          <t>profitability_change.noa_turnover_change.2023-08-31</t>
        </is>
      </c>
      <c r="F209" t="inlineStr">
        <is>
          <t>profitability_change</t>
        </is>
      </c>
      <c r="G209" t="inlineStr">
        <is>
          <t>ALT DuPont</t>
        </is>
      </c>
      <c r="H209" t="inlineStr">
        <is>
          <t>D23</t>
        </is>
      </c>
      <c r="I209">
        <f>D16-C16</f>
        <v/>
      </c>
      <c r="J209" t="n">
        <v>4.499072832725759</v>
      </c>
      <c r="K209" t="n">
        <v>0.01</v>
      </c>
      <c r="L209" t="inlineStr">
        <is>
          <t>noa_turnover__20230831,noa_turnover__20220831</t>
        </is>
      </c>
      <c r="M209" t="inlineStr">
        <is>
          <t>Change in NOA Turnover = Current Turnover - Prior Turnover.|A lower turnover is mechanically consistent with greater NOA intensity when the reciprocal is defined, but the business cause requires separate analysis.</t>
        </is>
      </c>
      <c r="O209" t="inlineStr">
        <is>
          <t>pending</t>
        </is>
      </c>
      <c r="P209" t="inlineStr">
        <is>
          <t>noa_turnover_change</t>
        </is>
      </c>
      <c r="Q209" t="n">
        <v>51</v>
      </c>
      <c r="R209" t="n">
        <v>2</v>
      </c>
      <c r="S209" t="inlineStr">
        <is>
          <t>2023-08-31</t>
        </is>
      </c>
    </row>
    <row r="210">
      <c r="A210" t="inlineStr">
        <is>
          <t>noa_turnover_change__20240831</t>
        </is>
      </c>
      <c r="B210" t="n">
        <v>209</v>
      </c>
      <c r="C210" t="inlineStr">
        <is>
          <t>Change in NOA Turnover</t>
        </is>
      </c>
      <c r="D210" t="inlineStr">
        <is>
          <t>Current NOA Turnover minus prior comparable NOA Turnover.</t>
        </is>
      </c>
      <c r="E210" t="inlineStr">
        <is>
          <t>profitability_change.noa_turnover_change.2024-08-31</t>
        </is>
      </c>
      <c r="F210" t="inlineStr">
        <is>
          <t>profitability_change</t>
        </is>
      </c>
      <c r="G210" t="inlineStr">
        <is>
          <t>ALT DuPont</t>
        </is>
      </c>
      <c r="H210" t="inlineStr">
        <is>
          <t>E23</t>
        </is>
      </c>
      <c r="I210">
        <f>E16-D16</f>
        <v/>
      </c>
      <c r="J210" t="n">
        <v>-0.9918448858422444</v>
      </c>
      <c r="K210" t="n">
        <v>0.01</v>
      </c>
      <c r="L210" t="inlineStr">
        <is>
          <t>noa_turnover__20240831,noa_turnover__20230831</t>
        </is>
      </c>
      <c r="M210" t="inlineStr">
        <is>
          <t>Change in NOA Turnover = Current Turnover - Prior Turnover.|A lower turnover is mechanically consistent with greater NOA intensity when the reciprocal is defined, but the business cause requires separate analysis.</t>
        </is>
      </c>
      <c r="O210" t="inlineStr">
        <is>
          <t>pending</t>
        </is>
      </c>
      <c r="P210" t="inlineStr">
        <is>
          <t>noa_turnover_change</t>
        </is>
      </c>
      <c r="Q210" t="n">
        <v>51</v>
      </c>
      <c r="R210" t="n">
        <v>3</v>
      </c>
      <c r="S210" t="inlineStr">
        <is>
          <t>2024-08-31</t>
        </is>
      </c>
    </row>
    <row r="211">
      <c r="A211" t="inlineStr">
        <is>
          <t>noa_turnover_change__20250831</t>
        </is>
      </c>
      <c r="B211" t="n">
        <v>210</v>
      </c>
      <c r="C211" t="inlineStr">
        <is>
          <t>Change in NOA Turnover</t>
        </is>
      </c>
      <c r="D211" t="inlineStr">
        <is>
          <t>Current NOA Turnover minus prior comparable NOA Turnover.</t>
        </is>
      </c>
      <c r="E211" t="inlineStr">
        <is>
          <t>profitability_change.noa_turnover_change.2025-08-31</t>
        </is>
      </c>
      <c r="F211" t="inlineStr">
        <is>
          <t>profitability_change</t>
        </is>
      </c>
      <c r="G211" t="inlineStr">
        <is>
          <t>ALT DuPont</t>
        </is>
      </c>
      <c r="H211" t="inlineStr">
        <is>
          <t>F23</t>
        </is>
      </c>
      <c r="I211">
        <f>F16-E16</f>
        <v/>
      </c>
      <c r="J211" t="n">
        <v>-3.292033098304705</v>
      </c>
      <c r="K211" t="n">
        <v>0.01</v>
      </c>
      <c r="L211" t="inlineStr">
        <is>
          <t>noa_turnover__20250831,noa_turnover__20240831</t>
        </is>
      </c>
      <c r="M211" t="inlineStr">
        <is>
          <t>Change in NOA Turnover = Current Turnover - Prior Turnover.|A lower turnover is mechanically consistent with greater NOA intensity when the reciprocal is defined, but the business cause requires separate analysis.</t>
        </is>
      </c>
      <c r="O211" t="inlineStr">
        <is>
          <t>pending</t>
        </is>
      </c>
      <c r="P211" t="inlineStr">
        <is>
          <t>noa_turnover_change</t>
        </is>
      </c>
      <c r="Q211" t="n">
        <v>51</v>
      </c>
      <c r="R211" t="n">
        <v>4</v>
      </c>
      <c r="S211" t="inlineStr">
        <is>
          <t>2025-08-31</t>
        </is>
      </c>
    </row>
    <row r="212">
      <c r="A212" t="inlineStr">
        <is>
          <t>rnoa_change__20230831</t>
        </is>
      </c>
      <c r="B212" t="n">
        <v>211</v>
      </c>
      <c r="C212" t="inlineStr">
        <is>
          <t>Direct Change in RNOA</t>
        </is>
      </c>
      <c r="D212" t="inlineStr">
        <is>
          <t>Current direct RNOA minus prior comparable direct RNOA.</t>
        </is>
      </c>
      <c r="E212" t="inlineStr">
        <is>
          <t>profitability_change.rnoa_change.2023-08-31</t>
        </is>
      </c>
      <c r="F212" t="inlineStr">
        <is>
          <t>profitability_change</t>
        </is>
      </c>
      <c r="G212" t="inlineStr">
        <is>
          <t>ALT DuPont</t>
        </is>
      </c>
      <c r="H212" t="inlineStr">
        <is>
          <t>D24</t>
        </is>
      </c>
      <c r="I212">
        <f>D7-C7</f>
        <v/>
      </c>
      <c r="J212" t="n">
        <v>0.5440496379396828</v>
      </c>
      <c r="K212" t="n">
        <v>0.01</v>
      </c>
      <c r="L212" t="inlineStr">
        <is>
          <t>rnoa__20230831,rnoa__20220831</t>
        </is>
      </c>
      <c r="M212" t="inlineStr">
        <is>
          <t>Direct Change in RNOA = Current RNOA - Prior RNOA.</t>
        </is>
      </c>
      <c r="O212" t="inlineStr">
        <is>
          <t>pending</t>
        </is>
      </c>
      <c r="P212" t="inlineStr">
        <is>
          <t>rnoa_change</t>
        </is>
      </c>
      <c r="Q212" t="n">
        <v>52</v>
      </c>
      <c r="R212" t="n">
        <v>2</v>
      </c>
      <c r="S212" t="inlineStr">
        <is>
          <t>2023-08-31</t>
        </is>
      </c>
    </row>
    <row r="213">
      <c r="A213" t="inlineStr">
        <is>
          <t>rnoa_change__20240831</t>
        </is>
      </c>
      <c r="B213" t="n">
        <v>212</v>
      </c>
      <c r="C213" t="inlineStr">
        <is>
          <t>Direct Change in RNOA</t>
        </is>
      </c>
      <c r="D213" t="inlineStr">
        <is>
          <t>Current direct RNOA minus prior comparable direct RNOA.</t>
        </is>
      </c>
      <c r="E213" t="inlineStr">
        <is>
          <t>profitability_change.rnoa_change.2024-08-31</t>
        </is>
      </c>
      <c r="F213" t="inlineStr">
        <is>
          <t>profitability_change</t>
        </is>
      </c>
      <c r="G213" t="inlineStr">
        <is>
          <t>ALT DuPont</t>
        </is>
      </c>
      <c r="H213" t="inlineStr">
        <is>
          <t>E24</t>
        </is>
      </c>
      <c r="I213">
        <f>E7-D7</f>
        <v/>
      </c>
      <c r="J213" t="n">
        <v>0.104209405792222</v>
      </c>
      <c r="K213" t="n">
        <v>0.01</v>
      </c>
      <c r="L213" t="inlineStr">
        <is>
          <t>rnoa__20240831,rnoa__20230831</t>
        </is>
      </c>
      <c r="M213" t="inlineStr">
        <is>
          <t>Direct Change in RNOA = Current RNOA - Prior RNOA.</t>
        </is>
      </c>
      <c r="O213" t="inlineStr">
        <is>
          <t>pending</t>
        </is>
      </c>
      <c r="P213" t="inlineStr">
        <is>
          <t>rnoa_change</t>
        </is>
      </c>
      <c r="Q213" t="n">
        <v>52</v>
      </c>
      <c r="R213" t="n">
        <v>3</v>
      </c>
      <c r="S213" t="inlineStr">
        <is>
          <t>2024-08-31</t>
        </is>
      </c>
    </row>
    <row r="214">
      <c r="A214" t="inlineStr">
        <is>
          <t>rnoa_change__20250831</t>
        </is>
      </c>
      <c r="B214" t="n">
        <v>213</v>
      </c>
      <c r="C214" t="inlineStr">
        <is>
          <t>Direct Change in RNOA</t>
        </is>
      </c>
      <c r="D214" t="inlineStr">
        <is>
          <t>Current direct RNOA minus prior comparable direct RNOA.</t>
        </is>
      </c>
      <c r="E214" t="inlineStr">
        <is>
          <t>profitability_change.rnoa_change.2025-08-31</t>
        </is>
      </c>
      <c r="F214" t="inlineStr">
        <is>
          <t>profitability_change</t>
        </is>
      </c>
      <c r="G214" t="inlineStr">
        <is>
          <t>ALT DuPont</t>
        </is>
      </c>
      <c r="H214" t="inlineStr">
        <is>
          <t>F24</t>
        </is>
      </c>
      <c r="I214">
        <f>F7-E7</f>
        <v/>
      </c>
      <c r="J214" t="n">
        <v>-0.3410225299156358</v>
      </c>
      <c r="K214" t="n">
        <v>0.01</v>
      </c>
      <c r="L214" t="inlineStr">
        <is>
          <t>rnoa__20250831,rnoa__20240831</t>
        </is>
      </c>
      <c r="M214" t="inlineStr">
        <is>
          <t>Direct Change in RNOA = Current RNOA - Prior RNOA.</t>
        </is>
      </c>
      <c r="O214" t="inlineStr">
        <is>
          <t>pending</t>
        </is>
      </c>
      <c r="P214" t="inlineStr">
        <is>
          <t>rnoa_change</t>
        </is>
      </c>
      <c r="Q214" t="n">
        <v>52</v>
      </c>
      <c r="R214" t="n">
        <v>4</v>
      </c>
      <c r="S214" t="inlineStr">
        <is>
          <t>2025-08-31</t>
        </is>
      </c>
    </row>
    <row r="215">
      <c r="A215" t="inlineStr">
        <is>
          <t>rnoa_margin_effect__20230831</t>
        </is>
      </c>
      <c r="B215" t="n">
        <v>214</v>
      </c>
      <c r="C215" t="inlineStr">
        <is>
          <t>Margin Effect on Change in RNOA</t>
        </is>
      </c>
      <c r="D215" t="inlineStr">
        <is>
          <t>Change in Margin multiplied by midpoint NOA Turnover.</t>
        </is>
      </c>
      <c r="E215" t="inlineStr">
        <is>
          <t>profitability_change.rnoa_margin_effect.2023-08-31</t>
        </is>
      </c>
      <c r="F215" t="inlineStr">
        <is>
          <t>profitability_change</t>
        </is>
      </c>
      <c r="G215" t="inlineStr">
        <is>
          <t>ALT DuPont</t>
        </is>
      </c>
      <c r="H215" t="inlineStr">
        <is>
          <t>D25</t>
        </is>
      </c>
      <c r="I215">
        <f>D22*((D16+C16)/2)</f>
        <v/>
      </c>
      <c r="J215" t="n">
        <v>0.1271550639846849</v>
      </c>
      <c r="K215" t="n">
        <v>0.01</v>
      </c>
      <c r="L215" t="inlineStr">
        <is>
          <t>nopat_margin_change__20230831,noa_turnover__20230831,noa_turnover__20220831</t>
        </is>
      </c>
      <c r="M215" t="inlineStr">
        <is>
          <t>Margin Effect = Change in Margin × average of current and prior NOA Turnover.|Midpoint weighting gives an exact order-neutral product-change attribution.</t>
        </is>
      </c>
      <c r="O215" t="inlineStr">
        <is>
          <t>pending</t>
        </is>
      </c>
      <c r="P215" t="inlineStr">
        <is>
          <t>rnoa_margin_effect</t>
        </is>
      </c>
      <c r="Q215" t="n">
        <v>53</v>
      </c>
      <c r="R215" t="n">
        <v>2</v>
      </c>
      <c r="S215" t="inlineStr">
        <is>
          <t>2023-08-31</t>
        </is>
      </c>
    </row>
    <row r="216">
      <c r="A216" t="inlineStr">
        <is>
          <t>rnoa_margin_effect__20240831</t>
        </is>
      </c>
      <c r="B216" t="n">
        <v>215</v>
      </c>
      <c r="C216" t="inlineStr">
        <is>
          <t>Margin Effect on Change in RNOA</t>
        </is>
      </c>
      <c r="D216" t="inlineStr">
        <is>
          <t>Change in Margin multiplied by midpoint NOA Turnover.</t>
        </is>
      </c>
      <c r="E216" t="inlineStr">
        <is>
          <t>profitability_change.rnoa_margin_effect.2024-08-31</t>
        </is>
      </c>
      <c r="F216" t="inlineStr">
        <is>
          <t>profitability_change</t>
        </is>
      </c>
      <c r="G216" t="inlineStr">
        <is>
          <t>ALT DuPont</t>
        </is>
      </c>
      <c r="H216" t="inlineStr">
        <is>
          <t>E25</t>
        </is>
      </c>
      <c r="I216">
        <f>E22*((E16+D16)/2)</f>
        <v/>
      </c>
      <c r="J216" t="n">
        <v>0.2085056712036691</v>
      </c>
      <c r="K216" t="n">
        <v>0.01</v>
      </c>
      <c r="L216" t="inlineStr">
        <is>
          <t>nopat_margin_change__20240831,noa_turnover__20240831,noa_turnover__20230831</t>
        </is>
      </c>
      <c r="M216" t="inlineStr">
        <is>
          <t>Margin Effect = Change in Margin × average of current and prior NOA Turnover.|Midpoint weighting gives an exact order-neutral product-change attribution.</t>
        </is>
      </c>
      <c r="O216" t="inlineStr">
        <is>
          <t>pending</t>
        </is>
      </c>
      <c r="P216" t="inlineStr">
        <is>
          <t>rnoa_margin_effect</t>
        </is>
      </c>
      <c r="Q216" t="n">
        <v>53</v>
      </c>
      <c r="R216" t="n">
        <v>3</v>
      </c>
      <c r="S216" t="inlineStr">
        <is>
          <t>2024-08-31</t>
        </is>
      </c>
    </row>
    <row r="217">
      <c r="A217" t="inlineStr">
        <is>
          <t>rnoa_margin_effect__20250831</t>
        </is>
      </c>
      <c r="B217" t="n">
        <v>216</v>
      </c>
      <c r="C217" t="inlineStr">
        <is>
          <t>Margin Effect on Change in RNOA</t>
        </is>
      </c>
      <c r="D217" t="inlineStr">
        <is>
          <t>Change in Margin multiplied by midpoint NOA Turnover.</t>
        </is>
      </c>
      <c r="E217" t="inlineStr">
        <is>
          <t>profitability_change.rnoa_margin_effect.2025-08-31</t>
        </is>
      </c>
      <c r="F217" t="inlineStr">
        <is>
          <t>profitability_change</t>
        </is>
      </c>
      <c r="G217" t="inlineStr">
        <is>
          <t>ALT DuPont</t>
        </is>
      </c>
      <c r="H217" t="inlineStr">
        <is>
          <t>F25</t>
        </is>
      </c>
      <c r="I217">
        <f>F22*((F16+E16)/2)</f>
        <v/>
      </c>
      <c r="J217" t="n">
        <v>0.03405962656976869</v>
      </c>
      <c r="K217" t="n">
        <v>0.01</v>
      </c>
      <c r="L217" t="inlineStr">
        <is>
          <t>nopat_margin_change__20250831,noa_turnover__20250831,noa_turnover__20240831</t>
        </is>
      </c>
      <c r="M217" t="inlineStr">
        <is>
          <t>Margin Effect = Change in Margin × average of current and prior NOA Turnover.|Midpoint weighting gives an exact order-neutral product-change attribution.</t>
        </is>
      </c>
      <c r="O217" t="inlineStr">
        <is>
          <t>pending</t>
        </is>
      </c>
      <c r="P217" t="inlineStr">
        <is>
          <t>rnoa_margin_effect</t>
        </is>
      </c>
      <c r="Q217" t="n">
        <v>53</v>
      </c>
      <c r="R217" t="n">
        <v>4</v>
      </c>
      <c r="S217" t="inlineStr">
        <is>
          <t>2025-08-31</t>
        </is>
      </c>
    </row>
    <row r="218">
      <c r="A218" t="inlineStr">
        <is>
          <t>rnoa_turnover_effect__20230831</t>
        </is>
      </c>
      <c r="B218" t="n">
        <v>217</v>
      </c>
      <c r="C218" t="inlineStr">
        <is>
          <t>Turnover Effect on Change in RNOA</t>
        </is>
      </c>
      <c r="D218" t="inlineStr">
        <is>
          <t>Change in NOA Turnover multiplied by midpoint NOPAT Margin.</t>
        </is>
      </c>
      <c r="E218" t="inlineStr">
        <is>
          <t>profitability_change.rnoa_turnover_effect.2023-08-31</t>
        </is>
      </c>
      <c r="F218" t="inlineStr">
        <is>
          <t>profitability_change</t>
        </is>
      </c>
      <c r="G218" t="inlineStr">
        <is>
          <t>ALT DuPont</t>
        </is>
      </c>
      <c r="H218" t="inlineStr">
        <is>
          <t>D26</t>
        </is>
      </c>
      <c r="I218">
        <f>D23*((D6+C6)/2)</f>
        <v/>
      </c>
      <c r="J218" t="n">
        <v>0.4168945739549979</v>
      </c>
      <c r="K218" t="n">
        <v>0.01</v>
      </c>
      <c r="L218" t="inlineStr">
        <is>
          <t>noa_turnover_change__20230831,nopat_margin__20230831,nopat_margin__20220831</t>
        </is>
      </c>
      <c r="M218" t="inlineStr">
        <is>
          <t>Turnover Effect = Change in NOA Turnover × average of current and prior NOPAT Margin.|Do not reinterpret this aggregate effect as a specific asset-management cause without further evidence.</t>
        </is>
      </c>
      <c r="O218" t="inlineStr">
        <is>
          <t>pending</t>
        </is>
      </c>
      <c r="P218" t="inlineStr">
        <is>
          <t>rnoa_turnover_effect</t>
        </is>
      </c>
      <c r="Q218" t="n">
        <v>54</v>
      </c>
      <c r="R218" t="n">
        <v>2</v>
      </c>
      <c r="S218" t="inlineStr">
        <is>
          <t>2023-08-31</t>
        </is>
      </c>
    </row>
    <row r="219">
      <c r="A219" t="inlineStr">
        <is>
          <t>rnoa_turnover_effect__20240831</t>
        </is>
      </c>
      <c r="B219" t="n">
        <v>218</v>
      </c>
      <c r="C219" t="inlineStr">
        <is>
          <t>Turnover Effect on Change in RNOA</t>
        </is>
      </c>
      <c r="D219" t="inlineStr">
        <is>
          <t>Change in NOA Turnover multiplied by midpoint NOPAT Margin.</t>
        </is>
      </c>
      <c r="E219" t="inlineStr">
        <is>
          <t>profitability_change.rnoa_turnover_effect.2024-08-31</t>
        </is>
      </c>
      <c r="F219" t="inlineStr">
        <is>
          <t>profitability_change</t>
        </is>
      </c>
      <c r="G219" t="inlineStr">
        <is>
          <t>ALT DuPont</t>
        </is>
      </c>
      <c r="H219" t="inlineStr">
        <is>
          <t>E26</t>
        </is>
      </c>
      <c r="I219">
        <f>E23*((E6+D6)/2)</f>
        <v/>
      </c>
      <c r="J219" t="n">
        <v>-0.1042962654114471</v>
      </c>
      <c r="K219" t="n">
        <v>0.01</v>
      </c>
      <c r="L219" t="inlineStr">
        <is>
          <t>noa_turnover_change__20240831,nopat_margin__20240831,nopat_margin__20230831</t>
        </is>
      </c>
      <c r="M219" t="inlineStr">
        <is>
          <t>Turnover Effect = Change in NOA Turnover × average of current and prior NOPAT Margin.|Do not reinterpret this aggregate effect as a specific asset-management cause without further evidence.</t>
        </is>
      </c>
      <c r="O219" t="inlineStr">
        <is>
          <t>pending</t>
        </is>
      </c>
      <c r="P219" t="inlineStr">
        <is>
          <t>rnoa_turnover_effect</t>
        </is>
      </c>
      <c r="Q219" t="n">
        <v>54</v>
      </c>
      <c r="R219" t="n">
        <v>3</v>
      </c>
      <c r="S219" t="inlineStr">
        <is>
          <t>2024-08-31</t>
        </is>
      </c>
    </row>
    <row r="220">
      <c r="A220" t="inlineStr">
        <is>
          <t>rnoa_turnover_effect__20250831</t>
        </is>
      </c>
      <c r="B220" t="n">
        <v>219</v>
      </c>
      <c r="C220" t="inlineStr">
        <is>
          <t>Turnover Effect on Change in RNOA</t>
        </is>
      </c>
      <c r="D220" t="inlineStr">
        <is>
          <t>Change in NOA Turnover multiplied by midpoint NOPAT Margin.</t>
        </is>
      </c>
      <c r="E220" t="inlineStr">
        <is>
          <t>profitability_change.rnoa_turnover_effect.2025-08-31</t>
        </is>
      </c>
      <c r="F220" t="inlineStr">
        <is>
          <t>profitability_change</t>
        </is>
      </c>
      <c r="G220" t="inlineStr">
        <is>
          <t>ALT DuPont</t>
        </is>
      </c>
      <c r="H220" t="inlineStr">
        <is>
          <t>F26</t>
        </is>
      </c>
      <c r="I220">
        <f>F23*((F6+E6)/2)</f>
        <v/>
      </c>
      <c r="J220" t="n">
        <v>-0.3750821564854044</v>
      </c>
      <c r="K220" t="n">
        <v>0.01</v>
      </c>
      <c r="L220" t="inlineStr">
        <is>
          <t>noa_turnover_change__20250831,nopat_margin__20250831,nopat_margin__20240831</t>
        </is>
      </c>
      <c r="M220" t="inlineStr">
        <is>
          <t>Turnover Effect = Change in NOA Turnover × average of current and prior NOPAT Margin.|Do not reinterpret this aggregate effect as a specific asset-management cause without further evidence.</t>
        </is>
      </c>
      <c r="O220" t="inlineStr">
        <is>
          <t>pending</t>
        </is>
      </c>
      <c r="P220" t="inlineStr">
        <is>
          <t>rnoa_turnover_effect</t>
        </is>
      </c>
      <c r="Q220" t="n">
        <v>54</v>
      </c>
      <c r="R220" t="n">
        <v>4</v>
      </c>
      <c r="S220" t="inlineStr">
        <is>
          <t>2025-08-31</t>
        </is>
      </c>
    </row>
    <row r="221">
      <c r="A221" t="inlineStr">
        <is>
          <t>rnoa_change_from_drivers__20230831</t>
        </is>
      </c>
      <c r="B221" t="n">
        <v>220</v>
      </c>
      <c r="C221" t="inlineStr">
        <is>
          <t>Change in RNOA from Margin + Turnover Effects</t>
        </is>
      </c>
      <c r="D221" t="inlineStr">
        <is>
          <t>Margin Effect plus Turnover Effect.</t>
        </is>
      </c>
      <c r="E221" t="inlineStr">
        <is>
          <t>profitability_change.rnoa_change_from_drivers.2023-08-31</t>
        </is>
      </c>
      <c r="F221" t="inlineStr">
        <is>
          <t>profitability_change</t>
        </is>
      </c>
      <c r="G221" t="inlineStr">
        <is>
          <t>ALT DuPont</t>
        </is>
      </c>
      <c r="H221" t="inlineStr">
        <is>
          <t>D27</t>
        </is>
      </c>
      <c r="I221">
        <f>D25+D26</f>
        <v/>
      </c>
      <c r="J221" t="n">
        <v>0.5440496379396828</v>
      </c>
      <c r="K221" t="n">
        <v>0.01</v>
      </c>
      <c r="L221" t="inlineStr">
        <is>
          <t>rnoa_margin_effect__20230831,rnoa_turnover_effect__20230831</t>
        </is>
      </c>
      <c r="M221" t="inlineStr">
        <is>
          <t>Driver Change in RNOA = Margin Effect + Turnover Effect.|When both driver periods are defined, this must reconcile to Direct Change in RNOA.</t>
        </is>
      </c>
      <c r="O221" t="inlineStr">
        <is>
          <t>pending</t>
        </is>
      </c>
      <c r="P221" t="inlineStr">
        <is>
          <t>rnoa_change_from_drivers</t>
        </is>
      </c>
      <c r="Q221" t="n">
        <v>55</v>
      </c>
      <c r="R221" t="n">
        <v>2</v>
      </c>
      <c r="S221" t="inlineStr">
        <is>
          <t>2023-08-31</t>
        </is>
      </c>
    </row>
    <row r="222">
      <c r="A222" t="inlineStr">
        <is>
          <t>rnoa_change_from_drivers__20240831</t>
        </is>
      </c>
      <c r="B222" t="n">
        <v>221</v>
      </c>
      <c r="C222" t="inlineStr">
        <is>
          <t>Change in RNOA from Margin + Turnover Effects</t>
        </is>
      </c>
      <c r="D222" t="inlineStr">
        <is>
          <t>Margin Effect plus Turnover Effect.</t>
        </is>
      </c>
      <c r="E222" t="inlineStr">
        <is>
          <t>profitability_change.rnoa_change_from_drivers.2024-08-31</t>
        </is>
      </c>
      <c r="F222" t="inlineStr">
        <is>
          <t>profitability_change</t>
        </is>
      </c>
      <c r="G222" t="inlineStr">
        <is>
          <t>ALT DuPont</t>
        </is>
      </c>
      <c r="H222" t="inlineStr">
        <is>
          <t>E27</t>
        </is>
      </c>
      <c r="I222">
        <f>E25+E26</f>
        <v/>
      </c>
      <c r="J222" t="n">
        <v>0.104209405792222</v>
      </c>
      <c r="K222" t="n">
        <v>0.01</v>
      </c>
      <c r="L222" t="inlineStr">
        <is>
          <t>rnoa_margin_effect__20240831,rnoa_turnover_effect__20240831</t>
        </is>
      </c>
      <c r="M222" t="inlineStr">
        <is>
          <t>Driver Change in RNOA = Margin Effect + Turnover Effect.|When both driver periods are defined, this must reconcile to Direct Change in RNOA.</t>
        </is>
      </c>
      <c r="O222" t="inlineStr">
        <is>
          <t>pending</t>
        </is>
      </c>
      <c r="P222" t="inlineStr">
        <is>
          <t>rnoa_change_from_drivers</t>
        </is>
      </c>
      <c r="Q222" t="n">
        <v>55</v>
      </c>
      <c r="R222" t="n">
        <v>3</v>
      </c>
      <c r="S222" t="inlineStr">
        <is>
          <t>2024-08-31</t>
        </is>
      </c>
    </row>
    <row r="223">
      <c r="A223" t="inlineStr">
        <is>
          <t>rnoa_change_from_drivers__20250831</t>
        </is>
      </c>
      <c r="B223" t="n">
        <v>222</v>
      </c>
      <c r="C223" t="inlineStr">
        <is>
          <t>Change in RNOA from Margin + Turnover Effects</t>
        </is>
      </c>
      <c r="D223" t="inlineStr">
        <is>
          <t>Margin Effect plus Turnover Effect.</t>
        </is>
      </c>
      <c r="E223" t="inlineStr">
        <is>
          <t>profitability_change.rnoa_change_from_drivers.2025-08-31</t>
        </is>
      </c>
      <c r="F223" t="inlineStr">
        <is>
          <t>profitability_change</t>
        </is>
      </c>
      <c r="G223" t="inlineStr">
        <is>
          <t>ALT DuPont</t>
        </is>
      </c>
      <c r="H223" t="inlineStr">
        <is>
          <t>F27</t>
        </is>
      </c>
      <c r="I223">
        <f>F25+F26</f>
        <v/>
      </c>
      <c r="J223" t="n">
        <v>-0.3410225299156358</v>
      </c>
      <c r="K223" t="n">
        <v>0.01</v>
      </c>
      <c r="L223" t="inlineStr">
        <is>
          <t>rnoa_margin_effect__20250831,rnoa_turnover_effect__20250831</t>
        </is>
      </c>
      <c r="M223" t="inlineStr">
        <is>
          <t>Driver Change in RNOA = Margin Effect + Turnover Effect.|When both driver periods are defined, this must reconcile to Direct Change in RNOA.</t>
        </is>
      </c>
      <c r="O223" t="inlineStr">
        <is>
          <t>pending</t>
        </is>
      </c>
      <c r="P223" t="inlineStr">
        <is>
          <t>rnoa_change_from_drivers</t>
        </is>
      </c>
      <c r="Q223" t="n">
        <v>55</v>
      </c>
      <c r="R223" t="n">
        <v>4</v>
      </c>
      <c r="S223" t="inlineStr">
        <is>
          <t>2025-08-31</t>
        </is>
      </c>
    </row>
    <row r="224">
      <c r="A224" t="inlineStr">
        <is>
          <t>financing_contribution_to_roe__20220831</t>
        </is>
      </c>
      <c r="B224" t="n">
        <v>223</v>
      </c>
      <c r="C224" t="inlineStr">
        <is>
          <t>Financing Contribution to ROE</t>
        </is>
      </c>
      <c r="D224" t="inlineStr">
        <is>
          <t>FLEV multiplied by Spread.</t>
        </is>
      </c>
      <c r="E224" t="inlineStr">
        <is>
          <t>roe_attribution.financing_contribution.2022-08-31</t>
        </is>
      </c>
      <c r="F224" t="inlineStr">
        <is>
          <t>roe_attribution</t>
        </is>
      </c>
      <c r="G224" t="inlineStr">
        <is>
          <t>ALT DuPont</t>
        </is>
      </c>
      <c r="H224" t="inlineStr">
        <is>
          <t>C31</t>
        </is>
      </c>
      <c r="I224">
        <f>C10*C9</f>
        <v/>
      </c>
      <c r="J224" t="n">
        <v>-0.6836488386678123</v>
      </c>
      <c r="K224" t="n">
        <v>0.01</v>
      </c>
      <c r="L224" t="inlineStr">
        <is>
          <t>flev__20220831,spread__20220831</t>
        </is>
      </c>
      <c r="M224" t="inlineStr">
        <is>
          <t>Financing Contribution to ROE = FLEV × Spread.|A positive contribution raises decomposed ROE above RNOA; a negative contribution lowers it.|Do not call the contribution good or bad without understanding leverage and financing economics.</t>
        </is>
      </c>
      <c r="O224" t="inlineStr">
        <is>
          <t>pending</t>
        </is>
      </c>
      <c r="P224" t="inlineStr">
        <is>
          <t>financing_contribution_to_roe</t>
        </is>
      </c>
      <c r="Q224" t="n">
        <v>56</v>
      </c>
      <c r="R224" t="n">
        <v>1</v>
      </c>
      <c r="S224" t="inlineStr">
        <is>
          <t>2022-08-31</t>
        </is>
      </c>
    </row>
    <row r="225">
      <c r="A225" t="inlineStr">
        <is>
          <t>financing_contribution_to_roe__20230831</t>
        </is>
      </c>
      <c r="B225" t="n">
        <v>224</v>
      </c>
      <c r="C225" t="inlineStr">
        <is>
          <t>Financing Contribution to ROE</t>
        </is>
      </c>
      <c r="D225" t="inlineStr">
        <is>
          <t>FLEV multiplied by Spread.</t>
        </is>
      </c>
      <c r="E225" t="inlineStr">
        <is>
          <t>roe_attribution.financing_contribution.2023-08-31</t>
        </is>
      </c>
      <c r="F225" t="inlineStr">
        <is>
          <t>roe_attribution</t>
        </is>
      </c>
      <c r="G225" t="inlineStr">
        <is>
          <t>ALT DuPont</t>
        </is>
      </c>
      <c r="H225" t="inlineStr">
        <is>
          <t>D31</t>
        </is>
      </c>
      <c r="I225">
        <f>D10*D9</f>
        <v/>
      </c>
      <c r="J225" t="n">
        <v>-1.252046238950249</v>
      </c>
      <c r="K225" t="n">
        <v>0.01</v>
      </c>
      <c r="L225" t="inlineStr">
        <is>
          <t>flev__20230831,spread__20230831</t>
        </is>
      </c>
      <c r="M225" t="inlineStr">
        <is>
          <t>Financing Contribution to ROE = FLEV × Spread.|A positive contribution raises decomposed ROE above RNOA; a negative contribution lowers it.|Do not call the contribution good or bad without understanding leverage and financing economics.</t>
        </is>
      </c>
      <c r="O225" t="inlineStr">
        <is>
          <t>pending</t>
        </is>
      </c>
      <c r="P225" t="inlineStr">
        <is>
          <t>financing_contribution_to_roe</t>
        </is>
      </c>
      <c r="Q225" t="n">
        <v>56</v>
      </c>
      <c r="R225" t="n">
        <v>2</v>
      </c>
      <c r="S225" t="inlineStr">
        <is>
          <t>2023-08-31</t>
        </is>
      </c>
    </row>
    <row r="226">
      <c r="A226" t="inlineStr">
        <is>
          <t>financing_contribution_to_roe__20240831</t>
        </is>
      </c>
      <c r="B226" t="n">
        <v>225</v>
      </c>
      <c r="C226" t="inlineStr">
        <is>
          <t>Financing Contribution to ROE</t>
        </is>
      </c>
      <c r="D226" t="inlineStr">
        <is>
          <t>FLEV multiplied by Spread.</t>
        </is>
      </c>
      <c r="E226" t="inlineStr">
        <is>
          <t>roe_attribution.financing_contribution.2024-08-31</t>
        </is>
      </c>
      <c r="F226" t="inlineStr">
        <is>
          <t>roe_attribution</t>
        </is>
      </c>
      <c r="G226" t="inlineStr">
        <is>
          <t>ALT DuPont</t>
        </is>
      </c>
      <c r="H226" t="inlineStr">
        <is>
          <t>E31</t>
        </is>
      </c>
      <c r="I226">
        <f>E10*E9</f>
        <v/>
      </c>
      <c r="J226" t="n">
        <v>-1.337215916490718</v>
      </c>
      <c r="K226" t="n">
        <v>0.01</v>
      </c>
      <c r="L226" t="inlineStr">
        <is>
          <t>flev__20240831,spread__20240831</t>
        </is>
      </c>
      <c r="M226" t="inlineStr">
        <is>
          <t>Financing Contribution to ROE = FLEV × Spread.|A positive contribution raises decomposed ROE above RNOA; a negative contribution lowers it.|Do not call the contribution good or bad without understanding leverage and financing economics.</t>
        </is>
      </c>
      <c r="O226" t="inlineStr">
        <is>
          <t>pending</t>
        </is>
      </c>
      <c r="P226" t="inlineStr">
        <is>
          <t>financing_contribution_to_roe</t>
        </is>
      </c>
      <c r="Q226" t="n">
        <v>56</v>
      </c>
      <c r="R226" t="n">
        <v>3</v>
      </c>
      <c r="S226" t="inlineStr">
        <is>
          <t>2024-08-31</t>
        </is>
      </c>
    </row>
    <row r="227">
      <c r="A227" t="inlineStr">
        <is>
          <t>financing_contribution_to_roe__20250831</t>
        </is>
      </c>
      <c r="B227" t="n">
        <v>226</v>
      </c>
      <c r="C227" t="inlineStr">
        <is>
          <t>Financing Contribution to ROE</t>
        </is>
      </c>
      <c r="D227" t="inlineStr">
        <is>
          <t>FLEV multiplied by Spread.</t>
        </is>
      </c>
      <c r="E227" t="inlineStr">
        <is>
          <t>roe_attribution.financing_contribution.2025-08-31</t>
        </is>
      </c>
      <c r="F227" t="inlineStr">
        <is>
          <t>roe_attribution</t>
        </is>
      </c>
      <c r="G227" t="inlineStr">
        <is>
          <t>ALT DuPont</t>
        </is>
      </c>
      <c r="H227" t="inlineStr">
        <is>
          <t>F31</t>
        </is>
      </c>
      <c r="I227">
        <f>F10*F9</f>
        <v/>
      </c>
      <c r="J227" t="n">
        <v>-0.9870035671333856</v>
      </c>
      <c r="K227" t="n">
        <v>0.01</v>
      </c>
      <c r="L227" t="inlineStr">
        <is>
          <t>flev__20250831,spread__20250831</t>
        </is>
      </c>
      <c r="M227" t="inlineStr">
        <is>
          <t>Financing Contribution to ROE = FLEV × Spread.|A positive contribution raises decomposed ROE above RNOA; a negative contribution lowers it.|Do not call the contribution good or bad without understanding leverage and financing economics.</t>
        </is>
      </c>
      <c r="O227" t="inlineStr">
        <is>
          <t>pending</t>
        </is>
      </c>
      <c r="P227" t="inlineStr">
        <is>
          <t>financing_contribution_to_roe</t>
        </is>
      </c>
      <c r="Q227" t="n">
        <v>56</v>
      </c>
      <c r="R227" t="n">
        <v>4</v>
      </c>
      <c r="S227" t="inlineStr">
        <is>
          <t>2025-08-31</t>
        </is>
      </c>
    </row>
    <row r="228">
      <c r="A228" t="inlineStr">
        <is>
          <t>roe_change__20230831</t>
        </is>
      </c>
      <c r="B228" t="n">
        <v>227</v>
      </c>
      <c r="C228" t="inlineStr">
        <is>
          <t>Direct Change in Decomposed ROE</t>
        </is>
      </c>
      <c r="D228" t="inlineStr">
        <is>
          <t>Current decomposed ROE minus prior decomposed ROE.</t>
        </is>
      </c>
      <c r="E228" t="inlineStr">
        <is>
          <t>roe_attribution.roe_change.2023-08-31</t>
        </is>
      </c>
      <c r="F228" t="inlineStr">
        <is>
          <t>roe_attribution</t>
        </is>
      </c>
      <c r="G228" t="inlineStr">
        <is>
          <t>ALT DuPont</t>
        </is>
      </c>
      <c r="H228" t="inlineStr">
        <is>
          <t>D35</t>
        </is>
      </c>
      <c r="I228">
        <f>D11-C11</f>
        <v/>
      </c>
      <c r="J228" t="n">
        <v>-0.02434776234275382</v>
      </c>
      <c r="K228" t="n">
        <v>0.01</v>
      </c>
      <c r="L228" t="inlineStr">
        <is>
          <t>roe_decomp__20230831,roe_decomp__20220831</t>
        </is>
      </c>
      <c r="M228" t="inlineStr">
        <is>
          <t>Direct Change in ROE = Current decomposed ROE - Prior decomposed ROE.</t>
        </is>
      </c>
      <c r="O228" t="inlineStr">
        <is>
          <t>pending</t>
        </is>
      </c>
      <c r="P228" t="inlineStr">
        <is>
          <t>roe_change</t>
        </is>
      </c>
      <c r="Q228" t="n">
        <v>57</v>
      </c>
      <c r="R228" t="n">
        <v>2</v>
      </c>
      <c r="S228" t="inlineStr">
        <is>
          <t>2023-08-31</t>
        </is>
      </c>
    </row>
    <row r="229">
      <c r="A229" t="inlineStr">
        <is>
          <t>roe_change__20240831</t>
        </is>
      </c>
      <c r="B229" t="n">
        <v>228</v>
      </c>
      <c r="C229" t="inlineStr">
        <is>
          <t>Direct Change in Decomposed ROE</t>
        </is>
      </c>
      <c r="D229" t="inlineStr">
        <is>
          <t>Current decomposed ROE minus prior decomposed ROE.</t>
        </is>
      </c>
      <c r="E229" t="inlineStr">
        <is>
          <t>roe_attribution.roe_change.2024-08-31</t>
        </is>
      </c>
      <c r="F229" t="inlineStr">
        <is>
          <t>roe_attribution</t>
        </is>
      </c>
      <c r="G229" t="inlineStr">
        <is>
          <t>ALT DuPont</t>
        </is>
      </c>
      <c r="H229" t="inlineStr">
        <is>
          <t>E35</t>
        </is>
      </c>
      <c r="I229">
        <f>E11-D11</f>
        <v/>
      </c>
      <c r="J229" t="n">
        <v>0.01903972825175249</v>
      </c>
      <c r="K229" t="n">
        <v>0.01</v>
      </c>
      <c r="L229" t="inlineStr">
        <is>
          <t>roe_decomp__20240831,roe_decomp__20230831</t>
        </is>
      </c>
      <c r="M229" t="inlineStr">
        <is>
          <t>Direct Change in ROE = Current decomposed ROE - Prior decomposed ROE.</t>
        </is>
      </c>
      <c r="O229" t="inlineStr">
        <is>
          <t>pending</t>
        </is>
      </c>
      <c r="P229" t="inlineStr">
        <is>
          <t>roe_change</t>
        </is>
      </c>
      <c r="Q229" t="n">
        <v>57</v>
      </c>
      <c r="R229" t="n">
        <v>3</v>
      </c>
      <c r="S229" t="inlineStr">
        <is>
          <t>2024-08-31</t>
        </is>
      </c>
    </row>
    <row r="230">
      <c r="A230" t="inlineStr">
        <is>
          <t>roe_change__20250831</t>
        </is>
      </c>
      <c r="B230" t="n">
        <v>229</v>
      </c>
      <c r="C230" t="inlineStr">
        <is>
          <t>Direct Change in Decomposed ROE</t>
        </is>
      </c>
      <c r="D230" t="inlineStr">
        <is>
          <t>Current decomposed ROE minus prior decomposed ROE.</t>
        </is>
      </c>
      <c r="E230" t="inlineStr">
        <is>
          <t>roe_attribution.roe_change.2025-08-31</t>
        </is>
      </c>
      <c r="F230" t="inlineStr">
        <is>
          <t>roe_attribution</t>
        </is>
      </c>
      <c r="G230" t="inlineStr">
        <is>
          <t>ALT DuPont</t>
        </is>
      </c>
      <c r="H230" t="inlineStr">
        <is>
          <t>F35</t>
        </is>
      </c>
      <c r="I230">
        <f>F11-E11</f>
        <v/>
      </c>
      <c r="J230" t="n">
        <v>0.009189819441697167</v>
      </c>
      <c r="K230" t="n">
        <v>0.01</v>
      </c>
      <c r="L230" t="inlineStr">
        <is>
          <t>roe_decomp__20250831,roe_decomp__20240831</t>
        </is>
      </c>
      <c r="M230" t="inlineStr">
        <is>
          <t>Direct Change in ROE = Current decomposed ROE - Prior decomposed ROE.</t>
        </is>
      </c>
      <c r="O230" t="inlineStr">
        <is>
          <t>pending</t>
        </is>
      </c>
      <c r="P230" t="inlineStr">
        <is>
          <t>roe_change</t>
        </is>
      </c>
      <c r="Q230" t="n">
        <v>57</v>
      </c>
      <c r="R230" t="n">
        <v>4</v>
      </c>
      <c r="S230" t="inlineStr">
        <is>
          <t>2025-08-31</t>
        </is>
      </c>
    </row>
    <row r="231">
      <c r="A231" t="inlineStr">
        <is>
          <t>operating_effect_on_roe_change__20230831</t>
        </is>
      </c>
      <c r="B231" t="n">
        <v>230</v>
      </c>
      <c r="C231" t="inlineStr">
        <is>
          <t>Operating Effect on Change in ROE</t>
        </is>
      </c>
      <c r="D231" t="inlineStr">
        <is>
          <t>The direct Change in RNOA from the prior diagnostic section.</t>
        </is>
      </c>
      <c r="E231" t="inlineStr">
        <is>
          <t>roe_attribution.operating_effect.2023-08-31</t>
        </is>
      </c>
      <c r="F231" t="inlineStr">
        <is>
          <t>roe_attribution</t>
        </is>
      </c>
      <c r="G231" t="inlineStr">
        <is>
          <t>ALT DuPont</t>
        </is>
      </c>
      <c r="H231" t="inlineStr">
        <is>
          <t>D36</t>
        </is>
      </c>
      <c r="I231">
        <f>D24</f>
        <v/>
      </c>
      <c r="J231" t="n">
        <v>0.5440496379396828</v>
      </c>
      <c r="K231" t="n">
        <v>0.01</v>
      </c>
      <c r="L231" t="inlineStr">
        <is>
          <t>rnoa_change__20230831</t>
        </is>
      </c>
      <c r="M231" t="inlineStr">
        <is>
          <t>Operating Effect on Change in ROE = Change in RNOA.|Use the existing direct RNOA-change result; do not reassign financing effects into the operating term.</t>
        </is>
      </c>
      <c r="O231" t="inlineStr">
        <is>
          <t>pending</t>
        </is>
      </c>
      <c r="P231" t="inlineStr">
        <is>
          <t>operating_effect_on_roe_change</t>
        </is>
      </c>
      <c r="Q231" t="n">
        <v>58</v>
      </c>
      <c r="R231" t="n">
        <v>2</v>
      </c>
      <c r="S231" t="inlineStr">
        <is>
          <t>2023-08-31</t>
        </is>
      </c>
    </row>
    <row r="232">
      <c r="A232" t="inlineStr">
        <is>
          <t>operating_effect_on_roe_change__20240831</t>
        </is>
      </c>
      <c r="B232" t="n">
        <v>231</v>
      </c>
      <c r="C232" t="inlineStr">
        <is>
          <t>Operating Effect on Change in ROE</t>
        </is>
      </c>
      <c r="D232" t="inlineStr">
        <is>
          <t>The direct Change in RNOA from the prior diagnostic section.</t>
        </is>
      </c>
      <c r="E232" t="inlineStr">
        <is>
          <t>roe_attribution.operating_effect.2024-08-31</t>
        </is>
      </c>
      <c r="F232" t="inlineStr">
        <is>
          <t>roe_attribution</t>
        </is>
      </c>
      <c r="G232" t="inlineStr">
        <is>
          <t>ALT DuPont</t>
        </is>
      </c>
      <c r="H232" t="inlineStr">
        <is>
          <t>E36</t>
        </is>
      </c>
      <c r="I232">
        <f>E24</f>
        <v/>
      </c>
      <c r="J232" t="n">
        <v>0.104209405792222</v>
      </c>
      <c r="K232" t="n">
        <v>0.01</v>
      </c>
      <c r="L232" t="inlineStr">
        <is>
          <t>rnoa_change__20240831</t>
        </is>
      </c>
      <c r="M232" t="inlineStr">
        <is>
          <t>Operating Effect on Change in ROE = Change in RNOA.|Use the existing direct RNOA-change result; do not reassign financing effects into the operating term.</t>
        </is>
      </c>
      <c r="O232" t="inlineStr">
        <is>
          <t>pending</t>
        </is>
      </c>
      <c r="P232" t="inlineStr">
        <is>
          <t>operating_effect_on_roe_change</t>
        </is>
      </c>
      <c r="Q232" t="n">
        <v>58</v>
      </c>
      <c r="R232" t="n">
        <v>3</v>
      </c>
      <c r="S232" t="inlineStr">
        <is>
          <t>2024-08-31</t>
        </is>
      </c>
    </row>
    <row r="233">
      <c r="A233" t="inlineStr">
        <is>
          <t>operating_effect_on_roe_change__20250831</t>
        </is>
      </c>
      <c r="B233" t="n">
        <v>232</v>
      </c>
      <c r="C233" t="inlineStr">
        <is>
          <t>Operating Effect on Change in ROE</t>
        </is>
      </c>
      <c r="D233" t="inlineStr">
        <is>
          <t>The direct Change in RNOA from the prior diagnostic section.</t>
        </is>
      </c>
      <c r="E233" t="inlineStr">
        <is>
          <t>roe_attribution.operating_effect.2025-08-31</t>
        </is>
      </c>
      <c r="F233" t="inlineStr">
        <is>
          <t>roe_attribution</t>
        </is>
      </c>
      <c r="G233" t="inlineStr">
        <is>
          <t>ALT DuPont</t>
        </is>
      </c>
      <c r="H233" t="inlineStr">
        <is>
          <t>F36</t>
        </is>
      </c>
      <c r="I233">
        <f>F24</f>
        <v/>
      </c>
      <c r="J233" t="n">
        <v>-0.3410225299156358</v>
      </c>
      <c r="K233" t="n">
        <v>0.01</v>
      </c>
      <c r="L233" t="inlineStr">
        <is>
          <t>rnoa_change__20250831</t>
        </is>
      </c>
      <c r="M233" t="inlineStr">
        <is>
          <t>Operating Effect on Change in ROE = Change in RNOA.|Use the existing direct RNOA-change result; do not reassign financing effects into the operating term.</t>
        </is>
      </c>
      <c r="O233" t="inlineStr">
        <is>
          <t>pending</t>
        </is>
      </c>
      <c r="P233" t="inlineStr">
        <is>
          <t>operating_effect_on_roe_change</t>
        </is>
      </c>
      <c r="Q233" t="n">
        <v>58</v>
      </c>
      <c r="R233" t="n">
        <v>4</v>
      </c>
      <c r="S233" t="inlineStr">
        <is>
          <t>2025-08-31</t>
        </is>
      </c>
    </row>
    <row r="234">
      <c r="A234" t="inlineStr">
        <is>
          <t>leverage_effect_on_roe_change__20230831</t>
        </is>
      </c>
      <c r="B234" t="n">
        <v>233</v>
      </c>
      <c r="C234" t="inlineStr">
        <is>
          <t>Leverage Effect on Change in ROE</t>
        </is>
      </c>
      <c r="D234" t="inlineStr">
        <is>
          <t>Change in FLEV multiplied by midpoint Spread.</t>
        </is>
      </c>
      <c r="E234" t="inlineStr">
        <is>
          <t>roe_attribution.leverage_effect.2023-08-31</t>
        </is>
      </c>
      <c r="F234" t="inlineStr">
        <is>
          <t>roe_attribution</t>
        </is>
      </c>
      <c r="G234" t="inlineStr">
        <is>
          <t>ALT DuPont</t>
        </is>
      </c>
      <c r="H234" t="inlineStr">
        <is>
          <t>D37</t>
        </is>
      </c>
      <c r="I234">
        <f>(D10-C10)*((D9+C9)/2)</f>
        <v/>
      </c>
      <c r="J234" t="n">
        <v>-0.06102603409569304</v>
      </c>
      <c r="K234" t="n">
        <v>0.01</v>
      </c>
      <c r="L234" t="inlineStr">
        <is>
          <t>flev__20230831,spread__20230831,flev__20220831,spread__20220831</t>
        </is>
      </c>
      <c r="M234" t="inlineStr">
        <is>
          <t>Leverage Effect = Change in FLEV × average of current and prior Spread.|Midpoint weighting gives an exact order-neutral attribution of the financing product change.</t>
        </is>
      </c>
      <c r="O234" t="inlineStr">
        <is>
          <t>pending</t>
        </is>
      </c>
      <c r="P234" t="inlineStr">
        <is>
          <t>leverage_effect_on_roe_change</t>
        </is>
      </c>
      <c r="Q234" t="n">
        <v>59</v>
      </c>
      <c r="R234" t="n">
        <v>2</v>
      </c>
      <c r="S234" t="inlineStr">
        <is>
          <t>2023-08-31</t>
        </is>
      </c>
    </row>
    <row r="235">
      <c r="A235" t="inlineStr">
        <is>
          <t>leverage_effect_on_roe_change__20240831</t>
        </is>
      </c>
      <c r="B235" t="n">
        <v>234</v>
      </c>
      <c r="C235" t="inlineStr">
        <is>
          <t>Leverage Effect on Change in ROE</t>
        </is>
      </c>
      <c r="D235" t="inlineStr">
        <is>
          <t>Change in FLEV multiplied by midpoint Spread.</t>
        </is>
      </c>
      <c r="E235" t="inlineStr">
        <is>
          <t>roe_attribution.leverage_effect.2024-08-31</t>
        </is>
      </c>
      <c r="F235" t="inlineStr">
        <is>
          <t>roe_attribution</t>
        </is>
      </c>
      <c r="G235" t="inlineStr">
        <is>
          <t>ALT DuPont</t>
        </is>
      </c>
      <c r="H235" t="inlineStr">
        <is>
          <t>E37</t>
        </is>
      </c>
      <c r="I235">
        <f>(E10-D10)*((E9+D9)/2)</f>
        <v/>
      </c>
      <c r="J235" t="n">
        <v>0.01027626927147557</v>
      </c>
      <c r="K235" t="n">
        <v>0.01</v>
      </c>
      <c r="L235" t="inlineStr">
        <is>
          <t>flev__20240831,spread__20240831,flev__20230831,spread__20230831</t>
        </is>
      </c>
      <c r="M235" t="inlineStr">
        <is>
          <t>Leverage Effect = Change in FLEV × average of current and prior Spread.|Midpoint weighting gives an exact order-neutral attribution of the financing product change.</t>
        </is>
      </c>
      <c r="O235" t="inlineStr">
        <is>
          <t>pending</t>
        </is>
      </c>
      <c r="P235" t="inlineStr">
        <is>
          <t>leverage_effect_on_roe_change</t>
        </is>
      </c>
      <c r="Q235" t="n">
        <v>59</v>
      </c>
      <c r="R235" t="n">
        <v>3</v>
      </c>
      <c r="S235" t="inlineStr">
        <is>
          <t>2024-08-31</t>
        </is>
      </c>
    </row>
    <row r="236">
      <c r="A236" t="inlineStr">
        <is>
          <t>leverage_effect_on_roe_change__20250831</t>
        </is>
      </c>
      <c r="B236" t="n">
        <v>235</v>
      </c>
      <c r="C236" t="inlineStr">
        <is>
          <t>Leverage Effect on Change in ROE</t>
        </is>
      </c>
      <c r="D236" t="inlineStr">
        <is>
          <t>Change in FLEV multiplied by midpoint Spread.</t>
        </is>
      </c>
      <c r="E236" t="inlineStr">
        <is>
          <t>roe_attribution.leverage_effect.2025-08-31</t>
        </is>
      </c>
      <c r="F236" t="inlineStr">
        <is>
          <t>roe_attribution</t>
        </is>
      </c>
      <c r="G236" t="inlineStr">
        <is>
          <t>ALT DuPont</t>
        </is>
      </c>
      <c r="H236" t="inlineStr">
        <is>
          <t>F37</t>
        </is>
      </c>
      <c r="I236">
        <f>(F10-E10)*((F9+E9)/2)</f>
        <v/>
      </c>
      <c r="J236" t="n">
        <v>0.04533583487398881</v>
      </c>
      <c r="K236" t="n">
        <v>0.01</v>
      </c>
      <c r="L236" t="inlineStr">
        <is>
          <t>flev__20250831,spread__20250831,flev__20240831,spread__20240831</t>
        </is>
      </c>
      <c r="M236" t="inlineStr">
        <is>
          <t>Leverage Effect = Change in FLEV × average of current and prior Spread.|Midpoint weighting gives an exact order-neutral attribution of the financing product change.</t>
        </is>
      </c>
      <c r="O236" t="inlineStr">
        <is>
          <t>pending</t>
        </is>
      </c>
      <c r="P236" t="inlineStr">
        <is>
          <t>leverage_effect_on_roe_change</t>
        </is>
      </c>
      <c r="Q236" t="n">
        <v>59</v>
      </c>
      <c r="R236" t="n">
        <v>4</v>
      </c>
      <c r="S236" t="inlineStr">
        <is>
          <t>2025-08-31</t>
        </is>
      </c>
    </row>
    <row r="237">
      <c r="A237" t="inlineStr">
        <is>
          <t>spread_effect_on_roe_change__20230831</t>
        </is>
      </c>
      <c r="B237" t="n">
        <v>236</v>
      </c>
      <c r="C237" t="inlineStr">
        <is>
          <t>Spread Effect on Change in ROE</t>
        </is>
      </c>
      <c r="D237" t="inlineStr">
        <is>
          <t>Change in Spread multiplied by midpoint FLEV.</t>
        </is>
      </c>
      <c r="E237" t="inlineStr">
        <is>
          <t>roe_attribution.spread_effect.2023-08-31</t>
        </is>
      </c>
      <c r="F237" t="inlineStr">
        <is>
          <t>roe_attribution</t>
        </is>
      </c>
      <c r="G237" t="inlineStr">
        <is>
          <t>ALT DuPont</t>
        </is>
      </c>
      <c r="H237" t="inlineStr">
        <is>
          <t>D38</t>
        </is>
      </c>
      <c r="I237">
        <f>(D9-C9)*((D10+C10)/2)</f>
        <v/>
      </c>
      <c r="J237" t="n">
        <v>-0.5073713661867434</v>
      </c>
      <c r="K237" t="n">
        <v>0.01</v>
      </c>
      <c r="L237" t="inlineStr">
        <is>
          <t>spread__20230831,flev__20230831,spread__20220831,flev__20220831</t>
        </is>
      </c>
      <c r="M237" t="inlineStr">
        <is>
          <t>Spread Effect = Change in Spread × average of current and prior FLEV.|Do not interpret Spread movement as a specific financing-policy cause without additional evidence.</t>
        </is>
      </c>
      <c r="O237" t="inlineStr">
        <is>
          <t>pending</t>
        </is>
      </c>
      <c r="P237" t="inlineStr">
        <is>
          <t>spread_effect_on_roe_change</t>
        </is>
      </c>
      <c r="Q237" t="n">
        <v>60</v>
      </c>
      <c r="R237" t="n">
        <v>2</v>
      </c>
      <c r="S237" t="inlineStr">
        <is>
          <t>2023-08-31</t>
        </is>
      </c>
    </row>
    <row r="238">
      <c r="A238" t="inlineStr">
        <is>
          <t>spread_effect_on_roe_change__20240831</t>
        </is>
      </c>
      <c r="B238" t="n">
        <v>237</v>
      </c>
      <c r="C238" t="inlineStr">
        <is>
          <t>Spread Effect on Change in ROE</t>
        </is>
      </c>
      <c r="D238" t="inlineStr">
        <is>
          <t>Change in Spread multiplied by midpoint FLEV.</t>
        </is>
      </c>
      <c r="E238" t="inlineStr">
        <is>
          <t>roe_attribution.spread_effect.2024-08-31</t>
        </is>
      </c>
      <c r="F238" t="inlineStr">
        <is>
          <t>roe_attribution</t>
        </is>
      </c>
      <c r="G238" t="inlineStr">
        <is>
          <t>ALT DuPont</t>
        </is>
      </c>
      <c r="H238" t="inlineStr">
        <is>
          <t>E38</t>
        </is>
      </c>
      <c r="I238">
        <f>(E9-D9)*((E10+D10)/2)</f>
        <v/>
      </c>
      <c r="J238" t="n">
        <v>-0.09544594681194522</v>
      </c>
      <c r="K238" t="n">
        <v>0.01</v>
      </c>
      <c r="L238" t="inlineStr">
        <is>
          <t>spread__20240831,flev__20240831,spread__20230831,flev__20230831</t>
        </is>
      </c>
      <c r="M238" t="inlineStr">
        <is>
          <t>Spread Effect = Change in Spread × average of current and prior FLEV.|Do not interpret Spread movement as a specific financing-policy cause without additional evidence.</t>
        </is>
      </c>
      <c r="O238" t="inlineStr">
        <is>
          <t>pending</t>
        </is>
      </c>
      <c r="P238" t="inlineStr">
        <is>
          <t>spread_effect_on_roe_change</t>
        </is>
      </c>
      <c r="Q238" t="n">
        <v>60</v>
      </c>
      <c r="R238" t="n">
        <v>3</v>
      </c>
      <c r="S238" t="inlineStr">
        <is>
          <t>2024-08-31</t>
        </is>
      </c>
    </row>
    <row r="239">
      <c r="A239" t="inlineStr">
        <is>
          <t>spread_effect_on_roe_change__20250831</t>
        </is>
      </c>
      <c r="B239" t="n">
        <v>238</v>
      </c>
      <c r="C239" t="inlineStr">
        <is>
          <t>Spread Effect on Change in ROE</t>
        </is>
      </c>
      <c r="D239" t="inlineStr">
        <is>
          <t>Change in Spread multiplied by midpoint FLEV.</t>
        </is>
      </c>
      <c r="E239" t="inlineStr">
        <is>
          <t>roe_attribution.spread_effect.2025-08-31</t>
        </is>
      </c>
      <c r="F239" t="inlineStr">
        <is>
          <t>roe_attribution</t>
        </is>
      </c>
      <c r="G239" t="inlineStr">
        <is>
          <t>ALT DuPont</t>
        </is>
      </c>
      <c r="H239" t="inlineStr">
        <is>
          <t>F38</t>
        </is>
      </c>
      <c r="I239">
        <f>(F9-E9)*((F10+E10)/2)</f>
        <v/>
      </c>
      <c r="J239" t="n">
        <v>0.3048765144833441</v>
      </c>
      <c r="K239" t="n">
        <v>0.01</v>
      </c>
      <c r="L239" t="inlineStr">
        <is>
          <t>spread__20250831,flev__20250831,spread__20240831,flev__20240831</t>
        </is>
      </c>
      <c r="M239" t="inlineStr">
        <is>
          <t>Spread Effect = Change in Spread × average of current and prior FLEV.|Do not interpret Spread movement as a specific financing-policy cause without additional evidence.</t>
        </is>
      </c>
      <c r="O239" t="inlineStr">
        <is>
          <t>pending</t>
        </is>
      </c>
      <c r="P239" t="inlineStr">
        <is>
          <t>spread_effect_on_roe_change</t>
        </is>
      </c>
      <c r="Q239" t="n">
        <v>60</v>
      </c>
      <c r="R239" t="n">
        <v>4</v>
      </c>
      <c r="S239" t="inlineStr">
        <is>
          <t>2025-08-31</t>
        </is>
      </c>
    </row>
    <row r="240">
      <c r="A240" t="inlineStr">
        <is>
          <t>financing_effect_on_roe_change__20230831</t>
        </is>
      </c>
      <c r="B240" t="n">
        <v>239</v>
      </c>
      <c r="C240" t="inlineStr">
        <is>
          <t>Financing Effect on Change in ROE</t>
        </is>
      </c>
      <c r="D240" t="inlineStr">
        <is>
          <t>Leverage Effect plus Spread Effect.</t>
        </is>
      </c>
      <c r="E240" t="inlineStr">
        <is>
          <t>roe_attribution.financing_effect.2023-08-31</t>
        </is>
      </c>
      <c r="F240" t="inlineStr">
        <is>
          <t>roe_attribution</t>
        </is>
      </c>
      <c r="G240" t="inlineStr">
        <is>
          <t>ALT DuPont</t>
        </is>
      </c>
      <c r="H240" t="inlineStr">
        <is>
          <t>D39</t>
        </is>
      </c>
      <c r="I240">
        <f>D37+D38</f>
        <v/>
      </c>
      <c r="J240" t="n">
        <v>-0.5683974002824365</v>
      </c>
      <c r="K240" t="n">
        <v>0.01</v>
      </c>
      <c r="L240" t="inlineStr">
        <is>
          <t>leverage_effect_on_roe_change__20230831,spread_effect_on_roe_change__20230831</t>
        </is>
      </c>
      <c r="M240" t="inlineStr">
        <is>
          <t>Financing Effect = Leverage Effect + Spread Effect.|This equals the change in FLEV × Spread when all required inputs are defined.</t>
        </is>
      </c>
      <c r="O240" t="inlineStr">
        <is>
          <t>pending</t>
        </is>
      </c>
      <c r="P240" t="inlineStr">
        <is>
          <t>financing_effect_on_roe_change</t>
        </is>
      </c>
      <c r="Q240" t="n">
        <v>61</v>
      </c>
      <c r="R240" t="n">
        <v>2</v>
      </c>
      <c r="S240" t="inlineStr">
        <is>
          <t>2023-08-31</t>
        </is>
      </c>
    </row>
    <row r="241">
      <c r="A241" t="inlineStr">
        <is>
          <t>financing_effect_on_roe_change__20240831</t>
        </is>
      </c>
      <c r="B241" t="n">
        <v>240</v>
      </c>
      <c r="C241" t="inlineStr">
        <is>
          <t>Financing Effect on Change in ROE</t>
        </is>
      </c>
      <c r="D241" t="inlineStr">
        <is>
          <t>Leverage Effect plus Spread Effect.</t>
        </is>
      </c>
      <c r="E241" t="inlineStr">
        <is>
          <t>roe_attribution.financing_effect.2024-08-31</t>
        </is>
      </c>
      <c r="F241" t="inlineStr">
        <is>
          <t>roe_attribution</t>
        </is>
      </c>
      <c r="G241" t="inlineStr">
        <is>
          <t>ALT DuPont</t>
        </is>
      </c>
      <c r="H241" t="inlineStr">
        <is>
          <t>E39</t>
        </is>
      </c>
      <c r="I241">
        <f>E37+E38</f>
        <v/>
      </c>
      <c r="J241" t="n">
        <v>-0.08516967754046965</v>
      </c>
      <c r="K241" t="n">
        <v>0.01</v>
      </c>
      <c r="L241" t="inlineStr">
        <is>
          <t>leverage_effect_on_roe_change__20240831,spread_effect_on_roe_change__20240831</t>
        </is>
      </c>
      <c r="M241" t="inlineStr">
        <is>
          <t>Financing Effect = Leverage Effect + Spread Effect.|This equals the change in FLEV × Spread when all required inputs are defined.</t>
        </is>
      </c>
      <c r="O241" t="inlineStr">
        <is>
          <t>pending</t>
        </is>
      </c>
      <c r="P241" t="inlineStr">
        <is>
          <t>financing_effect_on_roe_change</t>
        </is>
      </c>
      <c r="Q241" t="n">
        <v>61</v>
      </c>
      <c r="R241" t="n">
        <v>3</v>
      </c>
      <c r="S241" t="inlineStr">
        <is>
          <t>2024-08-31</t>
        </is>
      </c>
    </row>
    <row r="242">
      <c r="A242" t="inlineStr">
        <is>
          <t>financing_effect_on_roe_change__20250831</t>
        </is>
      </c>
      <c r="B242" t="n">
        <v>241</v>
      </c>
      <c r="C242" t="inlineStr">
        <is>
          <t>Financing Effect on Change in ROE</t>
        </is>
      </c>
      <c r="D242" t="inlineStr">
        <is>
          <t>Leverage Effect plus Spread Effect.</t>
        </is>
      </c>
      <c r="E242" t="inlineStr">
        <is>
          <t>roe_attribution.financing_effect.2025-08-31</t>
        </is>
      </c>
      <c r="F242" t="inlineStr">
        <is>
          <t>roe_attribution</t>
        </is>
      </c>
      <c r="G242" t="inlineStr">
        <is>
          <t>ALT DuPont</t>
        </is>
      </c>
      <c r="H242" t="inlineStr">
        <is>
          <t>F39</t>
        </is>
      </c>
      <c r="I242">
        <f>F37+F38</f>
        <v/>
      </c>
      <c r="J242" t="n">
        <v>0.3502123493573329</v>
      </c>
      <c r="K242" t="n">
        <v>0.01</v>
      </c>
      <c r="L242" t="inlineStr">
        <is>
          <t>leverage_effect_on_roe_change__20250831,spread_effect_on_roe_change__20250831</t>
        </is>
      </c>
      <c r="M242" t="inlineStr">
        <is>
          <t>Financing Effect = Leverage Effect + Spread Effect.|This equals the change in FLEV × Spread when all required inputs are defined.</t>
        </is>
      </c>
      <c r="O242" t="inlineStr">
        <is>
          <t>pending</t>
        </is>
      </c>
      <c r="P242" t="inlineStr">
        <is>
          <t>financing_effect_on_roe_change</t>
        </is>
      </c>
      <c r="Q242" t="n">
        <v>61</v>
      </c>
      <c r="R242" t="n">
        <v>4</v>
      </c>
      <c r="S242" t="inlineStr">
        <is>
          <t>2025-08-31</t>
        </is>
      </c>
    </row>
    <row r="243">
      <c r="A243" t="inlineStr">
        <is>
          <t>roe_change_from_drivers__20230831</t>
        </is>
      </c>
      <c r="B243" t="n">
        <v>242</v>
      </c>
      <c r="C243" t="inlineStr">
        <is>
          <t>Change in ROE from Operating + Financing Drivers</t>
        </is>
      </c>
      <c r="D243" t="inlineStr">
        <is>
          <t>Operating Effect plus Financing Effect.</t>
        </is>
      </c>
      <c r="E243" t="inlineStr">
        <is>
          <t>roe_attribution.roe_change_from_drivers.2023-08-31</t>
        </is>
      </c>
      <c r="F243" t="inlineStr">
        <is>
          <t>roe_attribution</t>
        </is>
      </c>
      <c r="G243" t="inlineStr">
        <is>
          <t>ALT DuPont</t>
        </is>
      </c>
      <c r="H243" t="inlineStr">
        <is>
          <t>D40</t>
        </is>
      </c>
      <c r="I243">
        <f>D36+D39</f>
        <v/>
      </c>
      <c r="J243" t="n">
        <v>-0.02434776234275371</v>
      </c>
      <c r="K243" t="n">
        <v>0.01</v>
      </c>
      <c r="L243" t="inlineStr">
        <is>
          <t>operating_effect_on_roe_change__20230831,financing_effect_on_roe_change__20230831</t>
        </is>
      </c>
      <c r="M243" t="inlineStr">
        <is>
          <t>Change in ROE from Drivers = Operating Effect + Financing Effect.|When all required terms are defined, this must reconcile to Direct Change in Decomposed ROE.</t>
        </is>
      </c>
      <c r="O243" t="inlineStr">
        <is>
          <t>pending</t>
        </is>
      </c>
      <c r="P243" t="inlineStr">
        <is>
          <t>roe_change_from_drivers</t>
        </is>
      </c>
      <c r="Q243" t="n">
        <v>62</v>
      </c>
      <c r="R243" t="n">
        <v>2</v>
      </c>
      <c r="S243" t="inlineStr">
        <is>
          <t>2023-08-31</t>
        </is>
      </c>
    </row>
    <row r="244">
      <c r="A244" t="inlineStr">
        <is>
          <t>roe_change_from_drivers__20240831</t>
        </is>
      </c>
      <c r="B244" t="n">
        <v>243</v>
      </c>
      <c r="C244" t="inlineStr">
        <is>
          <t>Change in ROE from Operating + Financing Drivers</t>
        </is>
      </c>
      <c r="D244" t="inlineStr">
        <is>
          <t>Operating Effect plus Financing Effect.</t>
        </is>
      </c>
      <c r="E244" t="inlineStr">
        <is>
          <t>roe_attribution.roe_change_from_drivers.2024-08-31</t>
        </is>
      </c>
      <c r="F244" t="inlineStr">
        <is>
          <t>roe_attribution</t>
        </is>
      </c>
      <c r="G244" t="inlineStr">
        <is>
          <t>ALT DuPont</t>
        </is>
      </c>
      <c r="H244" t="inlineStr">
        <is>
          <t>E40</t>
        </is>
      </c>
      <c r="I244">
        <f>E36+E39</f>
        <v/>
      </c>
      <c r="J244" t="n">
        <v>0.01903972825175239</v>
      </c>
      <c r="K244" t="n">
        <v>0.01</v>
      </c>
      <c r="L244" t="inlineStr">
        <is>
          <t>operating_effect_on_roe_change__20240831,financing_effect_on_roe_change__20240831</t>
        </is>
      </c>
      <c r="M244" t="inlineStr">
        <is>
          <t>Change in ROE from Drivers = Operating Effect + Financing Effect.|When all required terms are defined, this must reconcile to Direct Change in Decomposed ROE.</t>
        </is>
      </c>
      <c r="O244" t="inlineStr">
        <is>
          <t>pending</t>
        </is>
      </c>
      <c r="P244" t="inlineStr">
        <is>
          <t>roe_change_from_drivers</t>
        </is>
      </c>
      <c r="Q244" t="n">
        <v>62</v>
      </c>
      <c r="R244" t="n">
        <v>3</v>
      </c>
      <c r="S244" t="inlineStr">
        <is>
          <t>2024-08-31</t>
        </is>
      </c>
    </row>
    <row r="245">
      <c r="A245" t="inlineStr">
        <is>
          <t>roe_change_from_drivers__20250831</t>
        </is>
      </c>
      <c r="B245" t="n">
        <v>244</v>
      </c>
      <c r="C245" t="inlineStr">
        <is>
          <t>Change in ROE from Operating + Financing Drivers</t>
        </is>
      </c>
      <c r="D245" t="inlineStr">
        <is>
          <t>Operating Effect plus Financing Effect.</t>
        </is>
      </c>
      <c r="E245" t="inlineStr">
        <is>
          <t>roe_attribution.roe_change_from_drivers.2025-08-31</t>
        </is>
      </c>
      <c r="F245" t="inlineStr">
        <is>
          <t>roe_attribution</t>
        </is>
      </c>
      <c r="G245" t="inlineStr">
        <is>
          <t>ALT DuPont</t>
        </is>
      </c>
      <c r="H245" t="inlineStr">
        <is>
          <t>F40</t>
        </is>
      </c>
      <c r="I245">
        <f>F36+F39</f>
        <v/>
      </c>
      <c r="J245" t="n">
        <v>0.009189819441697167</v>
      </c>
      <c r="K245" t="n">
        <v>0.01</v>
      </c>
      <c r="L245" t="inlineStr">
        <is>
          <t>operating_effect_on_roe_change__20250831,financing_effect_on_roe_change__20250831</t>
        </is>
      </c>
      <c r="M245" t="inlineStr">
        <is>
          <t>Change in ROE from Drivers = Operating Effect + Financing Effect.|When all required terms are defined, this must reconcile to Direct Change in Decomposed ROE.</t>
        </is>
      </c>
      <c r="O245" t="inlineStr">
        <is>
          <t>pending</t>
        </is>
      </c>
      <c r="P245" t="inlineStr">
        <is>
          <t>roe_change_from_drivers</t>
        </is>
      </c>
      <c r="Q245" t="n">
        <v>62</v>
      </c>
      <c r="R245" t="n">
        <v>4</v>
      </c>
      <c r="S245" t="inlineStr">
        <is>
          <t>2025-08-31</t>
        </is>
      </c>
    </row>
    <row r="246">
      <c r="A246" t="inlineStr">
        <is>
          <t>operating_cash_flow_change__20220831</t>
        </is>
      </c>
      <c r="B246" t="n">
        <v>245</v>
      </c>
      <c r="C246" t="inlineStr">
        <is>
          <t>Change in Operating Cash Flow</t>
        </is>
      </c>
      <c r="D246" t="inlineStr">
        <is>
          <t>Current CFO minus prior CFO.</t>
        </is>
      </c>
      <c r="E246" t="inlineStr">
        <is>
          <t>quality_change.operating_cash_flow_change.2022-08-31</t>
        </is>
      </c>
      <c r="F246" t="inlineStr">
        <is>
          <t>earnings_quality_change</t>
        </is>
      </c>
      <c r="G246" t="inlineStr">
        <is>
          <t>Earnings Quality</t>
        </is>
      </c>
      <c r="H246" t="inlineStr">
        <is>
          <t>C15</t>
        </is>
      </c>
      <c r="I246">
        <f>C5-B5</f>
        <v/>
      </c>
      <c r="J246" t="n">
        <v>1849</v>
      </c>
      <c r="K246" t="n">
        <v>0.01</v>
      </c>
      <c r="L246" t="inlineStr">
        <is>
          <t>operating_cash_flow_link__20220831,operating_cash_flow_link__20210831</t>
        </is>
      </c>
      <c r="M246" t="inlineStr">
        <is>
          <t>Change in CFO = Current Operating Cash Flow - Prior Operating Cash Flow.|A positive or negative movement is mechanical evidence only; interpret it alongside profitability and business conditions.</t>
        </is>
      </c>
      <c r="O246" t="inlineStr">
        <is>
          <t>pending</t>
        </is>
      </c>
      <c r="P246" t="inlineStr">
        <is>
          <t>operating_cash_flow_change</t>
        </is>
      </c>
      <c r="Q246" t="n">
        <v>63</v>
      </c>
      <c r="R246" t="n">
        <v>1</v>
      </c>
      <c r="S246" t="inlineStr">
        <is>
          <t>2022-08-31</t>
        </is>
      </c>
    </row>
    <row r="247">
      <c r="A247" t="inlineStr">
        <is>
          <t>operating_cash_flow_change__20230831</t>
        </is>
      </c>
      <c r="B247" t="n">
        <v>246</v>
      </c>
      <c r="C247" t="inlineStr">
        <is>
          <t>Change in Operating Cash Flow</t>
        </is>
      </c>
      <c r="D247" t="inlineStr">
        <is>
          <t>Current CFO minus prior CFO.</t>
        </is>
      </c>
      <c r="E247" t="inlineStr">
        <is>
          <t>quality_change.operating_cash_flow_change.2023-08-31</t>
        </is>
      </c>
      <c r="F247" t="inlineStr">
        <is>
          <t>earnings_quality_change</t>
        </is>
      </c>
      <c r="G247" t="inlineStr">
        <is>
          <t>Earnings Quality</t>
        </is>
      </c>
      <c r="H247" t="inlineStr">
        <is>
          <t>D15</t>
        </is>
      </c>
      <c r="I247">
        <f>D5-C5</f>
        <v/>
      </c>
      <c r="J247" t="n">
        <v>32399</v>
      </c>
      <c r="K247" t="n">
        <v>0.01</v>
      </c>
      <c r="L247" t="inlineStr">
        <is>
          <t>operating_cash_flow_link__20230831,operating_cash_flow_link__20220831</t>
        </is>
      </c>
      <c r="M247" t="inlineStr">
        <is>
          <t>Change in CFO = Current Operating Cash Flow - Prior Operating Cash Flow.|A positive or negative movement is mechanical evidence only; interpret it alongside profitability and business conditions.</t>
        </is>
      </c>
      <c r="O247" t="inlineStr">
        <is>
          <t>pending</t>
        </is>
      </c>
      <c r="P247" t="inlineStr">
        <is>
          <t>operating_cash_flow_change</t>
        </is>
      </c>
      <c r="Q247" t="n">
        <v>63</v>
      </c>
      <c r="R247" t="n">
        <v>2</v>
      </c>
      <c r="S247" t="inlineStr">
        <is>
          <t>2023-08-31</t>
        </is>
      </c>
    </row>
    <row r="248">
      <c r="A248" t="inlineStr">
        <is>
          <t>operating_cash_flow_change__20240831</t>
        </is>
      </c>
      <c r="B248" t="n">
        <v>247</v>
      </c>
      <c r="C248" t="inlineStr">
        <is>
          <t>Change in Operating Cash Flow</t>
        </is>
      </c>
      <c r="D248" t="inlineStr">
        <is>
          <t>Current CFO minus prior CFO.</t>
        </is>
      </c>
      <c r="E248" t="inlineStr">
        <is>
          <t>quality_change.operating_cash_flow_change.2024-08-31</t>
        </is>
      </c>
      <c r="F248" t="inlineStr">
        <is>
          <t>earnings_quality_change</t>
        </is>
      </c>
      <c r="G248" t="inlineStr">
        <is>
          <t>Earnings Quality</t>
        </is>
      </c>
      <c r="H248" t="inlineStr">
        <is>
          <t>E15</t>
        </is>
      </c>
      <c r="I248">
        <f>E5-D5</f>
        <v/>
      </c>
      <c r="J248" t="n">
        <v>188305</v>
      </c>
      <c r="K248" t="n">
        <v>0.01</v>
      </c>
      <c r="L248" t="inlineStr">
        <is>
          <t>operating_cash_flow_link__20240831,operating_cash_flow_link__20230831</t>
        </is>
      </c>
      <c r="M248" t="inlineStr">
        <is>
          <t>Change in CFO = Current Operating Cash Flow - Prior Operating Cash Flow.|A positive or negative movement is mechanical evidence only; interpret it alongside profitability and business conditions.</t>
        </is>
      </c>
      <c r="O248" t="inlineStr">
        <is>
          <t>pending</t>
        </is>
      </c>
      <c r="P248" t="inlineStr">
        <is>
          <t>operating_cash_flow_change</t>
        </is>
      </c>
      <c r="Q248" t="n">
        <v>63</v>
      </c>
      <c r="R248" t="n">
        <v>3</v>
      </c>
      <c r="S248" t="inlineStr">
        <is>
          <t>2024-08-31</t>
        </is>
      </c>
    </row>
    <row r="249">
      <c r="A249" t="inlineStr">
        <is>
          <t>operating_cash_flow_change__20250831</t>
        </is>
      </c>
      <c r="B249" t="n">
        <v>248</v>
      </c>
      <c r="C249" t="inlineStr">
        <is>
          <t>Change in Operating Cash Flow</t>
        </is>
      </c>
      <c r="D249" t="inlineStr">
        <is>
          <t>Current CFO minus prior CFO.</t>
        </is>
      </c>
      <c r="E249" t="inlineStr">
        <is>
          <t>quality_change.operating_cash_flow_change.2025-08-31</t>
        </is>
      </c>
      <c r="F249" t="inlineStr">
        <is>
          <t>earnings_quality_change</t>
        </is>
      </c>
      <c r="G249" t="inlineStr">
        <is>
          <t>Earnings Quality</t>
        </is>
      </c>
      <c r="H249" t="inlineStr">
        <is>
          <t>F15</t>
        </is>
      </c>
      <c r="I249">
        <f>F5-E5</f>
        <v/>
      </c>
      <c r="J249" t="n">
        <v>-70903</v>
      </c>
      <c r="K249" t="n">
        <v>0.01</v>
      </c>
      <c r="L249" t="inlineStr">
        <is>
          <t>operating_cash_flow_link__20250831,operating_cash_flow_link__20240831</t>
        </is>
      </c>
      <c r="M249" t="inlineStr">
        <is>
          <t>Change in CFO = Current Operating Cash Flow - Prior Operating Cash Flow.|A positive or negative movement is mechanical evidence only; interpret it alongside profitability and business conditions.</t>
        </is>
      </c>
      <c r="O249" t="inlineStr">
        <is>
          <t>pending</t>
        </is>
      </c>
      <c r="P249" t="inlineStr">
        <is>
          <t>operating_cash_flow_change</t>
        </is>
      </c>
      <c r="Q249" t="n">
        <v>63</v>
      </c>
      <c r="R249" t="n">
        <v>4</v>
      </c>
      <c r="S249" t="inlineStr">
        <is>
          <t>2025-08-31</t>
        </is>
      </c>
    </row>
    <row r="250">
      <c r="A250" t="inlineStr">
        <is>
          <t>cash_conversion_ratio_change__20220831</t>
        </is>
      </c>
      <c r="B250" t="n">
        <v>249</v>
      </c>
      <c r="C250" t="inlineStr">
        <is>
          <t>Change in Cash Conversion Ratio</t>
        </is>
      </c>
      <c r="D250" t="inlineStr">
        <is>
          <t>Current cash conversion ratio minus prior ratio.</t>
        </is>
      </c>
      <c r="E250" t="inlineStr">
        <is>
          <t>quality_change.cash_conversion_ratio_change.2022-08-31</t>
        </is>
      </c>
      <c r="F250" t="inlineStr">
        <is>
          <t>earnings_quality_change</t>
        </is>
      </c>
      <c r="G250" t="inlineStr">
        <is>
          <t>Earnings Quality</t>
        </is>
      </c>
      <c r="H250" t="inlineStr">
        <is>
          <t>C16</t>
        </is>
      </c>
      <c r="I250">
        <f>C7-B7</f>
        <v/>
      </c>
      <c r="J250" t="n">
        <v>-0.9287363875986212</v>
      </c>
      <c r="K250" t="n">
        <v>0.01</v>
      </c>
      <c r="L250" t="inlineStr">
        <is>
          <t>cash_conversion_ratio__20220831,cash_conversion_ratio__20210831</t>
        </is>
      </c>
      <c r="M250" t="inlineStr">
        <is>
          <t>Change in Cash Conversion Ratio = Current CFO/Net Income ratio - Prior ratio.|If either period's ratio is undefined, the change is also undefined (#N/A).|Do not automatically label a higher ratio as better quality without investigating why it changed.</t>
        </is>
      </c>
      <c r="O250" t="inlineStr">
        <is>
          <t>pending</t>
        </is>
      </c>
      <c r="P250" t="inlineStr">
        <is>
          <t>cash_conversion_ratio_change</t>
        </is>
      </c>
      <c r="Q250" t="n">
        <v>64</v>
      </c>
      <c r="R250" t="n">
        <v>1</v>
      </c>
      <c r="S250" t="inlineStr">
        <is>
          <t>2022-08-31</t>
        </is>
      </c>
    </row>
    <row r="251">
      <c r="A251" t="inlineStr">
        <is>
          <t>cash_conversion_ratio_change__20230831</t>
        </is>
      </c>
      <c r="B251" t="n">
        <v>250</v>
      </c>
      <c r="C251" t="inlineStr">
        <is>
          <t>Change in Cash Conversion Ratio</t>
        </is>
      </c>
      <c r="D251" t="inlineStr">
        <is>
          <t>Current cash conversion ratio minus prior ratio.</t>
        </is>
      </c>
      <c r="E251" t="inlineStr">
        <is>
          <t>quality_change.cash_conversion_ratio_change.2023-08-31</t>
        </is>
      </c>
      <c r="F251" t="inlineStr">
        <is>
          <t>earnings_quality_change</t>
        </is>
      </c>
      <c r="G251" t="inlineStr">
        <is>
          <t>Earnings Quality</t>
        </is>
      </c>
      <c r="H251" t="inlineStr">
        <is>
          <t>D16</t>
        </is>
      </c>
      <c r="I251">
        <f>D7-C7</f>
        <v/>
      </c>
      <c r="J251" t="n">
        <v>-0.04323662826804031</v>
      </c>
      <c r="K251" t="n">
        <v>0.01</v>
      </c>
      <c r="L251" t="inlineStr">
        <is>
          <t>cash_conversion_ratio__20230831,cash_conversion_ratio__20220831</t>
        </is>
      </c>
      <c r="M251" t="inlineStr">
        <is>
          <t>Change in Cash Conversion Ratio = Current CFO/Net Income ratio - Prior ratio.|If either period's ratio is undefined, the change is also undefined (#N/A).|Do not automatically label a higher ratio as better quality without investigating why it changed.</t>
        </is>
      </c>
      <c r="O251" t="inlineStr">
        <is>
          <t>pending</t>
        </is>
      </c>
      <c r="P251" t="inlineStr">
        <is>
          <t>cash_conversion_ratio_change</t>
        </is>
      </c>
      <c r="Q251" t="n">
        <v>64</v>
      </c>
      <c r="R251" t="n">
        <v>2</v>
      </c>
      <c r="S251" t="inlineStr">
        <is>
          <t>2023-08-31</t>
        </is>
      </c>
    </row>
    <row r="252">
      <c r="A252" t="inlineStr">
        <is>
          <t>cash_conversion_ratio_change__20240831</t>
        </is>
      </c>
      <c r="B252" t="n">
        <v>251</v>
      </c>
      <c r="C252" t="inlineStr">
        <is>
          <t>Change in Cash Conversion Ratio</t>
        </is>
      </c>
      <c r="D252" t="inlineStr">
        <is>
          <t>Current cash conversion ratio minus prior ratio.</t>
        </is>
      </c>
      <c r="E252" t="inlineStr">
        <is>
          <t>quality_change.cash_conversion_ratio_change.2024-08-31</t>
        </is>
      </c>
      <c r="F252" t="inlineStr">
        <is>
          <t>earnings_quality_change</t>
        </is>
      </c>
      <c r="G252" t="inlineStr">
        <is>
          <t>Earnings Quality</t>
        </is>
      </c>
      <c r="H252" t="inlineStr">
        <is>
          <t>E16</t>
        </is>
      </c>
      <c r="I252">
        <f>E7-D7</f>
        <v/>
      </c>
      <c r="J252" t="n">
        <v>0.1855369350638514</v>
      </c>
      <c r="K252" t="n">
        <v>0.01</v>
      </c>
      <c r="L252" t="inlineStr">
        <is>
          <t>cash_conversion_ratio__20240831,cash_conversion_ratio__20230831</t>
        </is>
      </c>
      <c r="M252" t="inlineStr">
        <is>
          <t>Change in Cash Conversion Ratio = Current CFO/Net Income ratio - Prior ratio.|If either period's ratio is undefined, the change is also undefined (#N/A).|Do not automatically label a higher ratio as better quality without investigating why it changed.</t>
        </is>
      </c>
      <c r="O252" t="inlineStr">
        <is>
          <t>pending</t>
        </is>
      </c>
      <c r="P252" t="inlineStr">
        <is>
          <t>cash_conversion_ratio_change</t>
        </is>
      </c>
      <c r="Q252" t="n">
        <v>64</v>
      </c>
      <c r="R252" t="n">
        <v>3</v>
      </c>
      <c r="S252" t="inlineStr">
        <is>
          <t>2024-08-31</t>
        </is>
      </c>
    </row>
    <row r="253">
      <c r="A253" t="inlineStr">
        <is>
          <t>cash_conversion_ratio_change__20250831</t>
        </is>
      </c>
      <c r="B253" t="n">
        <v>252</v>
      </c>
      <c r="C253" t="inlineStr">
        <is>
          <t>Change in Cash Conversion Ratio</t>
        </is>
      </c>
      <c r="D253" t="inlineStr">
        <is>
          <t>Current cash conversion ratio minus prior ratio.</t>
        </is>
      </c>
      <c r="E253" t="inlineStr">
        <is>
          <t>quality_change.cash_conversion_ratio_change.2025-08-31</t>
        </is>
      </c>
      <c r="F253" t="inlineStr">
        <is>
          <t>earnings_quality_change</t>
        </is>
      </c>
      <c r="G253" t="inlineStr">
        <is>
          <t>Earnings Quality</t>
        </is>
      </c>
      <c r="H253" t="inlineStr">
        <is>
          <t>F16</t>
        </is>
      </c>
      <c r="I253">
        <f>F7-E7</f>
        <v/>
      </c>
      <c r="J253" t="n">
        <v>-0.390724617087334</v>
      </c>
      <c r="K253" t="n">
        <v>0.01</v>
      </c>
      <c r="L253" t="inlineStr">
        <is>
          <t>cash_conversion_ratio__20250831,cash_conversion_ratio__20240831</t>
        </is>
      </c>
      <c r="M253" t="inlineStr">
        <is>
          <t>Change in Cash Conversion Ratio = Current CFO/Net Income ratio - Prior ratio.|If either period's ratio is undefined, the change is also undefined (#N/A).|Do not automatically label a higher ratio as better quality without investigating why it changed.</t>
        </is>
      </c>
      <c r="O253" t="inlineStr">
        <is>
          <t>pending</t>
        </is>
      </c>
      <c r="P253" t="inlineStr">
        <is>
          <t>cash_conversion_ratio_change</t>
        </is>
      </c>
      <c r="Q253" t="n">
        <v>64</v>
      </c>
      <c r="R253" t="n">
        <v>4</v>
      </c>
      <c r="S253" t="inlineStr">
        <is>
          <t>2025-08-31</t>
        </is>
      </c>
    </row>
    <row r="254">
      <c r="A254" t="inlineStr">
        <is>
          <t>total_accruals_change__20220831</t>
        </is>
      </c>
      <c r="B254" t="n">
        <v>253</v>
      </c>
      <c r="C254" t="inlineStr">
        <is>
          <t>Change in Total Accruals</t>
        </is>
      </c>
      <c r="D254" t="inlineStr">
        <is>
          <t>Current Total Accruals minus prior Total Accruals.</t>
        </is>
      </c>
      <c r="E254" t="inlineStr">
        <is>
          <t>quality_change.total_accruals_change.2022-08-31</t>
        </is>
      </c>
      <c r="F254" t="inlineStr">
        <is>
          <t>earnings_quality_change</t>
        </is>
      </c>
      <c r="G254" t="inlineStr">
        <is>
          <t>Earnings Quality</t>
        </is>
      </c>
      <c r="H254" t="inlineStr">
        <is>
          <t>C17</t>
        </is>
      </c>
      <c r="I254">
        <f>C8-B8</f>
        <v/>
      </c>
      <c r="J254" t="n">
        <v>107217</v>
      </c>
      <c r="K254" t="n">
        <v>0.01</v>
      </c>
      <c r="L254" t="inlineStr">
        <is>
          <t>total_accruals__20220831,total_accruals__20210831</t>
        </is>
      </c>
      <c r="M254" t="inlineStr">
        <is>
          <t>Change in Total Accruals = Current (Net Income - CFO) - Prior (Net Income - CFO).|Retain the sign; do not convert accrual movements to absolute values.|The direction alone is not an automatic earnings-quality verdict.</t>
        </is>
      </c>
      <c r="O254" t="inlineStr">
        <is>
          <t>pending</t>
        </is>
      </c>
      <c r="P254" t="inlineStr">
        <is>
          <t>total_accruals_change</t>
        </is>
      </c>
      <c r="Q254" t="n">
        <v>65</v>
      </c>
      <c r="R254" t="n">
        <v>1</v>
      </c>
      <c r="S254" t="inlineStr">
        <is>
          <t>2022-08-31</t>
        </is>
      </c>
    </row>
    <row r="255">
      <c r="A255" t="inlineStr">
        <is>
          <t>total_accruals_change__20230831</t>
        </is>
      </c>
      <c r="B255" t="n">
        <v>254</v>
      </c>
      <c r="C255" t="inlineStr">
        <is>
          <t>Change in Total Accruals</t>
        </is>
      </c>
      <c r="D255" t="inlineStr">
        <is>
          <t>Current Total Accruals minus prior Total Accruals.</t>
        </is>
      </c>
      <c r="E255" t="inlineStr">
        <is>
          <t>quality_change.total_accruals_change.2023-08-31</t>
        </is>
      </c>
      <c r="F255" t="inlineStr">
        <is>
          <t>earnings_quality_change</t>
        </is>
      </c>
      <c r="G255" t="inlineStr">
        <is>
          <t>Earnings Quality</t>
        </is>
      </c>
      <c r="H255" t="inlineStr">
        <is>
          <t>D17</t>
        </is>
      </c>
      <c r="I255">
        <f>D8-C8</f>
        <v/>
      </c>
      <c r="J255" t="n">
        <v>-1978</v>
      </c>
      <c r="K255" t="n">
        <v>0.01</v>
      </c>
      <c r="L255" t="inlineStr">
        <is>
          <t>total_accruals__20230831,total_accruals__20220831</t>
        </is>
      </c>
      <c r="M255" t="inlineStr">
        <is>
          <t>Change in Total Accruals = Current (Net Income - CFO) - Prior (Net Income - CFO).|Retain the sign; do not convert accrual movements to absolute values.|The direction alone is not an automatic earnings-quality verdict.</t>
        </is>
      </c>
      <c r="O255" t="inlineStr">
        <is>
          <t>pending</t>
        </is>
      </c>
      <c r="P255" t="inlineStr">
        <is>
          <t>total_accruals_change</t>
        </is>
      </c>
      <c r="Q255" t="n">
        <v>65</v>
      </c>
      <c r="R255" t="n">
        <v>2</v>
      </c>
      <c r="S255" t="inlineStr">
        <is>
          <t>2023-08-31</t>
        </is>
      </c>
    </row>
    <row r="256">
      <c r="A256" t="inlineStr">
        <is>
          <t>total_accruals_change__20240831</t>
        </is>
      </c>
      <c r="B256" t="n">
        <v>255</v>
      </c>
      <c r="C256" t="inlineStr">
        <is>
          <t>Change in Total Accruals</t>
        </is>
      </c>
      <c r="D256" t="inlineStr">
        <is>
          <t>Current Total Accruals minus prior Total Accruals.</t>
        </is>
      </c>
      <c r="E256" t="inlineStr">
        <is>
          <t>quality_change.total_accruals_change.2024-08-31</t>
        </is>
      </c>
      <c r="F256" t="inlineStr">
        <is>
          <t>earnings_quality_change</t>
        </is>
      </c>
      <c r="G256" t="inlineStr">
        <is>
          <t>Earnings Quality</t>
        </is>
      </c>
      <c r="H256" t="inlineStr">
        <is>
          <t>E17</t>
        </is>
      </c>
      <c r="I256">
        <f>E8-D8</f>
        <v/>
      </c>
      <c r="J256" t="n">
        <v>-109871</v>
      </c>
      <c r="K256" t="n">
        <v>0.01</v>
      </c>
      <c r="L256" t="inlineStr">
        <is>
          <t>total_accruals__20240831,total_accruals__20230831</t>
        </is>
      </c>
      <c r="M256" t="inlineStr">
        <is>
          <t>Change in Total Accruals = Current (Net Income - CFO) - Prior (Net Income - CFO).|Retain the sign; do not convert accrual movements to absolute values.|The direction alone is not an automatic earnings-quality verdict.</t>
        </is>
      </c>
      <c r="O256" t="inlineStr">
        <is>
          <t>pending</t>
        </is>
      </c>
      <c r="P256" t="inlineStr">
        <is>
          <t>total_accruals_change</t>
        </is>
      </c>
      <c r="Q256" t="n">
        <v>65</v>
      </c>
      <c r="R256" t="n">
        <v>3</v>
      </c>
      <c r="S256" t="inlineStr">
        <is>
          <t>2024-08-31</t>
        </is>
      </c>
    </row>
    <row r="257">
      <c r="A257" t="inlineStr">
        <is>
          <t>total_accruals_change__20250831</t>
        </is>
      </c>
      <c r="B257" t="n">
        <v>256</v>
      </c>
      <c r="C257" t="inlineStr">
        <is>
          <t>Change in Total Accruals</t>
        </is>
      </c>
      <c r="D257" t="inlineStr">
        <is>
          <t>Current Total Accruals minus prior Total Accruals.</t>
        </is>
      </c>
      <c r="E257" t="inlineStr">
        <is>
          <t>quality_change.total_accruals_change.2025-08-31</t>
        </is>
      </c>
      <c r="F257" t="inlineStr">
        <is>
          <t>earnings_quality_change</t>
        </is>
      </c>
      <c r="G257" t="inlineStr">
        <is>
          <t>Earnings Quality</t>
        </is>
      </c>
      <c r="H257" t="inlineStr">
        <is>
          <t>F17</t>
        </is>
      </c>
      <c r="I257">
        <f>F8-E8</f>
        <v/>
      </c>
      <c r="J257" t="n">
        <v>136451</v>
      </c>
      <c r="K257" t="n">
        <v>0.01</v>
      </c>
      <c r="L257" t="inlineStr">
        <is>
          <t>total_accruals__20250831,total_accruals__20240831</t>
        </is>
      </c>
      <c r="M257" t="inlineStr">
        <is>
          <t>Change in Total Accruals = Current (Net Income - CFO) - Prior (Net Income - CFO).|Retain the sign; do not convert accrual movements to absolute values.|The direction alone is not an automatic earnings-quality verdict.</t>
        </is>
      </c>
      <c r="O257" t="inlineStr">
        <is>
          <t>pending</t>
        </is>
      </c>
      <c r="P257" t="inlineStr">
        <is>
          <t>total_accruals_change</t>
        </is>
      </c>
      <c r="Q257" t="n">
        <v>65</v>
      </c>
      <c r="R257" t="n">
        <v>4</v>
      </c>
      <c r="S257" t="inlineStr">
        <is>
          <t>2025-08-31</t>
        </is>
      </c>
    </row>
    <row r="258">
      <c r="A258" t="inlineStr">
        <is>
          <t>accrual_ratio_change__20230831</t>
        </is>
      </c>
      <c r="B258" t="n">
        <v>257</v>
      </c>
      <c r="C258" t="inlineStr">
        <is>
          <t>Change in Accrual Ratio</t>
        </is>
      </c>
      <c r="D258" t="inlineStr">
        <is>
          <t>Current accrual ratio minus prior comparable accrual ratio.</t>
        </is>
      </c>
      <c r="E258" t="inlineStr">
        <is>
          <t>quality_change.accrual_ratio_change.2023-08-31</t>
        </is>
      </c>
      <c r="F258" t="inlineStr">
        <is>
          <t>earnings_quality_change</t>
        </is>
      </c>
      <c r="G258" t="inlineStr">
        <is>
          <t>Earnings Quality</t>
        </is>
      </c>
      <c r="H258" t="inlineStr">
        <is>
          <t>D18</t>
        </is>
      </c>
      <c r="I258">
        <f>D12-C12</f>
        <v/>
      </c>
      <c r="J258" t="n">
        <v>0.005667559059580371</v>
      </c>
      <c r="K258" t="n">
        <v>0.01</v>
      </c>
      <c r="L258" t="inlineStr">
        <is>
          <t>accrual_ratio__20230831,accrual_ratio__20220831</t>
        </is>
      </c>
      <c r="M258" t="inlineStr">
        <is>
          <t>Change in Accrual Ratio = Current Accrual Ratio - Prior Accrual Ratio.|This family is available only when reported Total Assets support the existing accrual-ratio schedule.|Undefined current or prior ratios propagate to #N/A.</t>
        </is>
      </c>
      <c r="O258" t="inlineStr">
        <is>
          <t>pending</t>
        </is>
      </c>
      <c r="P258" t="inlineStr">
        <is>
          <t>accrual_ratio_change</t>
        </is>
      </c>
      <c r="Q258" t="n">
        <v>66</v>
      </c>
      <c r="R258" t="n">
        <v>2</v>
      </c>
      <c r="S258" t="inlineStr">
        <is>
          <t>2023-08-31</t>
        </is>
      </c>
    </row>
    <row r="259">
      <c r="A259" t="inlineStr">
        <is>
          <t>accrual_ratio_change__20240831</t>
        </is>
      </c>
      <c r="B259" t="n">
        <v>258</v>
      </c>
      <c r="C259" t="inlineStr">
        <is>
          <t>Change in Accrual Ratio</t>
        </is>
      </c>
      <c r="D259" t="inlineStr">
        <is>
          <t>Current accrual ratio minus prior comparable accrual ratio.</t>
        </is>
      </c>
      <c r="E259" t="inlineStr">
        <is>
          <t>quality_change.accrual_ratio_change.2024-08-31</t>
        </is>
      </c>
      <c r="F259" t="inlineStr">
        <is>
          <t>earnings_quality_change</t>
        </is>
      </c>
      <c r="G259" t="inlineStr">
        <is>
          <t>Earnings Quality</t>
        </is>
      </c>
      <c r="H259" t="inlineStr">
        <is>
          <t>E18</t>
        </is>
      </c>
      <c r="I259">
        <f>E12-D12</f>
        <v/>
      </c>
      <c r="J259" t="n">
        <v>-0.02921269900941814</v>
      </c>
      <c r="K259" t="n">
        <v>0.01</v>
      </c>
      <c r="L259" t="inlineStr">
        <is>
          <t>accrual_ratio__20240831,accrual_ratio__20230831</t>
        </is>
      </c>
      <c r="M259" t="inlineStr">
        <is>
          <t>Change in Accrual Ratio = Current Accrual Ratio - Prior Accrual Ratio.|This family is available only when reported Total Assets support the existing accrual-ratio schedule.|Undefined current or prior ratios propagate to #N/A.</t>
        </is>
      </c>
      <c r="O259" t="inlineStr">
        <is>
          <t>pending</t>
        </is>
      </c>
      <c r="P259" t="inlineStr">
        <is>
          <t>accrual_ratio_change</t>
        </is>
      </c>
      <c r="Q259" t="n">
        <v>66</v>
      </c>
      <c r="R259" t="n">
        <v>3</v>
      </c>
      <c r="S259" t="inlineStr">
        <is>
          <t>2024-08-31</t>
        </is>
      </c>
    </row>
    <row r="260">
      <c r="A260" t="inlineStr">
        <is>
          <t>accrual_ratio_change__20250831</t>
        </is>
      </c>
      <c r="B260" t="n">
        <v>259</v>
      </c>
      <c r="C260" t="inlineStr">
        <is>
          <t>Change in Accrual Ratio</t>
        </is>
      </c>
      <c r="D260" t="inlineStr">
        <is>
          <t>Current accrual ratio minus prior comparable accrual ratio.</t>
        </is>
      </c>
      <c r="E260" t="inlineStr">
        <is>
          <t>quality_change.accrual_ratio_change.2025-08-31</t>
        </is>
      </c>
      <c r="F260" t="inlineStr">
        <is>
          <t>earnings_quality_change</t>
        </is>
      </c>
      <c r="G260" t="inlineStr">
        <is>
          <t>Earnings Quality</t>
        </is>
      </c>
      <c r="H260" t="inlineStr">
        <is>
          <t>F18</t>
        </is>
      </c>
      <c r="I260">
        <f>F12-E12</f>
        <v/>
      </c>
      <c r="J260" t="n">
        <v>0.04223153668484377</v>
      </c>
      <c r="K260" t="n">
        <v>0.01</v>
      </c>
      <c r="L260" t="inlineStr">
        <is>
          <t>accrual_ratio__20250831,accrual_ratio__20240831</t>
        </is>
      </c>
      <c r="M260" t="inlineStr">
        <is>
          <t>Change in Accrual Ratio = Current Accrual Ratio - Prior Accrual Ratio.|This family is available only when reported Total Assets support the existing accrual-ratio schedule.|Undefined current or prior ratios propagate to #N/A.</t>
        </is>
      </c>
      <c r="O260" t="inlineStr">
        <is>
          <t>pending</t>
        </is>
      </c>
      <c r="P260" t="inlineStr">
        <is>
          <t>accrual_ratio_change</t>
        </is>
      </c>
      <c r="Q260" t="n">
        <v>66</v>
      </c>
      <c r="R260" t="n">
        <v>4</v>
      </c>
      <c r="S260" t="inlineStr">
        <is>
          <t>2025-08-31</t>
        </is>
      </c>
    </row>
    <row r="261">
      <c r="A261" t="inlineStr">
        <is>
          <t>reported_diluted_eps__20210831</t>
        </is>
      </c>
      <c r="B261" t="n">
        <v>260</v>
      </c>
      <c r="C261" t="inlineStr">
        <is>
          <t>Diluted EPS (Comparable Basis)</t>
        </is>
      </c>
      <c r="D261" t="inlineStr">
        <is>
          <t>Earnings numerator / diluted weighted-average shares on the supplied comparable share basis.</t>
        </is>
      </c>
      <c r="E261" t="inlineStr">
        <is>
          <t>per_share.reported_diluted_eps.2021-08-31</t>
        </is>
      </c>
      <c r="F261" t="inlineStr">
        <is>
          <t>per_share</t>
        </is>
      </c>
      <c r="G261" t="inlineStr">
        <is>
          <t>Per Share Analysis</t>
        </is>
      </c>
      <c r="H261" t="inlineStr">
        <is>
          <t>B9</t>
        </is>
      </c>
      <c r="I261">
        <f>IF(B7&lt;=0,NA(),B5/B7)</f>
        <v/>
      </c>
      <c r="J261" t="n">
        <v>553.47871098674</v>
      </c>
      <c r="K261" t="n">
        <v>0.01</v>
      </c>
      <c r="L261" t="inlineStr">
        <is>
          <t>net_income_link__20210831</t>
        </is>
      </c>
      <c r="M261" t="inlineStr">
        <is>
          <t>Diluted EPS = Per-Share Earnings Numerator / Diluted Weighted-Average Shares.|Share count is a supplied historical input and remains populated.|When the supplied basis is split-adjusted, this is an analytical comparable figure and may differ from the originally printed pre-split EPS.</t>
        </is>
      </c>
      <c r="O261" t="inlineStr">
        <is>
          <t>pending</t>
        </is>
      </c>
      <c r="P261" t="inlineStr">
        <is>
          <t>reported_diluted_eps</t>
        </is>
      </c>
      <c r="Q261" t="n">
        <v>67</v>
      </c>
      <c r="R261" t="n">
        <v>0</v>
      </c>
      <c r="S261" t="inlineStr">
        <is>
          <t>2021-08-31</t>
        </is>
      </c>
    </row>
    <row r="262">
      <c r="A262" t="inlineStr">
        <is>
          <t>reported_diluted_eps__20220831</t>
        </is>
      </c>
      <c r="B262" t="n">
        <v>261</v>
      </c>
      <c r="C262" t="inlineStr">
        <is>
          <t>Diluted EPS (Comparable Basis)</t>
        </is>
      </c>
      <c r="D262" t="inlineStr">
        <is>
          <t>Earnings numerator / diluted weighted-average shares on the supplied comparable share basis.</t>
        </is>
      </c>
      <c r="E262" t="inlineStr">
        <is>
          <t>per_share.reported_diluted_eps.2022-08-31</t>
        </is>
      </c>
      <c r="F262" t="inlineStr">
        <is>
          <t>per_share</t>
        </is>
      </c>
      <c r="G262" t="inlineStr">
        <is>
          <t>Per Share Analysis</t>
        </is>
      </c>
      <c r="H262" t="inlineStr">
        <is>
          <t>C9</t>
        </is>
      </c>
      <c r="I262">
        <f>IF(C7&lt;=0,NA(),C5/C7)</f>
        <v/>
      </c>
      <c r="J262" t="n">
        <v>890.4301228189275</v>
      </c>
      <c r="K262" t="n">
        <v>0.01</v>
      </c>
      <c r="L262" t="inlineStr">
        <is>
          <t>net_income_link__20220831</t>
        </is>
      </c>
      <c r="M262" t="inlineStr">
        <is>
          <t>Diluted EPS = Per-Share Earnings Numerator / Diluted Weighted-Average Shares.|Share count is a supplied historical input and remains populated.|When the supplied basis is split-adjusted, this is an analytical comparable figure and may differ from the originally printed pre-split EPS.</t>
        </is>
      </c>
      <c r="O262" t="inlineStr">
        <is>
          <t>pending</t>
        </is>
      </c>
      <c r="P262" t="inlineStr">
        <is>
          <t>reported_diluted_eps</t>
        </is>
      </c>
      <c r="Q262" t="n">
        <v>67</v>
      </c>
      <c r="R262" t="n">
        <v>1</v>
      </c>
      <c r="S262" t="inlineStr">
        <is>
          <t>2022-08-31</t>
        </is>
      </c>
    </row>
    <row r="263">
      <c r="A263" t="inlineStr">
        <is>
          <t>reported_diluted_eps__20230831</t>
        </is>
      </c>
      <c r="B263" t="n">
        <v>262</v>
      </c>
      <c r="C263" t="inlineStr">
        <is>
          <t>Diluted EPS (Comparable Basis)</t>
        </is>
      </c>
      <c r="D263" t="inlineStr">
        <is>
          <t>Earnings numerator / diluted weighted-average shares on the supplied comparable share basis.</t>
        </is>
      </c>
      <c r="E263" t="inlineStr">
        <is>
          <t>per_share.reported_diluted_eps.2023-08-31</t>
        </is>
      </c>
      <c r="F263" t="inlineStr">
        <is>
          <t>per_share</t>
        </is>
      </c>
      <c r="G263" t="inlineStr">
        <is>
          <t>Per Share Analysis</t>
        </is>
      </c>
      <c r="H263" t="inlineStr">
        <is>
          <t>D9</t>
        </is>
      </c>
      <c r="I263">
        <f>IF(D7&lt;=0,NA(),D5/D7)</f>
        <v/>
      </c>
      <c r="J263" t="n">
        <v>964.4790319115259</v>
      </c>
      <c r="K263" t="n">
        <v>0.01</v>
      </c>
      <c r="L263" t="inlineStr">
        <is>
          <t>net_income_link__20230831</t>
        </is>
      </c>
      <c r="M263" t="inlineStr">
        <is>
          <t>Diluted EPS = Per-Share Earnings Numerator / Diluted Weighted-Average Shares.|Share count is a supplied historical input and remains populated.|When the supplied basis is split-adjusted, this is an analytical comparable figure and may differ from the originally printed pre-split EPS.</t>
        </is>
      </c>
      <c r="O263" t="inlineStr">
        <is>
          <t>pending</t>
        </is>
      </c>
      <c r="P263" t="inlineStr">
        <is>
          <t>reported_diluted_eps</t>
        </is>
      </c>
      <c r="Q263" t="n">
        <v>67</v>
      </c>
      <c r="R263" t="n">
        <v>2</v>
      </c>
      <c r="S263" t="inlineStr">
        <is>
          <t>2023-08-31</t>
        </is>
      </c>
    </row>
    <row r="264">
      <c r="A264" t="inlineStr">
        <is>
          <t>reported_diluted_eps__20240831</t>
        </is>
      </c>
      <c r="B264" t="n">
        <v>263</v>
      </c>
      <c r="C264" t="inlineStr">
        <is>
          <t>Diluted EPS (Comparable Basis)</t>
        </is>
      </c>
      <c r="D264" t="inlineStr">
        <is>
          <t>Earnings numerator / diluted weighted-average shares on the supplied comparable share basis.</t>
        </is>
      </c>
      <c r="E264" t="inlineStr">
        <is>
          <t>per_share.reported_diluted_eps.2024-08-31</t>
        </is>
      </c>
      <c r="F264" t="inlineStr">
        <is>
          <t>per_share</t>
        </is>
      </c>
      <c r="G264" t="inlineStr">
        <is>
          <t>Per Share Analysis</t>
        </is>
      </c>
      <c r="H264" t="inlineStr">
        <is>
          <t>E9</t>
        </is>
      </c>
      <c r="I264">
        <f>IF(E7&lt;=0,NA(),E5/E7)</f>
        <v/>
      </c>
      <c r="J264" t="n">
        <v>1210.808891386778</v>
      </c>
      <c r="K264" t="n">
        <v>0.01</v>
      </c>
      <c r="L264" t="inlineStr">
        <is>
          <t>net_income_link__20240831</t>
        </is>
      </c>
      <c r="M264" t="inlineStr">
        <is>
          <t>Diluted EPS = Per-Share Earnings Numerator / Diluted Weighted-Average Shares.|Share count is a supplied historical input and remains populated.|When the supplied basis is split-adjusted, this is an analytical comparable figure and may differ from the originally printed pre-split EPS.</t>
        </is>
      </c>
      <c r="O264" t="inlineStr">
        <is>
          <t>pending</t>
        </is>
      </c>
      <c r="P264" t="inlineStr">
        <is>
          <t>reported_diluted_eps</t>
        </is>
      </c>
      <c r="Q264" t="n">
        <v>67</v>
      </c>
      <c r="R264" t="n">
        <v>3</v>
      </c>
      <c r="S264" t="inlineStr">
        <is>
          <t>2024-08-31</t>
        </is>
      </c>
    </row>
    <row r="265">
      <c r="A265" t="inlineStr">
        <is>
          <t>reported_diluted_eps__20250831</t>
        </is>
      </c>
      <c r="B265" t="n">
        <v>264</v>
      </c>
      <c r="C265" t="inlineStr">
        <is>
          <t>Diluted EPS (Comparable Basis)</t>
        </is>
      </c>
      <c r="D265" t="inlineStr">
        <is>
          <t>Earnings numerator / diluted weighted-average shares on the supplied comparable share basis.</t>
        </is>
      </c>
      <c r="E265" t="inlineStr">
        <is>
          <t>per_share.reported_diluted_eps.2025-08-31</t>
        </is>
      </c>
      <c r="F265" t="inlineStr">
        <is>
          <t>per_share</t>
        </is>
      </c>
      <c r="G265" t="inlineStr">
        <is>
          <t>Per Share Analysis</t>
        </is>
      </c>
      <c r="H265" t="inlineStr">
        <is>
          <t>F9</t>
        </is>
      </c>
      <c r="I265">
        <f>IF(F7&lt;=0,NA(),F5/F7)</f>
        <v/>
      </c>
      <c r="J265" t="n">
        <v>1409.315198880966</v>
      </c>
      <c r="K265" t="n">
        <v>0.01</v>
      </c>
      <c r="L265" t="inlineStr">
        <is>
          <t>net_income_link__20250831</t>
        </is>
      </c>
      <c r="M265" t="inlineStr">
        <is>
          <t>Diluted EPS = Per-Share Earnings Numerator / Diluted Weighted-Average Shares.|Share count is a supplied historical input and remains populated.|When the supplied basis is split-adjusted, this is an analytical comparable figure and may differ from the originally printed pre-split EPS.</t>
        </is>
      </c>
      <c r="O265" t="inlineStr">
        <is>
          <t>pending</t>
        </is>
      </c>
      <c r="P265" t="inlineStr">
        <is>
          <t>reported_diluted_eps</t>
        </is>
      </c>
      <c r="Q265" t="n">
        <v>67</v>
      </c>
      <c r="R265" t="n">
        <v>4</v>
      </c>
      <c r="S265" t="inlineStr">
        <is>
          <t>2025-08-31</t>
        </is>
      </c>
    </row>
    <row r="266">
      <c r="A266" t="inlineStr">
        <is>
          <t>nopat_per_diluted_share__20210831</t>
        </is>
      </c>
      <c r="B266" t="n">
        <v>265</v>
      </c>
      <c r="C266" t="inlineStr">
        <is>
          <t>NOPAT per Diluted Share</t>
        </is>
      </c>
      <c r="D266" t="inlineStr">
        <is>
          <t>Historical NOPAT divided by diluted weighted-average shares.</t>
        </is>
      </c>
      <c r="E266" t="inlineStr">
        <is>
          <t>per_share.nopat_per_diluted_share.2021-08-31</t>
        </is>
      </c>
      <c r="F266" t="inlineStr">
        <is>
          <t>per_share</t>
        </is>
      </c>
      <c r="G266" t="inlineStr">
        <is>
          <t>Per Share Analysis</t>
        </is>
      </c>
      <c r="H266" t="inlineStr">
        <is>
          <t>B10</t>
        </is>
      </c>
      <c r="I266">
        <f>IF(B7&lt;=0,NA(),B6/B7)</f>
        <v/>
      </c>
      <c r="J266" t="n">
        <v>525.7560513747478</v>
      </c>
      <c r="K266" t="n">
        <v>0.01</v>
      </c>
      <c r="L266" t="inlineStr">
        <is>
          <t>nopat_fy__20210831</t>
        </is>
      </c>
      <c r="M266" t="inlineStr">
        <is>
          <t>NOPAT per Diluted Share = NOPAT / Diluted Weighted-Average Shares.|If NOPAT is undefined, the per-share amount is also undefined (#N/A).</t>
        </is>
      </c>
      <c r="O266" t="inlineStr">
        <is>
          <t>pending</t>
        </is>
      </c>
      <c r="P266" t="inlineStr">
        <is>
          <t>nopat_per_diluted_share</t>
        </is>
      </c>
      <c r="Q266" t="n">
        <v>68</v>
      </c>
      <c r="R266" t="n">
        <v>0</v>
      </c>
      <c r="S266" t="inlineStr">
        <is>
          <t>2021-08-31</t>
        </is>
      </c>
    </row>
    <row r="267">
      <c r="A267" t="inlineStr">
        <is>
          <t>nopat_per_diluted_share__20220831</t>
        </is>
      </c>
      <c r="B267" t="n">
        <v>266</v>
      </c>
      <c r="C267" t="inlineStr">
        <is>
          <t>NOPAT per Diluted Share</t>
        </is>
      </c>
      <c r="D267" t="inlineStr">
        <is>
          <t>Historical NOPAT divided by diluted weighted-average shares.</t>
        </is>
      </c>
      <c r="E267" t="inlineStr">
        <is>
          <t>per_share.nopat_per_diluted_share.2022-08-31</t>
        </is>
      </c>
      <c r="F267" t="inlineStr">
        <is>
          <t>per_share</t>
        </is>
      </c>
      <c r="G267" t="inlineStr">
        <is>
          <t>Per Share Analysis</t>
        </is>
      </c>
      <c r="H267" t="inlineStr">
        <is>
          <t>C10</t>
        </is>
      </c>
      <c r="I267">
        <f>IF(C7&lt;=0,NA(),C6/C7)</f>
        <v/>
      </c>
      <c r="J267" t="n">
        <v>656.1905017445796</v>
      </c>
      <c r="K267" t="n">
        <v>0.01</v>
      </c>
      <c r="L267" t="inlineStr">
        <is>
          <t>nopat_fy__20220831</t>
        </is>
      </c>
      <c r="M267" t="inlineStr">
        <is>
          <t>NOPAT per Diluted Share = NOPAT / Diluted Weighted-Average Shares.|If NOPAT is undefined, the per-share amount is also undefined (#N/A).</t>
        </is>
      </c>
      <c r="O267" t="inlineStr">
        <is>
          <t>pending</t>
        </is>
      </c>
      <c r="P267" t="inlineStr">
        <is>
          <t>nopat_per_diluted_share</t>
        </is>
      </c>
      <c r="Q267" t="n">
        <v>68</v>
      </c>
      <c r="R267" t="n">
        <v>1</v>
      </c>
      <c r="S267" t="inlineStr">
        <is>
          <t>2022-08-31</t>
        </is>
      </c>
    </row>
    <row r="268">
      <c r="A268" t="inlineStr">
        <is>
          <t>nopat_per_diluted_share__20230831</t>
        </is>
      </c>
      <c r="B268" t="n">
        <v>267</v>
      </c>
      <c r="C268" t="inlineStr">
        <is>
          <t>NOPAT per Diluted Share</t>
        </is>
      </c>
      <c r="D268" t="inlineStr">
        <is>
          <t>Historical NOPAT divided by diluted weighted-average shares.</t>
        </is>
      </c>
      <c r="E268" t="inlineStr">
        <is>
          <t>per_share.nopat_per_diluted_share.2023-08-31</t>
        </is>
      </c>
      <c r="F268" t="inlineStr">
        <is>
          <t>per_share</t>
        </is>
      </c>
      <c r="G268" t="inlineStr">
        <is>
          <t>Per Share Analysis</t>
        </is>
      </c>
      <c r="H268" t="inlineStr">
        <is>
          <t>D10</t>
        </is>
      </c>
      <c r="I268">
        <f>IF(D7&lt;=0,NA(),D6/D7)</f>
        <v/>
      </c>
      <c r="J268" t="n">
        <v>880.834335449979</v>
      </c>
      <c r="K268" t="n">
        <v>0.01</v>
      </c>
      <c r="L268" t="inlineStr">
        <is>
          <t>nopat_fy__20230831</t>
        </is>
      </c>
      <c r="M268" t="inlineStr">
        <is>
          <t>NOPAT per Diluted Share = NOPAT / Diluted Weighted-Average Shares.|If NOPAT is undefined, the per-share amount is also undefined (#N/A).</t>
        </is>
      </c>
      <c r="O268" t="inlineStr">
        <is>
          <t>pending</t>
        </is>
      </c>
      <c r="P268" t="inlineStr">
        <is>
          <t>nopat_per_diluted_share</t>
        </is>
      </c>
      <c r="Q268" t="n">
        <v>68</v>
      </c>
      <c r="R268" t="n">
        <v>2</v>
      </c>
      <c r="S268" t="inlineStr">
        <is>
          <t>2023-08-31</t>
        </is>
      </c>
    </row>
    <row r="269">
      <c r="A269" t="inlineStr">
        <is>
          <t>nopat_per_diluted_share__20240831</t>
        </is>
      </c>
      <c r="B269" t="n">
        <v>268</v>
      </c>
      <c r="C269" t="inlineStr">
        <is>
          <t>NOPAT per Diluted Share</t>
        </is>
      </c>
      <c r="D269" t="inlineStr">
        <is>
          <t>Historical NOPAT divided by diluted weighted-average shares.</t>
        </is>
      </c>
      <c r="E269" t="inlineStr">
        <is>
          <t>per_share.nopat_per_diluted_share.2024-08-31</t>
        </is>
      </c>
      <c r="F269" t="inlineStr">
        <is>
          <t>per_share</t>
        </is>
      </c>
      <c r="G269" t="inlineStr">
        <is>
          <t>Per Share Analysis</t>
        </is>
      </c>
      <c r="H269" t="inlineStr">
        <is>
          <t>E10</t>
        </is>
      </c>
      <c r="I269">
        <f>IF(E7&lt;=0,NA(),E6/E7)</f>
        <v/>
      </c>
      <c r="J269" t="n">
        <v>1136.730458264543</v>
      </c>
      <c r="K269" t="n">
        <v>0.01</v>
      </c>
      <c r="L269" t="inlineStr">
        <is>
          <t>nopat_fy__20240831</t>
        </is>
      </c>
      <c r="M269" t="inlineStr">
        <is>
          <t>NOPAT per Diluted Share = NOPAT / Diluted Weighted-Average Shares.|If NOPAT is undefined, the per-share amount is also undefined (#N/A).</t>
        </is>
      </c>
      <c r="O269" t="inlineStr">
        <is>
          <t>pending</t>
        </is>
      </c>
      <c r="P269" t="inlineStr">
        <is>
          <t>nopat_per_diluted_share</t>
        </is>
      </c>
      <c r="Q269" t="n">
        <v>68</v>
      </c>
      <c r="R269" t="n">
        <v>3</v>
      </c>
      <c r="S269" t="inlineStr">
        <is>
          <t>2024-08-31</t>
        </is>
      </c>
    </row>
    <row r="270">
      <c r="A270" t="inlineStr">
        <is>
          <t>nopat_per_diluted_share__20250831</t>
        </is>
      </c>
      <c r="B270" t="n">
        <v>269</v>
      </c>
      <c r="C270" t="inlineStr">
        <is>
          <t>NOPAT per Diluted Share</t>
        </is>
      </c>
      <c r="D270" t="inlineStr">
        <is>
          <t>Historical NOPAT divided by diluted weighted-average shares.</t>
        </is>
      </c>
      <c r="E270" t="inlineStr">
        <is>
          <t>per_share.nopat_per_diluted_share.2025-08-31</t>
        </is>
      </c>
      <c r="F270" t="inlineStr">
        <is>
          <t>per_share</t>
        </is>
      </c>
      <c r="G270" t="inlineStr">
        <is>
          <t>Per Share Analysis</t>
        </is>
      </c>
      <c r="H270" t="inlineStr">
        <is>
          <t>F10</t>
        </is>
      </c>
      <c r="I270">
        <f>IF(F7&lt;=0,NA(),F6/F7)</f>
        <v/>
      </c>
      <c r="J270" t="n">
        <v>1276.707059207252</v>
      </c>
      <c r="K270" t="n">
        <v>0.01</v>
      </c>
      <c r="L270" t="inlineStr">
        <is>
          <t>nopat_fy__20250831</t>
        </is>
      </c>
      <c r="M270" t="inlineStr">
        <is>
          <t>NOPAT per Diluted Share = NOPAT / Diluted Weighted-Average Shares.|If NOPAT is undefined, the per-share amount is also undefined (#N/A).</t>
        </is>
      </c>
      <c r="O270" t="inlineStr">
        <is>
          <t>pending</t>
        </is>
      </c>
      <c r="P270" t="inlineStr">
        <is>
          <t>nopat_per_diluted_share</t>
        </is>
      </c>
      <c r="Q270" t="n">
        <v>68</v>
      </c>
      <c r="R270" t="n">
        <v>4</v>
      </c>
      <c r="S270" t="inlineStr">
        <is>
          <t>2025-08-31</t>
        </is>
      </c>
    </row>
    <row r="271">
      <c r="A271" t="inlineStr">
        <is>
          <t>diluted_eps_change__20220831</t>
        </is>
      </c>
      <c r="B271" t="n">
        <v>270</v>
      </c>
      <c r="C271" t="inlineStr">
        <is>
          <t>Change in Diluted EPS</t>
        </is>
      </c>
      <c r="D271" t="inlineStr">
        <is>
          <t>Current comparable-basis Diluted EPS minus prior EPS.</t>
        </is>
      </c>
      <c r="E271" t="inlineStr">
        <is>
          <t>per_share.diluted_eps_change.2022-08-31</t>
        </is>
      </c>
      <c r="F271" t="inlineStr">
        <is>
          <t>per_share</t>
        </is>
      </c>
      <c r="G271" t="inlineStr">
        <is>
          <t>Per Share Analysis</t>
        </is>
      </c>
      <c r="H271" t="inlineStr">
        <is>
          <t>C12</t>
        </is>
      </c>
      <c r="I271">
        <f>C9-B9</f>
        <v/>
      </c>
      <c r="J271" t="n">
        <v>336.9514118321875</v>
      </c>
      <c r="K271" t="n">
        <v>0.01</v>
      </c>
      <c r="L271" t="inlineStr">
        <is>
          <t>reported_diluted_eps__20220831,reported_diluted_eps__20210831</t>
        </is>
      </c>
      <c r="M271" t="inlineStr">
        <is>
          <t>Change in Diluted EPS = Current EPS - Prior EPS.|Use an absolute per-share change here rather than a growth rate that can become misleading around zero or negative EPS.</t>
        </is>
      </c>
      <c r="O271" t="inlineStr">
        <is>
          <t>pending</t>
        </is>
      </c>
      <c r="P271" t="inlineStr">
        <is>
          <t>diluted_eps_change</t>
        </is>
      </c>
      <c r="Q271" t="n">
        <v>69</v>
      </c>
      <c r="R271" t="n">
        <v>1</v>
      </c>
      <c r="S271" t="inlineStr">
        <is>
          <t>2022-08-31</t>
        </is>
      </c>
    </row>
    <row r="272">
      <c r="A272" t="inlineStr">
        <is>
          <t>diluted_eps_change__20230831</t>
        </is>
      </c>
      <c r="B272" t="n">
        <v>271</v>
      </c>
      <c r="C272" t="inlineStr">
        <is>
          <t>Change in Diluted EPS</t>
        </is>
      </c>
      <c r="D272" t="inlineStr">
        <is>
          <t>Current comparable-basis Diluted EPS minus prior EPS.</t>
        </is>
      </c>
      <c r="E272" t="inlineStr">
        <is>
          <t>per_share.diluted_eps_change.2023-08-31</t>
        </is>
      </c>
      <c r="F272" t="inlineStr">
        <is>
          <t>per_share</t>
        </is>
      </c>
      <c r="G272" t="inlineStr">
        <is>
          <t>Per Share Analysis</t>
        </is>
      </c>
      <c r="H272" t="inlineStr">
        <is>
          <t>D12</t>
        </is>
      </c>
      <c r="I272">
        <f>D9-C9</f>
        <v/>
      </c>
      <c r="J272" t="n">
        <v>74.04890909259836</v>
      </c>
      <c r="K272" t="n">
        <v>0.01</v>
      </c>
      <c r="L272" t="inlineStr">
        <is>
          <t>reported_diluted_eps__20230831,reported_diluted_eps__20220831</t>
        </is>
      </c>
      <c r="M272" t="inlineStr">
        <is>
          <t>Change in Diluted EPS = Current EPS - Prior EPS.|Use an absolute per-share change here rather than a growth rate that can become misleading around zero or negative EPS.</t>
        </is>
      </c>
      <c r="O272" t="inlineStr">
        <is>
          <t>pending</t>
        </is>
      </c>
      <c r="P272" t="inlineStr">
        <is>
          <t>diluted_eps_change</t>
        </is>
      </c>
      <c r="Q272" t="n">
        <v>69</v>
      </c>
      <c r="R272" t="n">
        <v>2</v>
      </c>
      <c r="S272" t="inlineStr">
        <is>
          <t>2023-08-31</t>
        </is>
      </c>
    </row>
    <row r="273">
      <c r="A273" t="inlineStr">
        <is>
          <t>diluted_eps_change__20240831</t>
        </is>
      </c>
      <c r="B273" t="n">
        <v>272</v>
      </c>
      <c r="C273" t="inlineStr">
        <is>
          <t>Change in Diluted EPS</t>
        </is>
      </c>
      <c r="D273" t="inlineStr">
        <is>
          <t>Current comparable-basis Diluted EPS minus prior EPS.</t>
        </is>
      </c>
      <c r="E273" t="inlineStr">
        <is>
          <t>per_share.diluted_eps_change.2024-08-31</t>
        </is>
      </c>
      <c r="F273" t="inlineStr">
        <is>
          <t>per_share</t>
        </is>
      </c>
      <c r="G273" t="inlineStr">
        <is>
          <t>Per Share Analysis</t>
        </is>
      </c>
      <c r="H273" t="inlineStr">
        <is>
          <t>E12</t>
        </is>
      </c>
      <c r="I273">
        <f>E9-D9</f>
        <v/>
      </c>
      <c r="J273" t="n">
        <v>246.3298594752525</v>
      </c>
      <c r="K273" t="n">
        <v>0.01</v>
      </c>
      <c r="L273" t="inlineStr">
        <is>
          <t>reported_diluted_eps__20240831,reported_diluted_eps__20230831</t>
        </is>
      </c>
      <c r="M273" t="inlineStr">
        <is>
          <t>Change in Diluted EPS = Current EPS - Prior EPS.|Use an absolute per-share change here rather than a growth rate that can become misleading around zero or negative EPS.</t>
        </is>
      </c>
      <c r="O273" t="inlineStr">
        <is>
          <t>pending</t>
        </is>
      </c>
      <c r="P273" t="inlineStr">
        <is>
          <t>diluted_eps_change</t>
        </is>
      </c>
      <c r="Q273" t="n">
        <v>69</v>
      </c>
      <c r="R273" t="n">
        <v>3</v>
      </c>
      <c r="S273" t="inlineStr">
        <is>
          <t>2024-08-31</t>
        </is>
      </c>
    </row>
    <row r="274">
      <c r="A274" t="inlineStr">
        <is>
          <t>diluted_eps_change__20250831</t>
        </is>
      </c>
      <c r="B274" t="n">
        <v>273</v>
      </c>
      <c r="C274" t="inlineStr">
        <is>
          <t>Change in Diluted EPS</t>
        </is>
      </c>
      <c r="D274" t="inlineStr">
        <is>
          <t>Current comparable-basis Diluted EPS minus prior EPS.</t>
        </is>
      </c>
      <c r="E274" t="inlineStr">
        <is>
          <t>per_share.diluted_eps_change.2025-08-31</t>
        </is>
      </c>
      <c r="F274" t="inlineStr">
        <is>
          <t>per_share</t>
        </is>
      </c>
      <c r="G274" t="inlineStr">
        <is>
          <t>Per Share Analysis</t>
        </is>
      </c>
      <c r="H274" t="inlineStr">
        <is>
          <t>F12</t>
        </is>
      </c>
      <c r="I274">
        <f>F9-E9</f>
        <v/>
      </c>
      <c r="J274" t="n">
        <v>198.5063074941875</v>
      </c>
      <c r="K274" t="n">
        <v>0.01</v>
      </c>
      <c r="L274" t="inlineStr">
        <is>
          <t>reported_diluted_eps__20250831,reported_diluted_eps__20240831</t>
        </is>
      </c>
      <c r="M274" t="inlineStr">
        <is>
          <t>Change in Diluted EPS = Current EPS - Prior EPS.|Use an absolute per-share change here rather than a growth rate that can become misleading around zero or negative EPS.</t>
        </is>
      </c>
      <c r="O274" t="inlineStr">
        <is>
          <t>pending</t>
        </is>
      </c>
      <c r="P274" t="inlineStr">
        <is>
          <t>diluted_eps_change</t>
        </is>
      </c>
      <c r="Q274" t="n">
        <v>69</v>
      </c>
      <c r="R274" t="n">
        <v>4</v>
      </c>
      <c r="S274" t="inlineStr">
        <is>
          <t>2025-08-31</t>
        </is>
      </c>
    </row>
    <row r="275">
      <c r="A275" t="inlineStr">
        <is>
          <t>diluted_share_count_change__20220831</t>
        </is>
      </c>
      <c r="B275" t="n">
        <v>274</v>
      </c>
      <c r="C275" t="inlineStr">
        <is>
          <t>Change in Diluted Weighted-Average Shares</t>
        </is>
      </c>
      <c r="D275" t="inlineStr">
        <is>
          <t>Current diluted weighted-average shares minus prior shares.</t>
        </is>
      </c>
      <c r="E275" t="inlineStr">
        <is>
          <t>per_share.diluted_share_count_change.2022-08-31</t>
        </is>
      </c>
      <c r="F275" t="inlineStr">
        <is>
          <t>per_share</t>
        </is>
      </c>
      <c r="G275" t="inlineStr">
        <is>
          <t>Per Share Analysis</t>
        </is>
      </c>
      <c r="H275" t="inlineStr">
        <is>
          <t>C13</t>
        </is>
      </c>
      <c r="I275">
        <f>C7-B7</f>
        <v/>
      </c>
      <c r="J275" t="n">
        <v>0.09783900000002177</v>
      </c>
      <c r="K275" t="n">
        <v>0.01</v>
      </c>
      <c r="M275" t="inlineStr">
        <is>
          <t>Change in Diluted Weighted-Average Shares = Current Shares - Prior Shares.|A positive change is mechanical evidence of a larger diluted share denominator; do not infer the cause automatically.</t>
        </is>
      </c>
      <c r="O275" t="inlineStr">
        <is>
          <t>pending</t>
        </is>
      </c>
      <c r="P275" t="inlineStr">
        <is>
          <t>diluted_share_count_change</t>
        </is>
      </c>
      <c r="Q275" t="n">
        <v>70</v>
      </c>
      <c r="R275" t="n">
        <v>1</v>
      </c>
      <c r="S275" t="inlineStr">
        <is>
          <t>2022-08-31</t>
        </is>
      </c>
    </row>
    <row r="276">
      <c r="A276" t="inlineStr">
        <is>
          <t>diluted_share_count_change__20230831</t>
        </is>
      </c>
      <c r="B276" t="n">
        <v>275</v>
      </c>
      <c r="C276" t="inlineStr">
        <is>
          <t>Change in Diluted Weighted-Average Shares</t>
        </is>
      </c>
      <c r="D276" t="inlineStr">
        <is>
          <t>Current diluted weighted-average shares minus prior shares.</t>
        </is>
      </c>
      <c r="E276" t="inlineStr">
        <is>
          <t>per_share.diluted_share_count_change.2023-08-31</t>
        </is>
      </c>
      <c r="F276" t="inlineStr">
        <is>
          <t>per_share</t>
        </is>
      </c>
      <c r="G276" t="inlineStr">
        <is>
          <t>Per Share Analysis</t>
        </is>
      </c>
      <c r="H276" t="inlineStr">
        <is>
          <t>D13</t>
        </is>
      </c>
      <c r="I276">
        <f>D7-C7</f>
        <v/>
      </c>
      <c r="J276" t="n">
        <v>0.1692459999999869</v>
      </c>
      <c r="K276" t="n">
        <v>0.01</v>
      </c>
      <c r="M276" t="inlineStr">
        <is>
          <t>Change in Diluted Weighted-Average Shares = Current Shares - Prior Shares.|A positive change is mechanical evidence of a larger diluted share denominator; do not infer the cause automatically.</t>
        </is>
      </c>
      <c r="O276" t="inlineStr">
        <is>
          <t>pending</t>
        </is>
      </c>
      <c r="P276" t="inlineStr">
        <is>
          <t>diluted_share_count_change</t>
        </is>
      </c>
      <c r="Q276" t="n">
        <v>70</v>
      </c>
      <c r="R276" t="n">
        <v>2</v>
      </c>
      <c r="S276" t="inlineStr">
        <is>
          <t>2023-08-31</t>
        </is>
      </c>
    </row>
    <row r="277">
      <c r="A277" t="inlineStr">
        <is>
          <t>diluted_share_count_change__20240831</t>
        </is>
      </c>
      <c r="B277" t="n">
        <v>276</v>
      </c>
      <c r="C277" t="inlineStr">
        <is>
          <t>Change in Diluted Weighted-Average Shares</t>
        </is>
      </c>
      <c r="D277" t="inlineStr">
        <is>
          <t>Current diluted weighted-average shares minus prior shares.</t>
        </is>
      </c>
      <c r="E277" t="inlineStr">
        <is>
          <t>per_share.diluted_share_count_change.2024-08-31</t>
        </is>
      </c>
      <c r="F277" t="inlineStr">
        <is>
          <t>per_share</t>
        </is>
      </c>
      <c r="G277" t="inlineStr">
        <is>
          <t>Per Share Analysis</t>
        </is>
      </c>
      <c r="H277" t="inlineStr">
        <is>
          <t>E13</t>
        </is>
      </c>
      <c r="I277">
        <f>E7-D7</f>
        <v/>
      </c>
      <c r="J277" t="n">
        <v>0.09293400000001384</v>
      </c>
      <c r="K277" t="n">
        <v>0.01</v>
      </c>
      <c r="M277" t="inlineStr">
        <is>
          <t>Change in Diluted Weighted-Average Shares = Current Shares - Prior Shares.|A positive change is mechanical evidence of a larger diluted share denominator; do not infer the cause automatically.</t>
        </is>
      </c>
      <c r="O277" t="inlineStr">
        <is>
          <t>pending</t>
        </is>
      </c>
      <c r="P277" t="inlineStr">
        <is>
          <t>diluted_share_count_change</t>
        </is>
      </c>
      <c r="Q277" t="n">
        <v>70</v>
      </c>
      <c r="R277" t="n">
        <v>3</v>
      </c>
      <c r="S277" t="inlineStr">
        <is>
          <t>2024-08-31</t>
        </is>
      </c>
    </row>
    <row r="278">
      <c r="A278" t="inlineStr">
        <is>
          <t>diluted_share_count_change__20250831</t>
        </is>
      </c>
      <c r="B278" t="n">
        <v>277</v>
      </c>
      <c r="C278" t="inlineStr">
        <is>
          <t>Change in Diluted Weighted-Average Shares</t>
        </is>
      </c>
      <c r="D278" t="inlineStr">
        <is>
          <t>Current diluted weighted-average shares minus prior shares.</t>
        </is>
      </c>
      <c r="E278" t="inlineStr">
        <is>
          <t>per_share.diluted_share_count_change.2025-08-31</t>
        </is>
      </c>
      <c r="F278" t="inlineStr">
        <is>
          <t>per_share</t>
        </is>
      </c>
      <c r="G278" t="inlineStr">
        <is>
          <t>Per Share Analysis</t>
        </is>
      </c>
      <c r="H278" t="inlineStr">
        <is>
          <t>F13</t>
        </is>
      </c>
      <c r="I278">
        <f>F7-E7</f>
        <v/>
      </c>
      <c r="J278" t="n">
        <v>0.01599999999996271</v>
      </c>
      <c r="K278" t="n">
        <v>0.01</v>
      </c>
      <c r="M278" t="inlineStr">
        <is>
          <t>Change in Diluted Weighted-Average Shares = Current Shares - Prior Shares.|A positive change is mechanical evidence of a larger diluted share denominator; do not infer the cause automatically.</t>
        </is>
      </c>
      <c r="O278" t="inlineStr">
        <is>
          <t>pending</t>
        </is>
      </c>
      <c r="P278" t="inlineStr">
        <is>
          <t>diluted_share_count_change</t>
        </is>
      </c>
      <c r="Q278" t="n">
        <v>70</v>
      </c>
      <c r="R278" t="n">
        <v>4</v>
      </c>
      <c r="S278" t="inlineStr">
        <is>
          <t>2025-08-31</t>
        </is>
      </c>
    </row>
    <row r="279">
      <c r="A279" t="inlineStr">
        <is>
          <t>reported_net_income_change__20220831</t>
        </is>
      </c>
      <c r="B279" t="n">
        <v>278</v>
      </c>
      <c r="C279" t="inlineStr">
        <is>
          <t>Change in Per-Share Earnings Numerator</t>
        </is>
      </c>
      <c r="D279" t="inlineStr">
        <is>
          <t>Current per-share earnings numerator minus prior per-share earnings numerator.</t>
        </is>
      </c>
      <c r="E279" t="inlineStr">
        <is>
          <t>per_share_attribution.reported_net_income_change.2022-08-31</t>
        </is>
      </c>
      <c r="F279" t="inlineStr">
        <is>
          <t>per_share_attribution</t>
        </is>
      </c>
      <c r="G279" t="inlineStr">
        <is>
          <t>Per Share Analysis</t>
        </is>
      </c>
      <c r="H279" t="inlineStr">
        <is>
          <t>C16</t>
        </is>
      </c>
      <c r="I279">
        <f>C5-B5</f>
        <v/>
      </c>
      <c r="J279" t="n">
        <v>103488</v>
      </c>
      <c r="K279" t="n">
        <v>0.01</v>
      </c>
      <c r="L279" t="inlineStr">
        <is>
          <t>net_income_link__20220831,net_income_link__20210831</t>
        </is>
      </c>
      <c r="M279" t="inlineStr">
        <is>
          <t>Change in Per-Share Earnings Numerator = Current Numerator - Prior Numerator.|This is the earnings-numerator movement used in diluted-EPS attribution.</t>
        </is>
      </c>
      <c r="O279" t="inlineStr">
        <is>
          <t>pending</t>
        </is>
      </c>
      <c r="P279" t="inlineStr">
        <is>
          <t>reported_net_income_change</t>
        </is>
      </c>
      <c r="Q279" t="n">
        <v>71</v>
      </c>
      <c r="R279" t="n">
        <v>1</v>
      </c>
      <c r="S279" t="inlineStr">
        <is>
          <t>2022-08-31</t>
        </is>
      </c>
    </row>
    <row r="280">
      <c r="A280" t="inlineStr">
        <is>
          <t>reported_net_income_change__20230831</t>
        </is>
      </c>
      <c r="B280" t="n">
        <v>279</v>
      </c>
      <c r="C280" t="inlineStr">
        <is>
          <t>Change in Per-Share Earnings Numerator</t>
        </is>
      </c>
      <c r="D280" t="inlineStr">
        <is>
          <t>Current per-share earnings numerator minus prior per-share earnings numerator.</t>
        </is>
      </c>
      <c r="E280" t="inlineStr">
        <is>
          <t>per_share_attribution.reported_net_income_change.2023-08-31</t>
        </is>
      </c>
      <c r="F280" t="inlineStr">
        <is>
          <t>per_share_attribution</t>
        </is>
      </c>
      <c r="G280" t="inlineStr">
        <is>
          <t>Per Share Analysis</t>
        </is>
      </c>
      <c r="H280" t="inlineStr">
        <is>
          <t>D16</t>
        </is>
      </c>
      <c r="I280">
        <f>D5-C5</f>
        <v/>
      </c>
      <c r="J280" t="n">
        <v>22894</v>
      </c>
      <c r="K280" t="n">
        <v>0.01</v>
      </c>
      <c r="L280" t="inlineStr">
        <is>
          <t>net_income_link__20230831,net_income_link__20220831</t>
        </is>
      </c>
      <c r="M280" t="inlineStr">
        <is>
          <t>Change in Per-Share Earnings Numerator = Current Numerator - Prior Numerator.|This is the earnings-numerator movement used in diluted-EPS attribution.</t>
        </is>
      </c>
      <c r="O280" t="inlineStr">
        <is>
          <t>pending</t>
        </is>
      </c>
      <c r="P280" t="inlineStr">
        <is>
          <t>reported_net_income_change</t>
        </is>
      </c>
      <c r="Q280" t="n">
        <v>71</v>
      </c>
      <c r="R280" t="n">
        <v>2</v>
      </c>
      <c r="S280" t="inlineStr">
        <is>
          <t>2023-08-31</t>
        </is>
      </c>
    </row>
    <row r="281">
      <c r="A281" t="inlineStr">
        <is>
          <t>reported_net_income_change__20240831</t>
        </is>
      </c>
      <c r="B281" t="n">
        <v>280</v>
      </c>
      <c r="C281" t="inlineStr">
        <is>
          <t>Change in Per-Share Earnings Numerator</t>
        </is>
      </c>
      <c r="D281" t="inlineStr">
        <is>
          <t>Current per-share earnings numerator minus prior per-share earnings numerator.</t>
        </is>
      </c>
      <c r="E281" t="inlineStr">
        <is>
          <t>per_share_attribution.reported_net_income_change.2024-08-31</t>
        </is>
      </c>
      <c r="F281" t="inlineStr">
        <is>
          <t>per_share_attribution</t>
        </is>
      </c>
      <c r="G281" t="inlineStr">
        <is>
          <t>Per Share Analysis</t>
        </is>
      </c>
      <c r="H281" t="inlineStr">
        <is>
          <t>E16</t>
        </is>
      </c>
      <c r="I281">
        <f>E5-D5</f>
        <v/>
      </c>
      <c r="J281" t="n">
        <v>75770</v>
      </c>
      <c r="K281" t="n">
        <v>0.01</v>
      </c>
      <c r="L281" t="inlineStr">
        <is>
          <t>net_income_link__20240831,net_income_link__20230831</t>
        </is>
      </c>
      <c r="M281" t="inlineStr">
        <is>
          <t>Change in Per-Share Earnings Numerator = Current Numerator - Prior Numerator.|This is the earnings-numerator movement used in diluted-EPS attribution.</t>
        </is>
      </c>
      <c r="O281" t="inlineStr">
        <is>
          <t>pending</t>
        </is>
      </c>
      <c r="P281" t="inlineStr">
        <is>
          <t>reported_net_income_change</t>
        </is>
      </c>
      <c r="Q281" t="n">
        <v>71</v>
      </c>
      <c r="R281" t="n">
        <v>3</v>
      </c>
      <c r="S281" t="inlineStr">
        <is>
          <t>2024-08-31</t>
        </is>
      </c>
    </row>
    <row r="282">
      <c r="A282" t="inlineStr">
        <is>
          <t>reported_net_income_change__20250831</t>
        </is>
      </c>
      <c r="B282" t="n">
        <v>281</v>
      </c>
      <c r="C282" t="inlineStr">
        <is>
          <t>Change in Per-Share Earnings Numerator</t>
        </is>
      </c>
      <c r="D282" t="inlineStr">
        <is>
          <t>Current per-share earnings numerator minus prior per-share earnings numerator.</t>
        </is>
      </c>
      <c r="E282" t="inlineStr">
        <is>
          <t>per_share_attribution.reported_net_income_change.2025-08-31</t>
        </is>
      </c>
      <c r="F282" t="inlineStr">
        <is>
          <t>per_share_attribution</t>
        </is>
      </c>
      <c r="G282" t="inlineStr">
        <is>
          <t>Per Share Analysis</t>
        </is>
      </c>
      <c r="H282" t="inlineStr">
        <is>
          <t>F16</t>
        </is>
      </c>
      <c r="I282">
        <f>F5-E5</f>
        <v/>
      </c>
      <c r="J282" t="n">
        <v>61010</v>
      </c>
      <c r="K282" t="n">
        <v>0.01</v>
      </c>
      <c r="L282" t="inlineStr">
        <is>
          <t>net_income_link__20250831,net_income_link__20240831</t>
        </is>
      </c>
      <c r="M282" t="inlineStr">
        <is>
          <t>Change in Per-Share Earnings Numerator = Current Numerator - Prior Numerator.|This is the earnings-numerator movement used in diluted-EPS attribution.</t>
        </is>
      </c>
      <c r="O282" t="inlineStr">
        <is>
          <t>pending</t>
        </is>
      </c>
      <c r="P282" t="inlineStr">
        <is>
          <t>reported_net_income_change</t>
        </is>
      </c>
      <c r="Q282" t="n">
        <v>71</v>
      </c>
      <c r="R282" t="n">
        <v>4</v>
      </c>
      <c r="S282" t="inlineStr">
        <is>
          <t>2025-08-31</t>
        </is>
      </c>
    </row>
    <row r="283">
      <c r="A283" t="inlineStr">
        <is>
          <t>earnings_effect_on_diluted_eps_change__20220831</t>
        </is>
      </c>
      <c r="B283" t="n">
        <v>282</v>
      </c>
      <c r="C283" t="inlineStr">
        <is>
          <t>Earnings Effect on Change in Diluted EPS</t>
        </is>
      </c>
      <c r="D283" t="inlineStr">
        <is>
          <t>Change in per-share earnings numerator multiplied by midpoint inverse diluted shares.</t>
        </is>
      </c>
      <c r="E283" t="inlineStr">
        <is>
          <t>per_share_attribution.earnings_effect.2022-08-31</t>
        </is>
      </c>
      <c r="F283" t="inlineStr">
        <is>
          <t>per_share_attribution</t>
        </is>
      </c>
      <c r="G283" t="inlineStr">
        <is>
          <t>Per Share Analysis</t>
        </is>
      </c>
      <c r="H283" t="inlineStr">
        <is>
          <t>C17</t>
        </is>
      </c>
      <c r="I283">
        <f>C16*((1/C7+1/B7)/2)</f>
        <v/>
      </c>
      <c r="J283" t="n">
        <v>337.1815622463716</v>
      </c>
      <c r="K283" t="n">
        <v>0.01</v>
      </c>
      <c r="L283" t="inlineStr">
        <is>
          <t>reported_net_income_change__20220831</t>
        </is>
      </c>
      <c r="M283" t="inlineStr">
        <is>
          <t>Earnings Effect = Change in Per-Share Earnings Numerator × average of current and prior inverse diluted shares.|Inverse diluted shares means 1 / diluted weighted-average shares.|This is an arithmetic numerator effect, not a causal explanation of why earnings changed.</t>
        </is>
      </c>
      <c r="O283" t="inlineStr">
        <is>
          <t>pending</t>
        </is>
      </c>
      <c r="P283" t="inlineStr">
        <is>
          <t>earnings_effect_on_diluted_eps_change</t>
        </is>
      </c>
      <c r="Q283" t="n">
        <v>72</v>
      </c>
      <c r="R283" t="n">
        <v>1</v>
      </c>
      <c r="S283" t="inlineStr">
        <is>
          <t>2022-08-31</t>
        </is>
      </c>
    </row>
    <row r="284">
      <c r="A284" t="inlineStr">
        <is>
          <t>earnings_effect_on_diluted_eps_change__20230831</t>
        </is>
      </c>
      <c r="B284" t="n">
        <v>283</v>
      </c>
      <c r="C284" t="inlineStr">
        <is>
          <t>Earnings Effect on Change in Diluted EPS</t>
        </is>
      </c>
      <c r="D284" t="inlineStr">
        <is>
          <t>Change in per-share earnings numerator multiplied by midpoint inverse diluted shares.</t>
        </is>
      </c>
      <c r="E284" t="inlineStr">
        <is>
          <t>per_share_attribution.earnings_effect.2023-08-31</t>
        </is>
      </c>
      <c r="F284" t="inlineStr">
        <is>
          <t>per_share_attribution</t>
        </is>
      </c>
      <c r="G284" t="inlineStr">
        <is>
          <t>Per Share Analysis</t>
        </is>
      </c>
      <c r="H284" t="inlineStr">
        <is>
          <t>D17</t>
        </is>
      </c>
      <c r="I284">
        <f>D16*((1/D7+1/C7)/2)</f>
        <v/>
      </c>
      <c r="J284" t="n">
        <v>74.56012076874111</v>
      </c>
      <c r="K284" t="n">
        <v>0.01</v>
      </c>
      <c r="L284" t="inlineStr">
        <is>
          <t>reported_net_income_change__20230831</t>
        </is>
      </c>
      <c r="M284" t="inlineStr">
        <is>
          <t>Earnings Effect = Change in Per-Share Earnings Numerator × average of current and prior inverse diluted shares.|Inverse diluted shares means 1 / diluted weighted-average shares.|This is an arithmetic numerator effect, not a causal explanation of why earnings changed.</t>
        </is>
      </c>
      <c r="O284" t="inlineStr">
        <is>
          <t>pending</t>
        </is>
      </c>
      <c r="P284" t="inlineStr">
        <is>
          <t>earnings_effect_on_diluted_eps_change</t>
        </is>
      </c>
      <c r="Q284" t="n">
        <v>72</v>
      </c>
      <c r="R284" t="n">
        <v>2</v>
      </c>
      <c r="S284" t="inlineStr">
        <is>
          <t>2023-08-31</t>
        </is>
      </c>
    </row>
    <row r="285">
      <c r="A285" t="inlineStr">
        <is>
          <t>earnings_effect_on_diluted_eps_change__20240831</t>
        </is>
      </c>
      <c r="B285" t="n">
        <v>284</v>
      </c>
      <c r="C285" t="inlineStr">
        <is>
          <t>Earnings Effect on Change in Diluted EPS</t>
        </is>
      </c>
      <c r="D285" t="inlineStr">
        <is>
          <t>Change in per-share earnings numerator multiplied by midpoint inverse diluted shares.</t>
        </is>
      </c>
      <c r="E285" t="inlineStr">
        <is>
          <t>per_share_attribution.earnings_effect.2024-08-31</t>
        </is>
      </c>
      <c r="F285" t="inlineStr">
        <is>
          <t>per_share_attribution</t>
        </is>
      </c>
      <c r="G285" t="inlineStr">
        <is>
          <t>Per Share Analysis</t>
        </is>
      </c>
      <c r="H285" t="inlineStr">
        <is>
          <t>E17</t>
        </is>
      </c>
      <c r="I285">
        <f>E16*((1/E7+1/D7)/2)</f>
        <v/>
      </c>
      <c r="J285" t="n">
        <v>246.6589143665621</v>
      </c>
      <c r="K285" t="n">
        <v>0.01</v>
      </c>
      <c r="L285" t="inlineStr">
        <is>
          <t>reported_net_income_change__20240831</t>
        </is>
      </c>
      <c r="M285" t="inlineStr">
        <is>
          <t>Earnings Effect = Change in Per-Share Earnings Numerator × average of current and prior inverse diluted shares.|Inverse diluted shares means 1 / diluted weighted-average shares.|This is an arithmetic numerator effect, not a causal explanation of why earnings changed.</t>
        </is>
      </c>
      <c r="O285" t="inlineStr">
        <is>
          <t>pending</t>
        </is>
      </c>
      <c r="P285" t="inlineStr">
        <is>
          <t>earnings_effect_on_diluted_eps_change</t>
        </is>
      </c>
      <c r="Q285" t="n">
        <v>72</v>
      </c>
      <c r="R285" t="n">
        <v>3</v>
      </c>
      <c r="S285" t="inlineStr">
        <is>
          <t>2024-08-31</t>
        </is>
      </c>
    </row>
    <row r="286">
      <c r="A286" t="inlineStr">
        <is>
          <t>earnings_effect_on_diluted_eps_change__20250831</t>
        </is>
      </c>
      <c r="B286" t="n">
        <v>285</v>
      </c>
      <c r="C286" t="inlineStr">
        <is>
          <t>Earnings Effect on Change in Diluted EPS</t>
        </is>
      </c>
      <c r="D286" t="inlineStr">
        <is>
          <t>Change in per-share earnings numerator multiplied by midpoint inverse diluted shares.</t>
        </is>
      </c>
      <c r="E286" t="inlineStr">
        <is>
          <t>per_share_attribution.earnings_effect.2025-08-31</t>
        </is>
      </c>
      <c r="F286" t="inlineStr">
        <is>
          <t>per_share_attribution</t>
        </is>
      </c>
      <c r="G286" t="inlineStr">
        <is>
          <t>Per Share Analysis</t>
        </is>
      </c>
      <c r="H286" t="inlineStr">
        <is>
          <t>F17</t>
        </is>
      </c>
      <c r="I286">
        <f>F16*((1/F7+1/E7)/2)</f>
        <v/>
      </c>
      <c r="J286" t="n">
        <v>198.5745311872557</v>
      </c>
      <c r="K286" t="n">
        <v>0.01</v>
      </c>
      <c r="L286" t="inlineStr">
        <is>
          <t>reported_net_income_change__20250831</t>
        </is>
      </c>
      <c r="M286" t="inlineStr">
        <is>
          <t>Earnings Effect = Change in Per-Share Earnings Numerator × average of current and prior inverse diluted shares.|Inverse diluted shares means 1 / diluted weighted-average shares.|This is an arithmetic numerator effect, not a causal explanation of why earnings changed.</t>
        </is>
      </c>
      <c r="O286" t="inlineStr">
        <is>
          <t>pending</t>
        </is>
      </c>
      <c r="P286" t="inlineStr">
        <is>
          <t>earnings_effect_on_diluted_eps_change</t>
        </is>
      </c>
      <c r="Q286" t="n">
        <v>72</v>
      </c>
      <c r="R286" t="n">
        <v>4</v>
      </c>
      <c r="S286" t="inlineStr">
        <is>
          <t>2025-08-31</t>
        </is>
      </c>
    </row>
    <row r="287">
      <c r="A287" t="inlineStr">
        <is>
          <t>share_count_effect_on_diluted_eps_change__20220831</t>
        </is>
      </c>
      <c r="B287" t="n">
        <v>286</v>
      </c>
      <c r="C287" t="inlineStr">
        <is>
          <t>Share-Count Effect on Change in Diluted EPS</t>
        </is>
      </c>
      <c r="D287" t="inlineStr">
        <is>
          <t>Change in inverse diluted shares multiplied by midpoint per-share earnings numerator.</t>
        </is>
      </c>
      <c r="E287" t="inlineStr">
        <is>
          <t>per_share_attribution.share_count_effect.2022-08-31</t>
        </is>
      </c>
      <c r="F287" t="inlineStr">
        <is>
          <t>per_share_attribution</t>
        </is>
      </c>
      <c r="G287" t="inlineStr">
        <is>
          <t>Per Share Analysis</t>
        </is>
      </c>
      <c r="H287" t="inlineStr">
        <is>
          <t>C18</t>
        </is>
      </c>
      <c r="I287">
        <f>((1/C7)-(1/B7))*((C5+B5)/2)</f>
        <v/>
      </c>
      <c r="J287" t="n">
        <v>-0.2301504141841552</v>
      </c>
      <c r="K287" t="n">
        <v>0.01</v>
      </c>
      <c r="L287" t="inlineStr">
        <is>
          <t>diluted_share_count_change__20220831,net_income_link__20220831,net_income_link__20210831</t>
        </is>
      </c>
      <c r="M287" t="inlineStr">
        <is>
          <t>Share-Count Effect = Change in (1 / diluted shares) × average current/prior Net Income.|Rising share count is not forced to a negative effect; losses can reverse the sign mechanically.|Do not infer whether the share-count movement came from issuance, SBC, options, M&amp;A, or buybacks without separate evidence.</t>
        </is>
      </c>
      <c r="O287" t="inlineStr">
        <is>
          <t>pending</t>
        </is>
      </c>
      <c r="P287" t="inlineStr">
        <is>
          <t>share_count_effect_on_diluted_eps_change</t>
        </is>
      </c>
      <c r="Q287" t="n">
        <v>73</v>
      </c>
      <c r="R287" t="n">
        <v>1</v>
      </c>
      <c r="S287" t="inlineStr">
        <is>
          <t>2022-08-31</t>
        </is>
      </c>
    </row>
    <row r="288">
      <c r="A288" t="inlineStr">
        <is>
          <t>share_count_effect_on_diluted_eps_change__20230831</t>
        </is>
      </c>
      <c r="B288" t="n">
        <v>287</v>
      </c>
      <c r="C288" t="inlineStr">
        <is>
          <t>Share-Count Effect on Change in Diluted EPS</t>
        </is>
      </c>
      <c r="D288" t="inlineStr">
        <is>
          <t>Change in inverse diluted shares multiplied by midpoint per-share earnings numerator.</t>
        </is>
      </c>
      <c r="E288" t="inlineStr">
        <is>
          <t>per_share_attribution.share_count_effect.2023-08-31</t>
        </is>
      </c>
      <c r="F288" t="inlineStr">
        <is>
          <t>per_share_attribution</t>
        </is>
      </c>
      <c r="G288" t="inlineStr">
        <is>
          <t>Per Share Analysis</t>
        </is>
      </c>
      <c r="H288" t="inlineStr">
        <is>
          <t>D18</t>
        </is>
      </c>
      <c r="I288">
        <f>((1/D7)-(1/C7))*((D5+C5)/2)</f>
        <v/>
      </c>
      <c r="J288" t="n">
        <v>-0.5112116761426746</v>
      </c>
      <c r="K288" t="n">
        <v>0.01</v>
      </c>
      <c r="L288" t="inlineStr">
        <is>
          <t>diluted_share_count_change__20230831,net_income_link__20230831,net_income_link__20220831</t>
        </is>
      </c>
      <c r="M288" t="inlineStr">
        <is>
          <t>Share-Count Effect = Change in (1 / diluted shares) × average current/prior Net Income.|Rising share count is not forced to a negative effect; losses can reverse the sign mechanically.|Do not infer whether the share-count movement came from issuance, SBC, options, M&amp;A, or buybacks without separate evidence.</t>
        </is>
      </c>
      <c r="O288" t="inlineStr">
        <is>
          <t>pending</t>
        </is>
      </c>
      <c r="P288" t="inlineStr">
        <is>
          <t>share_count_effect_on_diluted_eps_change</t>
        </is>
      </c>
      <c r="Q288" t="n">
        <v>73</v>
      </c>
      <c r="R288" t="n">
        <v>2</v>
      </c>
      <c r="S288" t="inlineStr">
        <is>
          <t>2023-08-31</t>
        </is>
      </c>
    </row>
    <row r="289">
      <c r="A289" t="inlineStr">
        <is>
          <t>share_count_effect_on_diluted_eps_change__20240831</t>
        </is>
      </c>
      <c r="B289" t="n">
        <v>288</v>
      </c>
      <c r="C289" t="inlineStr">
        <is>
          <t>Share-Count Effect on Change in Diluted EPS</t>
        </is>
      </c>
      <c r="D289" t="inlineStr">
        <is>
          <t>Change in inverse diluted shares multiplied by midpoint per-share earnings numerator.</t>
        </is>
      </c>
      <c r="E289" t="inlineStr">
        <is>
          <t>per_share_attribution.share_count_effect.2024-08-31</t>
        </is>
      </c>
      <c r="F289" t="inlineStr">
        <is>
          <t>per_share_attribution</t>
        </is>
      </c>
      <c r="G289" t="inlineStr">
        <is>
          <t>Per Share Analysis</t>
        </is>
      </c>
      <c r="H289" t="inlineStr">
        <is>
          <t>E18</t>
        </is>
      </c>
      <c r="I289">
        <f>((1/E7)-(1/D7))*((E5+D5)/2)</f>
        <v/>
      </c>
      <c r="J289" t="n">
        <v>-0.3290548913096332</v>
      </c>
      <c r="K289" t="n">
        <v>0.01</v>
      </c>
      <c r="L289" t="inlineStr">
        <is>
          <t>diluted_share_count_change__20240831,net_income_link__20240831,net_income_link__20230831</t>
        </is>
      </c>
      <c r="M289" t="inlineStr">
        <is>
          <t>Share-Count Effect = Change in (1 / diluted shares) × average current/prior Net Income.|Rising share count is not forced to a negative effect; losses can reverse the sign mechanically.|Do not infer whether the share-count movement came from issuance, SBC, options, M&amp;A, or buybacks without separate evidence.</t>
        </is>
      </c>
      <c r="O289" t="inlineStr">
        <is>
          <t>pending</t>
        </is>
      </c>
      <c r="P289" t="inlineStr">
        <is>
          <t>share_count_effect_on_diluted_eps_change</t>
        </is>
      </c>
      <c r="Q289" t="n">
        <v>73</v>
      </c>
      <c r="R289" t="n">
        <v>3</v>
      </c>
      <c r="S289" t="inlineStr">
        <is>
          <t>2024-08-31</t>
        </is>
      </c>
    </row>
    <row r="290">
      <c r="A290" t="inlineStr">
        <is>
          <t>share_count_effect_on_diluted_eps_change__20250831</t>
        </is>
      </c>
      <c r="B290" t="n">
        <v>289</v>
      </c>
      <c r="C290" t="inlineStr">
        <is>
          <t>Share-Count Effect on Change in Diluted EPS</t>
        </is>
      </c>
      <c r="D290" t="inlineStr">
        <is>
          <t>Change in inverse diluted shares multiplied by midpoint per-share earnings numerator.</t>
        </is>
      </c>
      <c r="E290" t="inlineStr">
        <is>
          <t>per_share_attribution.share_count_effect.2025-08-31</t>
        </is>
      </c>
      <c r="F290" t="inlineStr">
        <is>
          <t>per_share_attribution</t>
        </is>
      </c>
      <c r="G290" t="inlineStr">
        <is>
          <t>Per Share Analysis</t>
        </is>
      </c>
      <c r="H290" t="inlineStr">
        <is>
          <t>F18</t>
        </is>
      </c>
      <c r="I290">
        <f>((1/F7)-(1/E7))*((F5+E5)/2)</f>
        <v/>
      </c>
      <c r="J290" t="n">
        <v>-0.06822369306812609</v>
      </c>
      <c r="K290" t="n">
        <v>0.01</v>
      </c>
      <c r="L290" t="inlineStr">
        <is>
          <t>diluted_share_count_change__20250831,net_income_link__20250831,net_income_link__20240831</t>
        </is>
      </c>
      <c r="M290" t="inlineStr">
        <is>
          <t>Share-Count Effect = Change in (1 / diluted shares) × average current/prior Net Income.|Rising share count is not forced to a negative effect; losses can reverse the sign mechanically.|Do not infer whether the share-count movement came from issuance, SBC, options, M&amp;A, or buybacks without separate evidence.</t>
        </is>
      </c>
      <c r="O290" t="inlineStr">
        <is>
          <t>pending</t>
        </is>
      </c>
      <c r="P290" t="inlineStr">
        <is>
          <t>share_count_effect_on_diluted_eps_change</t>
        </is>
      </c>
      <c r="Q290" t="n">
        <v>73</v>
      </c>
      <c r="R290" t="n">
        <v>4</v>
      </c>
      <c r="S290" t="inlineStr">
        <is>
          <t>2025-08-31</t>
        </is>
      </c>
    </row>
    <row r="291">
      <c r="A291" t="inlineStr">
        <is>
          <t>diluted_eps_change_from_drivers__20220831</t>
        </is>
      </c>
      <c r="B291" t="n">
        <v>290</v>
      </c>
      <c r="C291" t="inlineStr">
        <is>
          <t>Change in Diluted EPS from Earnings + Share-Count Effects</t>
        </is>
      </c>
      <c r="D291" t="inlineStr">
        <is>
          <t>Earnings Effect plus Share-Count Effect.</t>
        </is>
      </c>
      <c r="E291" t="inlineStr">
        <is>
          <t>per_share_attribution.diluted_eps_change_from_drivers.2022-08-31</t>
        </is>
      </c>
      <c r="F291" t="inlineStr">
        <is>
          <t>per_share_attribution</t>
        </is>
      </c>
      <c r="G291" t="inlineStr">
        <is>
          <t>Per Share Analysis</t>
        </is>
      </c>
      <c r="H291" t="inlineStr">
        <is>
          <t>C19</t>
        </is>
      </c>
      <c r="I291">
        <f>C17+C18</f>
        <v/>
      </c>
      <c r="J291" t="n">
        <v>336.9514118321875</v>
      </c>
      <c r="K291" t="n">
        <v>0.01</v>
      </c>
      <c r="L291" t="inlineStr">
        <is>
          <t>earnings_effect_on_diluted_eps_change__20220831,share_count_effect_on_diluted_eps_change__20220831</t>
        </is>
      </c>
      <c r="M291" t="inlineStr">
        <is>
          <t>Change in Diluted EPS from Drivers = Earnings Effect + Share-Count Effect.|The driver total must reconcile exactly to the direct Change in Diluted EPS.</t>
        </is>
      </c>
      <c r="O291" t="inlineStr">
        <is>
          <t>pending</t>
        </is>
      </c>
      <c r="P291" t="inlineStr">
        <is>
          <t>diluted_eps_change_from_drivers</t>
        </is>
      </c>
      <c r="Q291" t="n">
        <v>74</v>
      </c>
      <c r="R291" t="n">
        <v>1</v>
      </c>
      <c r="S291" t="inlineStr">
        <is>
          <t>2022-08-31</t>
        </is>
      </c>
    </row>
    <row r="292">
      <c r="A292" t="inlineStr">
        <is>
          <t>diluted_eps_change_from_drivers__20230831</t>
        </is>
      </c>
      <c r="B292" t="n">
        <v>291</v>
      </c>
      <c r="C292" t="inlineStr">
        <is>
          <t>Change in Diluted EPS from Earnings + Share-Count Effects</t>
        </is>
      </c>
      <c r="D292" t="inlineStr">
        <is>
          <t>Earnings Effect plus Share-Count Effect.</t>
        </is>
      </c>
      <c r="E292" t="inlineStr">
        <is>
          <t>per_share_attribution.diluted_eps_change_from_drivers.2023-08-31</t>
        </is>
      </c>
      <c r="F292" t="inlineStr">
        <is>
          <t>per_share_attribution</t>
        </is>
      </c>
      <c r="G292" t="inlineStr">
        <is>
          <t>Per Share Analysis</t>
        </is>
      </c>
      <c r="H292" t="inlineStr">
        <is>
          <t>D19</t>
        </is>
      </c>
      <c r="I292">
        <f>D17+D18</f>
        <v/>
      </c>
      <c r="J292" t="n">
        <v>74.04890909259844</v>
      </c>
      <c r="K292" t="n">
        <v>0.01</v>
      </c>
      <c r="L292" t="inlineStr">
        <is>
          <t>earnings_effect_on_diluted_eps_change__20230831,share_count_effect_on_diluted_eps_change__20230831</t>
        </is>
      </c>
      <c r="M292" t="inlineStr">
        <is>
          <t>Change in Diluted EPS from Drivers = Earnings Effect + Share-Count Effect.|The driver total must reconcile exactly to the direct Change in Diluted EPS.</t>
        </is>
      </c>
      <c r="O292" t="inlineStr">
        <is>
          <t>pending</t>
        </is>
      </c>
      <c r="P292" t="inlineStr">
        <is>
          <t>diluted_eps_change_from_drivers</t>
        </is>
      </c>
      <c r="Q292" t="n">
        <v>74</v>
      </c>
      <c r="R292" t="n">
        <v>2</v>
      </c>
      <c r="S292" t="inlineStr">
        <is>
          <t>2023-08-31</t>
        </is>
      </c>
    </row>
    <row r="293">
      <c r="A293" t="inlineStr">
        <is>
          <t>diluted_eps_change_from_drivers__20240831</t>
        </is>
      </c>
      <c r="B293" t="n">
        <v>292</v>
      </c>
      <c r="C293" t="inlineStr">
        <is>
          <t>Change in Diluted EPS from Earnings + Share-Count Effects</t>
        </is>
      </c>
      <c r="D293" t="inlineStr">
        <is>
          <t>Earnings Effect plus Share-Count Effect.</t>
        </is>
      </c>
      <c r="E293" t="inlineStr">
        <is>
          <t>per_share_attribution.diluted_eps_change_from_drivers.2024-08-31</t>
        </is>
      </c>
      <c r="F293" t="inlineStr">
        <is>
          <t>per_share_attribution</t>
        </is>
      </c>
      <c r="G293" t="inlineStr">
        <is>
          <t>Per Share Analysis</t>
        </is>
      </c>
      <c r="H293" t="inlineStr">
        <is>
          <t>E19</t>
        </is>
      </c>
      <c r="I293">
        <f>E17+E18</f>
        <v/>
      </c>
      <c r="J293" t="n">
        <v>246.3298594752525</v>
      </c>
      <c r="K293" t="n">
        <v>0.01</v>
      </c>
      <c r="L293" t="inlineStr">
        <is>
          <t>earnings_effect_on_diluted_eps_change__20240831,share_count_effect_on_diluted_eps_change__20240831</t>
        </is>
      </c>
      <c r="M293" t="inlineStr">
        <is>
          <t>Change in Diluted EPS from Drivers = Earnings Effect + Share-Count Effect.|The driver total must reconcile exactly to the direct Change in Diluted EPS.</t>
        </is>
      </c>
      <c r="O293" t="inlineStr">
        <is>
          <t>pending</t>
        </is>
      </c>
      <c r="P293" t="inlineStr">
        <is>
          <t>diluted_eps_change_from_drivers</t>
        </is>
      </c>
      <c r="Q293" t="n">
        <v>74</v>
      </c>
      <c r="R293" t="n">
        <v>3</v>
      </c>
      <c r="S293" t="inlineStr">
        <is>
          <t>2024-08-31</t>
        </is>
      </c>
    </row>
    <row r="294">
      <c r="A294" t="inlineStr">
        <is>
          <t>diluted_eps_change_from_drivers__20250831</t>
        </is>
      </c>
      <c r="B294" t="n">
        <v>293</v>
      </c>
      <c r="C294" t="inlineStr">
        <is>
          <t>Change in Diluted EPS from Earnings + Share-Count Effects</t>
        </is>
      </c>
      <c r="D294" t="inlineStr">
        <is>
          <t>Earnings Effect plus Share-Count Effect.</t>
        </is>
      </c>
      <c r="E294" t="inlineStr">
        <is>
          <t>per_share_attribution.diluted_eps_change_from_drivers.2025-08-31</t>
        </is>
      </c>
      <c r="F294" t="inlineStr">
        <is>
          <t>per_share_attribution</t>
        </is>
      </c>
      <c r="G294" t="inlineStr">
        <is>
          <t>Per Share Analysis</t>
        </is>
      </c>
      <c r="H294" t="inlineStr">
        <is>
          <t>F19</t>
        </is>
      </c>
      <c r="I294">
        <f>F17+F18</f>
        <v/>
      </c>
      <c r="J294" t="n">
        <v>198.5063074941876</v>
      </c>
      <c r="K294" t="n">
        <v>0.01</v>
      </c>
      <c r="L294" t="inlineStr">
        <is>
          <t>earnings_effect_on_diluted_eps_change__20250831,share_count_effect_on_diluted_eps_change__20250831</t>
        </is>
      </c>
      <c r="M294" t="inlineStr">
        <is>
          <t>Change in Diluted EPS from Drivers = Earnings Effect + Share-Count Effect.|The driver total must reconcile exactly to the direct Change in Diluted EPS.</t>
        </is>
      </c>
      <c r="O294" t="inlineStr">
        <is>
          <t>pending</t>
        </is>
      </c>
      <c r="P294" t="inlineStr">
        <is>
          <t>diluted_eps_change_from_drivers</t>
        </is>
      </c>
      <c r="Q294" t="n">
        <v>74</v>
      </c>
      <c r="R294" t="n">
        <v>4</v>
      </c>
      <c r="S294" t="inlineStr">
        <is>
          <t>2025-08-31</t>
        </is>
      </c>
    </row>
    <row r="295">
      <c r="A295" t="inlineStr">
        <is>
          <t>ppe_source_link__20210831</t>
        </is>
      </c>
      <c r="B295" t="n">
        <v>294</v>
      </c>
      <c r="C295" t="inlineStr">
        <is>
          <t>Property, Plant &amp; Equipment</t>
        </is>
      </c>
      <c r="D295" t="inlineStr">
        <is>
          <t>Link reported PP&amp;E for the same fiscal period.</t>
        </is>
      </c>
      <c r="E295" t="inlineStr">
        <is>
          <t>fixed_asset.ppe.2021-08-31</t>
        </is>
      </c>
      <c r="F295" t="inlineStr">
        <is>
          <t>fixed_asset</t>
        </is>
      </c>
      <c r="G295" t="inlineStr">
        <is>
          <t>ALT DuPont</t>
        </is>
      </c>
      <c r="H295" t="inlineStr">
        <is>
          <t>B44</t>
        </is>
      </c>
      <c r="I295">
        <f>'Balance Sheet'!B41</f>
        <v/>
      </c>
      <c r="J295" t="n">
        <v>168177</v>
      </c>
      <c r="K295" t="n">
        <v>0.01</v>
      </c>
      <c r="M295" t="inlineStr">
        <is>
          <t>Pull ending Property, Plant &amp; Equipment for the same fiscal period.|This is a source link, not an investment conclusion.</t>
        </is>
      </c>
      <c r="O295" t="inlineStr">
        <is>
          <t>pending</t>
        </is>
      </c>
      <c r="P295" t="inlineStr">
        <is>
          <t>ppe_source_link</t>
        </is>
      </c>
      <c r="Q295" t="n">
        <v>79</v>
      </c>
      <c r="R295" t="n">
        <v>0</v>
      </c>
      <c r="S295" t="inlineStr">
        <is>
          <t>2021-08-31</t>
        </is>
      </c>
    </row>
    <row r="296">
      <c r="A296" t="inlineStr">
        <is>
          <t>ppe_source_link__20220831</t>
        </is>
      </c>
      <c r="B296" t="n">
        <v>295</v>
      </c>
      <c r="C296" t="inlineStr">
        <is>
          <t>Property, Plant &amp; Equipment</t>
        </is>
      </c>
      <c r="D296" t="inlineStr">
        <is>
          <t>Link reported PP&amp;E for the same fiscal period.</t>
        </is>
      </c>
      <c r="E296" t="inlineStr">
        <is>
          <t>fixed_asset.ppe.2022-08-31</t>
        </is>
      </c>
      <c r="F296" t="inlineStr">
        <is>
          <t>fixed_asset</t>
        </is>
      </c>
      <c r="G296" t="inlineStr">
        <is>
          <t>ALT DuPont</t>
        </is>
      </c>
      <c r="H296" t="inlineStr">
        <is>
          <t>C44</t>
        </is>
      </c>
      <c r="I296">
        <f>'Balance Sheet'!C41</f>
        <v/>
      </c>
      <c r="J296" t="n">
        <v>195226</v>
      </c>
      <c r="K296" t="n">
        <v>0.01</v>
      </c>
      <c r="M296" t="inlineStr">
        <is>
          <t>Pull ending Property, Plant &amp; Equipment for the same fiscal period.|This is a source link, not an investment conclusion.</t>
        </is>
      </c>
      <c r="O296" t="inlineStr">
        <is>
          <t>pending</t>
        </is>
      </c>
      <c r="P296" t="inlineStr">
        <is>
          <t>ppe_source_link</t>
        </is>
      </c>
      <c r="Q296" t="n">
        <v>79</v>
      </c>
      <c r="R296" t="n">
        <v>1</v>
      </c>
      <c r="S296" t="inlineStr">
        <is>
          <t>2022-08-31</t>
        </is>
      </c>
    </row>
    <row r="297">
      <c r="A297" t="inlineStr">
        <is>
          <t>ppe_source_link__20230831</t>
        </is>
      </c>
      <c r="B297" t="n">
        <v>296</v>
      </c>
      <c r="C297" t="inlineStr">
        <is>
          <t>Property, Plant &amp; Equipment</t>
        </is>
      </c>
      <c r="D297" t="inlineStr">
        <is>
          <t>Link reported PP&amp;E for the same fiscal period.</t>
        </is>
      </c>
      <c r="E297" t="inlineStr">
        <is>
          <t>fixed_asset.ppe.2023-08-31</t>
        </is>
      </c>
      <c r="F297" t="inlineStr">
        <is>
          <t>fixed_asset</t>
        </is>
      </c>
      <c r="G297" t="inlineStr">
        <is>
          <t>ALT DuPont</t>
        </is>
      </c>
      <c r="H297" t="inlineStr">
        <is>
          <t>D44</t>
        </is>
      </c>
      <c r="I297">
        <f>'Balance Sheet'!D41</f>
        <v/>
      </c>
      <c r="J297" t="n">
        <v>221877</v>
      </c>
      <c r="K297" t="n">
        <v>0.01</v>
      </c>
      <c r="M297" t="inlineStr">
        <is>
          <t>Pull ending Property, Plant &amp; Equipment for the same fiscal period.|This is a source link, not an investment conclusion.</t>
        </is>
      </c>
      <c r="O297" t="inlineStr">
        <is>
          <t>pending</t>
        </is>
      </c>
      <c r="P297" t="inlineStr">
        <is>
          <t>ppe_source_link</t>
        </is>
      </c>
      <c r="Q297" t="n">
        <v>79</v>
      </c>
      <c r="R297" t="n">
        <v>2</v>
      </c>
      <c r="S297" t="inlineStr">
        <is>
          <t>2023-08-31</t>
        </is>
      </c>
    </row>
    <row r="298">
      <c r="A298" t="inlineStr">
        <is>
          <t>ppe_source_link__20240831</t>
        </is>
      </c>
      <c r="B298" t="n">
        <v>297</v>
      </c>
      <c r="C298" t="inlineStr">
        <is>
          <t>Property, Plant &amp; Equipment</t>
        </is>
      </c>
      <c r="D298" t="inlineStr">
        <is>
          <t>Link reported PP&amp;E for the same fiscal period.</t>
        </is>
      </c>
      <c r="E298" t="inlineStr">
        <is>
          <t>fixed_asset.ppe.2024-08-31</t>
        </is>
      </c>
      <c r="F298" t="inlineStr">
        <is>
          <t>fixed_asset</t>
        </is>
      </c>
      <c r="G298" t="inlineStr">
        <is>
          <t>ALT DuPont</t>
        </is>
      </c>
      <c r="H298" t="inlineStr">
        <is>
          <t>E44</t>
        </is>
      </c>
      <c r="I298">
        <f>'Balance Sheet'!E41</f>
        <v/>
      </c>
      <c r="J298" t="n">
        <v>245742</v>
      </c>
      <c r="K298" t="n">
        <v>0.01</v>
      </c>
      <c r="M298" t="inlineStr">
        <is>
          <t>Pull ending Property, Plant &amp; Equipment for the same fiscal period.|This is a source link, not an investment conclusion.</t>
        </is>
      </c>
      <c r="O298" t="inlineStr">
        <is>
          <t>pending</t>
        </is>
      </c>
      <c r="P298" t="inlineStr">
        <is>
          <t>ppe_source_link</t>
        </is>
      </c>
      <c r="Q298" t="n">
        <v>79</v>
      </c>
      <c r="R298" t="n">
        <v>3</v>
      </c>
      <c r="S298" t="inlineStr">
        <is>
          <t>2024-08-31</t>
        </is>
      </c>
    </row>
    <row r="299">
      <c r="A299" t="inlineStr">
        <is>
          <t>ppe_source_link__20250831</t>
        </is>
      </c>
      <c r="B299" t="n">
        <v>298</v>
      </c>
      <c r="C299" t="inlineStr">
        <is>
          <t>Property, Plant &amp; Equipment</t>
        </is>
      </c>
      <c r="D299" t="inlineStr">
        <is>
          <t>Link reported PP&amp;E for the same fiscal period.</t>
        </is>
      </c>
      <c r="E299" t="inlineStr">
        <is>
          <t>fixed_asset.ppe.2025-08-31</t>
        </is>
      </c>
      <c r="F299" t="inlineStr">
        <is>
          <t>fixed_asset</t>
        </is>
      </c>
      <c r="G299" t="inlineStr">
        <is>
          <t>ALT DuPont</t>
        </is>
      </c>
      <c r="H299" t="inlineStr">
        <is>
          <t>F44</t>
        </is>
      </c>
      <c r="I299">
        <f>'Balance Sheet'!F41</f>
        <v/>
      </c>
      <c r="J299" t="n">
        <v>332351</v>
      </c>
      <c r="K299" t="n">
        <v>0.01</v>
      </c>
      <c r="M299" t="inlineStr">
        <is>
          <t>Pull ending Property, Plant &amp; Equipment for the same fiscal period.|This is a source link, not an investment conclusion.</t>
        </is>
      </c>
      <c r="O299" t="inlineStr">
        <is>
          <t>pending</t>
        </is>
      </c>
      <c r="P299" t="inlineStr">
        <is>
          <t>ppe_source_link</t>
        </is>
      </c>
      <c r="Q299" t="n">
        <v>79</v>
      </c>
      <c r="R299" t="n">
        <v>4</v>
      </c>
      <c r="S299" t="inlineStr">
        <is>
          <t>2025-08-31</t>
        </is>
      </c>
    </row>
    <row r="300">
      <c r="A300" t="inlineStr">
        <is>
          <t>da_source_link__20210831</t>
        </is>
      </c>
      <c r="B300" t="n">
        <v>299</v>
      </c>
      <c r="C300" t="inlineStr">
        <is>
          <t>Depreciation &amp; Amortisation</t>
        </is>
      </c>
      <c r="D300" t="inlineStr">
        <is>
          <t>Link reported combined D&amp;A for the same fiscal period.</t>
        </is>
      </c>
      <c r="E300" t="inlineStr">
        <is>
          <t>fixed_asset.depreciation_amortization.2021-08-31</t>
        </is>
      </c>
      <c r="F300" t="inlineStr">
        <is>
          <t>fixed_asset</t>
        </is>
      </c>
      <c r="G300" t="inlineStr">
        <is>
          <t>ALT DuPont</t>
        </is>
      </c>
      <c r="H300" t="inlineStr">
        <is>
          <t>B45</t>
        </is>
      </c>
      <c r="I300">
        <f>'Cash Flow Statement'!B15</f>
        <v/>
      </c>
      <c r="J300" t="n">
        <v>177910</v>
      </c>
      <c r="K300" t="n">
        <v>0.01</v>
      </c>
      <c r="M300" t="inlineStr">
        <is>
          <t>Pull Depreciation &amp; Amortisation for the same fiscal period.|Combined D&amp;A may include intangible amortisation; do not treat it as a pure PP&amp;E depreciation charge.</t>
        </is>
      </c>
      <c r="O300" t="inlineStr">
        <is>
          <t>pending</t>
        </is>
      </c>
      <c r="P300" t="inlineStr">
        <is>
          <t>da_source_link</t>
        </is>
      </c>
      <c r="Q300" t="n">
        <v>80</v>
      </c>
      <c r="R300" t="n">
        <v>0</v>
      </c>
      <c r="S300" t="inlineStr">
        <is>
          <t>2021-08-31</t>
        </is>
      </c>
    </row>
    <row r="301">
      <c r="A301" t="inlineStr">
        <is>
          <t>da_source_link__20220831</t>
        </is>
      </c>
      <c r="B301" t="n">
        <v>300</v>
      </c>
      <c r="C301" t="inlineStr">
        <is>
          <t>Depreciation &amp; Amortisation</t>
        </is>
      </c>
      <c r="D301" t="inlineStr">
        <is>
          <t>Link reported combined D&amp;A for the same fiscal period.</t>
        </is>
      </c>
      <c r="E301" t="inlineStr">
        <is>
          <t>fixed_asset.depreciation_amortization.2022-08-31</t>
        </is>
      </c>
      <c r="F301" t="inlineStr">
        <is>
          <t>fixed_asset</t>
        </is>
      </c>
      <c r="G301" t="inlineStr">
        <is>
          <t>ALT DuPont</t>
        </is>
      </c>
      <c r="H301" t="inlineStr">
        <is>
          <t>C45</t>
        </is>
      </c>
      <c r="I301">
        <f>'Cash Flow Statement'!C15</f>
        <v/>
      </c>
      <c r="J301" t="n">
        <v>180275</v>
      </c>
      <c r="K301" t="n">
        <v>0.01</v>
      </c>
      <c r="M301" t="inlineStr">
        <is>
          <t>Pull Depreciation &amp; Amortisation for the same fiscal period.|Combined D&amp;A may include intangible amortisation; do not treat it as a pure PP&amp;E depreciation charge.</t>
        </is>
      </c>
      <c r="O301" t="inlineStr">
        <is>
          <t>pending</t>
        </is>
      </c>
      <c r="P301" t="inlineStr">
        <is>
          <t>da_source_link</t>
        </is>
      </c>
      <c r="Q301" t="n">
        <v>80</v>
      </c>
      <c r="R301" t="n">
        <v>1</v>
      </c>
      <c r="S301" t="inlineStr">
        <is>
          <t>2022-08-31</t>
        </is>
      </c>
    </row>
    <row r="302">
      <c r="A302" t="inlineStr">
        <is>
          <t>da_source_link__20230831</t>
        </is>
      </c>
      <c r="B302" t="n">
        <v>301</v>
      </c>
      <c r="C302" t="inlineStr">
        <is>
          <t>Depreciation &amp; Amortisation</t>
        </is>
      </c>
      <c r="D302" t="inlineStr">
        <is>
          <t>Link reported combined D&amp;A for the same fiscal period.</t>
        </is>
      </c>
      <c r="E302" t="inlineStr">
        <is>
          <t>fixed_asset.depreciation_amortization.2023-08-31</t>
        </is>
      </c>
      <c r="F302" t="inlineStr">
        <is>
          <t>fixed_asset</t>
        </is>
      </c>
      <c r="G302" t="inlineStr">
        <is>
          <t>ALT DuPont</t>
        </is>
      </c>
      <c r="H302" t="inlineStr">
        <is>
          <t>D45</t>
        </is>
      </c>
      <c r="I302">
        <f>'Cash Flow Statement'!D15</f>
        <v/>
      </c>
      <c r="J302" t="n">
        <v>186872</v>
      </c>
      <c r="K302" t="n">
        <v>0.01</v>
      </c>
      <c r="M302" t="inlineStr">
        <is>
          <t>Pull Depreciation &amp; Amortisation for the same fiscal period.|Combined D&amp;A may include intangible amortisation; do not treat it as a pure PP&amp;E depreciation charge.</t>
        </is>
      </c>
      <c r="O302" t="inlineStr">
        <is>
          <t>pending</t>
        </is>
      </c>
      <c r="P302" t="inlineStr">
        <is>
          <t>da_source_link</t>
        </is>
      </c>
      <c r="Q302" t="n">
        <v>80</v>
      </c>
      <c r="R302" t="n">
        <v>2</v>
      </c>
      <c r="S302" t="inlineStr">
        <is>
          <t>2023-08-31</t>
        </is>
      </c>
    </row>
    <row r="303">
      <c r="A303" t="inlineStr">
        <is>
          <t>da_source_link__20240831</t>
        </is>
      </c>
      <c r="B303" t="n">
        <v>302</v>
      </c>
      <c r="C303" t="inlineStr">
        <is>
          <t>Depreciation &amp; Amortisation</t>
        </is>
      </c>
      <c r="D303" t="inlineStr">
        <is>
          <t>Link reported combined D&amp;A for the same fiscal period.</t>
        </is>
      </c>
      <c r="E303" t="inlineStr">
        <is>
          <t>fixed_asset.depreciation_amortization.2024-08-31</t>
        </is>
      </c>
      <c r="F303" t="inlineStr">
        <is>
          <t>fixed_asset</t>
        </is>
      </c>
      <c r="G303" t="inlineStr">
        <is>
          <t>ALT DuPont</t>
        </is>
      </c>
      <c r="H303" t="inlineStr">
        <is>
          <t>E45</t>
        </is>
      </c>
      <c r="I303">
        <f>'Cash Flow Statement'!E15</f>
        <v/>
      </c>
      <c r="J303" t="n">
        <v>204388</v>
      </c>
      <c r="K303" t="n">
        <v>0.01</v>
      </c>
      <c r="M303" t="inlineStr">
        <is>
          <t>Pull Depreciation &amp; Amortisation for the same fiscal period.|Combined D&amp;A may include intangible amortisation; do not treat it as a pure PP&amp;E depreciation charge.</t>
        </is>
      </c>
      <c r="O303" t="inlineStr">
        <is>
          <t>pending</t>
        </is>
      </c>
      <c r="P303" t="inlineStr">
        <is>
          <t>da_source_link</t>
        </is>
      </c>
      <c r="Q303" t="n">
        <v>80</v>
      </c>
      <c r="R303" t="n">
        <v>3</v>
      </c>
      <c r="S303" t="inlineStr">
        <is>
          <t>2024-08-31</t>
        </is>
      </c>
    </row>
    <row r="304">
      <c r="A304" t="inlineStr">
        <is>
          <t>da_source_link__20250831</t>
        </is>
      </c>
      <c r="B304" t="n">
        <v>303</v>
      </c>
      <c r="C304" t="inlineStr">
        <is>
          <t>Depreciation &amp; Amortisation</t>
        </is>
      </c>
      <c r="D304" t="inlineStr">
        <is>
          <t>Link reported combined D&amp;A for the same fiscal period.</t>
        </is>
      </c>
      <c r="E304" t="inlineStr">
        <is>
          <t>fixed_asset.depreciation_amortization.2025-08-31</t>
        </is>
      </c>
      <c r="F304" t="inlineStr">
        <is>
          <t>fixed_asset</t>
        </is>
      </c>
      <c r="G304" t="inlineStr">
        <is>
          <t>ALT DuPont</t>
        </is>
      </c>
      <c r="H304" t="inlineStr">
        <is>
          <t>F45</t>
        </is>
      </c>
      <c r="I304">
        <f>'Cash Flow Statement'!F15</f>
        <v/>
      </c>
      <c r="J304" t="n">
        <v>216492</v>
      </c>
      <c r="K304" t="n">
        <v>0.01</v>
      </c>
      <c r="M304" t="inlineStr">
        <is>
          <t>Pull Depreciation &amp; Amortisation for the same fiscal period.|Combined D&amp;A may include intangible amortisation; do not treat it as a pure PP&amp;E depreciation charge.</t>
        </is>
      </c>
      <c r="O304" t="inlineStr">
        <is>
          <t>pending</t>
        </is>
      </c>
      <c r="P304" t="inlineStr">
        <is>
          <t>da_source_link</t>
        </is>
      </c>
      <c r="Q304" t="n">
        <v>80</v>
      </c>
      <c r="R304" t="n">
        <v>4</v>
      </c>
      <c r="S304" t="inlineStr">
        <is>
          <t>2025-08-31</t>
        </is>
      </c>
    </row>
    <row r="305">
      <c r="A305" t="inlineStr">
        <is>
          <t>average_ppe__20220831</t>
        </is>
      </c>
      <c r="B305" t="n">
        <v>304</v>
      </c>
      <c r="C305" t="inlineStr">
        <is>
          <t>Average PP&amp;E</t>
        </is>
      </c>
      <c r="D305" t="inlineStr">
        <is>
          <t>Average beginning and ending PP&amp;E.</t>
        </is>
      </c>
      <c r="E305" t="inlineStr">
        <is>
          <t>fixed_asset.average_ppe.2022-08-31</t>
        </is>
      </c>
      <c r="F305" t="inlineStr">
        <is>
          <t>fixed_asset</t>
        </is>
      </c>
      <c r="G305" t="inlineStr">
        <is>
          <t>ALT DuPont</t>
        </is>
      </c>
      <c r="H305" t="inlineStr">
        <is>
          <t>C46</t>
        </is>
      </c>
      <c r="I305">
        <f>(B44+C44)/2</f>
        <v/>
      </c>
      <c r="J305" t="n">
        <v>181701.5</v>
      </c>
      <c r="K305" t="n">
        <v>0.01</v>
      </c>
      <c r="L305" t="inlineStr">
        <is>
          <t>ppe_source_link__20220831,ppe_source_link__20210831</t>
        </is>
      </c>
      <c r="M305" t="inlineStr">
        <is>
          <t>Average PP&amp;E = (Prior PP&amp;E + Current PP&amp;E) / 2.</t>
        </is>
      </c>
      <c r="O305" t="inlineStr">
        <is>
          <t>pending</t>
        </is>
      </c>
      <c r="P305" t="inlineStr">
        <is>
          <t>average_ppe</t>
        </is>
      </c>
      <c r="Q305" t="n">
        <v>81</v>
      </c>
      <c r="R305" t="n">
        <v>1</v>
      </c>
      <c r="S305" t="inlineStr">
        <is>
          <t>2022-08-31</t>
        </is>
      </c>
    </row>
    <row r="306">
      <c r="A306" t="inlineStr">
        <is>
          <t>average_ppe__20230831</t>
        </is>
      </c>
      <c r="B306" t="n">
        <v>305</v>
      </c>
      <c r="C306" t="inlineStr">
        <is>
          <t>Average PP&amp;E</t>
        </is>
      </c>
      <c r="D306" t="inlineStr">
        <is>
          <t>Average beginning and ending PP&amp;E.</t>
        </is>
      </c>
      <c r="E306" t="inlineStr">
        <is>
          <t>fixed_asset.average_ppe.2023-08-31</t>
        </is>
      </c>
      <c r="F306" t="inlineStr">
        <is>
          <t>fixed_asset</t>
        </is>
      </c>
      <c r="G306" t="inlineStr">
        <is>
          <t>ALT DuPont</t>
        </is>
      </c>
      <c r="H306" t="inlineStr">
        <is>
          <t>D46</t>
        </is>
      </c>
      <c r="I306">
        <f>(C44+D44)/2</f>
        <v/>
      </c>
      <c r="J306" t="n">
        <v>208551.5</v>
      </c>
      <c r="K306" t="n">
        <v>0.01</v>
      </c>
      <c r="L306" t="inlineStr">
        <is>
          <t>ppe_source_link__20230831,ppe_source_link__20220831</t>
        </is>
      </c>
      <c r="M306" t="inlineStr">
        <is>
          <t>Average PP&amp;E = (Prior PP&amp;E + Current PP&amp;E) / 2.</t>
        </is>
      </c>
      <c r="O306" t="inlineStr">
        <is>
          <t>pending</t>
        </is>
      </c>
      <c r="P306" t="inlineStr">
        <is>
          <t>average_ppe</t>
        </is>
      </c>
      <c r="Q306" t="n">
        <v>81</v>
      </c>
      <c r="R306" t="n">
        <v>2</v>
      </c>
      <c r="S306" t="inlineStr">
        <is>
          <t>2023-08-31</t>
        </is>
      </c>
    </row>
    <row r="307">
      <c r="A307" t="inlineStr">
        <is>
          <t>average_ppe__20240831</t>
        </is>
      </c>
      <c r="B307" t="n">
        <v>306</v>
      </c>
      <c r="C307" t="inlineStr">
        <is>
          <t>Average PP&amp;E</t>
        </is>
      </c>
      <c r="D307" t="inlineStr">
        <is>
          <t>Average beginning and ending PP&amp;E.</t>
        </is>
      </c>
      <c r="E307" t="inlineStr">
        <is>
          <t>fixed_asset.average_ppe.2024-08-31</t>
        </is>
      </c>
      <c r="F307" t="inlineStr">
        <is>
          <t>fixed_asset</t>
        </is>
      </c>
      <c r="G307" t="inlineStr">
        <is>
          <t>ALT DuPont</t>
        </is>
      </c>
      <c r="H307" t="inlineStr">
        <is>
          <t>E46</t>
        </is>
      </c>
      <c r="I307">
        <f>(D44+E44)/2</f>
        <v/>
      </c>
      <c r="J307" t="n">
        <v>233809.5</v>
      </c>
      <c r="K307" t="n">
        <v>0.01</v>
      </c>
      <c r="L307" t="inlineStr">
        <is>
          <t>ppe_source_link__20240831,ppe_source_link__20230831</t>
        </is>
      </c>
      <c r="M307" t="inlineStr">
        <is>
          <t>Average PP&amp;E = (Prior PP&amp;E + Current PP&amp;E) / 2.</t>
        </is>
      </c>
      <c r="O307" t="inlineStr">
        <is>
          <t>pending</t>
        </is>
      </c>
      <c r="P307" t="inlineStr">
        <is>
          <t>average_ppe</t>
        </is>
      </c>
      <c r="Q307" t="n">
        <v>81</v>
      </c>
      <c r="R307" t="n">
        <v>3</v>
      </c>
      <c r="S307" t="inlineStr">
        <is>
          <t>2024-08-31</t>
        </is>
      </c>
    </row>
    <row r="308">
      <c r="A308" t="inlineStr">
        <is>
          <t>average_ppe__20250831</t>
        </is>
      </c>
      <c r="B308" t="n">
        <v>307</v>
      </c>
      <c r="C308" t="inlineStr">
        <is>
          <t>Average PP&amp;E</t>
        </is>
      </c>
      <c r="D308" t="inlineStr">
        <is>
          <t>Average beginning and ending PP&amp;E.</t>
        </is>
      </c>
      <c r="E308" t="inlineStr">
        <is>
          <t>fixed_asset.average_ppe.2025-08-31</t>
        </is>
      </c>
      <c r="F308" t="inlineStr">
        <is>
          <t>fixed_asset</t>
        </is>
      </c>
      <c r="G308" t="inlineStr">
        <is>
          <t>ALT DuPont</t>
        </is>
      </c>
      <c r="H308" t="inlineStr">
        <is>
          <t>F46</t>
        </is>
      </c>
      <c r="I308">
        <f>(E44+F44)/2</f>
        <v/>
      </c>
      <c r="J308" t="n">
        <v>289046.5</v>
      </c>
      <c r="K308" t="n">
        <v>0.01</v>
      </c>
      <c r="L308" t="inlineStr">
        <is>
          <t>ppe_source_link__20250831,ppe_source_link__20240831</t>
        </is>
      </c>
      <c r="M308" t="inlineStr">
        <is>
          <t>Average PP&amp;E = (Prior PP&amp;E + Current PP&amp;E) / 2.</t>
        </is>
      </c>
      <c r="O308" t="inlineStr">
        <is>
          <t>pending</t>
        </is>
      </c>
      <c r="P308" t="inlineStr">
        <is>
          <t>average_ppe</t>
        </is>
      </c>
      <c r="Q308" t="n">
        <v>81</v>
      </c>
      <c r="R308" t="n">
        <v>4</v>
      </c>
      <c r="S308" t="inlineStr">
        <is>
          <t>2025-08-31</t>
        </is>
      </c>
    </row>
    <row r="309">
      <c r="A309" t="inlineStr">
        <is>
          <t>ppe_turnover__20220831</t>
        </is>
      </c>
      <c r="B309" t="n">
        <v>308</v>
      </c>
      <c r="C309" t="inlineStr">
        <is>
          <t>PP&amp;E Turnover</t>
        </is>
      </c>
      <c r="D309" t="inlineStr">
        <is>
          <t>Revenue divided by Average PP&amp;E.</t>
        </is>
      </c>
      <c r="E309" t="inlineStr">
        <is>
          <t>fixed_asset.ppe_turnover.2022-08-31</t>
        </is>
      </c>
      <c r="F309" t="inlineStr">
        <is>
          <t>fixed_asset</t>
        </is>
      </c>
      <c r="G309" t="inlineStr">
        <is>
          <t>ALT DuPont</t>
        </is>
      </c>
      <c r="H309" t="inlineStr">
        <is>
          <t>C47</t>
        </is>
      </c>
      <c r="I309">
        <f>IF(C46=0,NA(),'Condensed Financials'!C44/C46)</f>
        <v/>
      </c>
      <c r="J309" t="n">
        <v>12.66429831344265</v>
      </c>
      <c r="K309" t="n">
        <v>0.01</v>
      </c>
      <c r="L309" t="inlineStr">
        <is>
          <t>revenue_link__20220831,average_ppe__20220831</t>
        </is>
      </c>
      <c r="M309" t="inlineStr">
        <is>
          <t>PP&amp;E Turnover = Revenue / Average PP&amp;E.|A zero Average PP&amp;E denominator makes the ratio undefined (#N/A).|The ratio alone does not imply under- or over-investment.</t>
        </is>
      </c>
      <c r="O309" t="inlineStr">
        <is>
          <t>pending</t>
        </is>
      </c>
      <c r="P309" t="inlineStr">
        <is>
          <t>ppe_turnover</t>
        </is>
      </c>
      <c r="Q309" t="n">
        <v>82</v>
      </c>
      <c r="R309" t="n">
        <v>1</v>
      </c>
      <c r="S309" t="inlineStr">
        <is>
          <t>2022-08-31</t>
        </is>
      </c>
    </row>
    <row r="310">
      <c r="A310" t="inlineStr">
        <is>
          <t>ppe_turnover__20230831</t>
        </is>
      </c>
      <c r="B310" t="n">
        <v>309</v>
      </c>
      <c r="C310" t="inlineStr">
        <is>
          <t>PP&amp;E Turnover</t>
        </is>
      </c>
      <c r="D310" t="inlineStr">
        <is>
          <t>Revenue divided by Average PP&amp;E.</t>
        </is>
      </c>
      <c r="E310" t="inlineStr">
        <is>
          <t>fixed_asset.ppe_turnover.2023-08-31</t>
        </is>
      </c>
      <c r="F310" t="inlineStr">
        <is>
          <t>fixed_asset</t>
        </is>
      </c>
      <c r="G310" t="inlineStr">
        <is>
          <t>ALT DuPont</t>
        </is>
      </c>
      <c r="H310" t="inlineStr">
        <is>
          <t>D47</t>
        </is>
      </c>
      <c r="I310">
        <f>IF(D46=0,NA(),'Condensed Financials'!D44/D46)</f>
        <v/>
      </c>
      <c r="J310" t="n">
        <v>13.26558188265249</v>
      </c>
      <c r="K310" t="n">
        <v>0.01</v>
      </c>
      <c r="L310" t="inlineStr">
        <is>
          <t>revenue_link__20230831,average_ppe__20230831</t>
        </is>
      </c>
      <c r="M310" t="inlineStr">
        <is>
          <t>PP&amp;E Turnover = Revenue / Average PP&amp;E.|A zero Average PP&amp;E denominator makes the ratio undefined (#N/A).|The ratio alone does not imply under- or over-investment.</t>
        </is>
      </c>
      <c r="O310" t="inlineStr">
        <is>
          <t>pending</t>
        </is>
      </c>
      <c r="P310" t="inlineStr">
        <is>
          <t>ppe_turnover</t>
        </is>
      </c>
      <c r="Q310" t="n">
        <v>82</v>
      </c>
      <c r="R310" t="n">
        <v>2</v>
      </c>
      <c r="S310" t="inlineStr">
        <is>
          <t>2023-08-31</t>
        </is>
      </c>
    </row>
    <row r="311">
      <c r="A311" t="inlineStr">
        <is>
          <t>ppe_turnover__20240831</t>
        </is>
      </c>
      <c r="B311" t="n">
        <v>310</v>
      </c>
      <c r="C311" t="inlineStr">
        <is>
          <t>PP&amp;E Turnover</t>
        </is>
      </c>
      <c r="D311" t="inlineStr">
        <is>
          <t>Revenue divided by Average PP&amp;E.</t>
        </is>
      </c>
      <c r="E311" t="inlineStr">
        <is>
          <t>fixed_asset.ppe_turnover.2024-08-31</t>
        </is>
      </c>
      <c r="F311" t="inlineStr">
        <is>
          <t>fixed_asset</t>
        </is>
      </c>
      <c r="G311" t="inlineStr">
        <is>
          <t>ALT DuPont</t>
        </is>
      </c>
      <c r="H311" t="inlineStr">
        <is>
          <t>E47</t>
        </is>
      </c>
      <c r="I311">
        <f>IF(E46=0,NA(),'Condensed Financials'!E44/E46)</f>
        <v/>
      </c>
      <c r="J311" t="n">
        <v>13.27506367363174</v>
      </c>
      <c r="K311" t="n">
        <v>0.01</v>
      </c>
      <c r="L311" t="inlineStr">
        <is>
          <t>revenue_link__20240831,average_ppe__20240831</t>
        </is>
      </c>
      <c r="M311" t="inlineStr">
        <is>
          <t>PP&amp;E Turnover = Revenue / Average PP&amp;E.|A zero Average PP&amp;E denominator makes the ratio undefined (#N/A).|The ratio alone does not imply under- or over-investment.</t>
        </is>
      </c>
      <c r="O311" t="inlineStr">
        <is>
          <t>pending</t>
        </is>
      </c>
      <c r="P311" t="inlineStr">
        <is>
          <t>ppe_turnover</t>
        </is>
      </c>
      <c r="Q311" t="n">
        <v>82</v>
      </c>
      <c r="R311" t="n">
        <v>3</v>
      </c>
      <c r="S311" t="inlineStr">
        <is>
          <t>2024-08-31</t>
        </is>
      </c>
    </row>
    <row r="312">
      <c r="A312" t="inlineStr">
        <is>
          <t>ppe_turnover__20250831</t>
        </is>
      </c>
      <c r="B312" t="n">
        <v>311</v>
      </c>
      <c r="C312" t="inlineStr">
        <is>
          <t>PP&amp;E Turnover</t>
        </is>
      </c>
      <c r="D312" t="inlineStr">
        <is>
          <t>Revenue divided by Average PP&amp;E.</t>
        </is>
      </c>
      <c r="E312" t="inlineStr">
        <is>
          <t>fixed_asset.ppe_turnover.2025-08-31</t>
        </is>
      </c>
      <c r="F312" t="inlineStr">
        <is>
          <t>fixed_asset</t>
        </is>
      </c>
      <c r="G312" t="inlineStr">
        <is>
          <t>ALT DuPont</t>
        </is>
      </c>
      <c r="H312" t="inlineStr">
        <is>
          <t>F47</t>
        </is>
      </c>
      <c r="I312">
        <f>IF(F46=0,NA(),'Condensed Financials'!F44/F46)</f>
        <v/>
      </c>
      <c r="J312" t="n">
        <v>11.76467800163642</v>
      </c>
      <c r="K312" t="n">
        <v>0.01</v>
      </c>
      <c r="L312" t="inlineStr">
        <is>
          <t>revenue_link__20250831,average_ppe__20250831</t>
        </is>
      </c>
      <c r="M312" t="inlineStr">
        <is>
          <t>PP&amp;E Turnover = Revenue / Average PP&amp;E.|A zero Average PP&amp;E denominator makes the ratio undefined (#N/A).|The ratio alone does not imply under- or over-investment.</t>
        </is>
      </c>
      <c r="O312" t="inlineStr">
        <is>
          <t>pending</t>
        </is>
      </c>
      <c r="P312" t="inlineStr">
        <is>
          <t>ppe_turnover</t>
        </is>
      </c>
      <c r="Q312" t="n">
        <v>82</v>
      </c>
      <c r="R312" t="n">
        <v>4</v>
      </c>
      <c r="S312" t="inlineStr">
        <is>
          <t>2025-08-31</t>
        </is>
      </c>
    </row>
    <row r="313">
      <c r="A313" t="inlineStr">
        <is>
          <t>ppe_intensity__20220831</t>
        </is>
      </c>
      <c r="B313" t="n">
        <v>312</v>
      </c>
      <c r="C313" t="inlineStr">
        <is>
          <t>PP&amp;E Intensity</t>
        </is>
      </c>
      <c r="D313" t="inlineStr">
        <is>
          <t>Average PP&amp;E divided by Revenue.</t>
        </is>
      </c>
      <c r="E313" t="inlineStr">
        <is>
          <t>fixed_asset.ppe_intensity.2022-08-31</t>
        </is>
      </c>
      <c r="F313" t="inlineStr">
        <is>
          <t>fixed_asset</t>
        </is>
      </c>
      <c r="G313" t="inlineStr">
        <is>
          <t>ALT DuPont</t>
        </is>
      </c>
      <c r="H313" t="inlineStr">
        <is>
          <t>C48</t>
        </is>
      </c>
      <c r="I313">
        <f>IF('Condensed Financials'!C44=0,NA(),C46/'Condensed Financials'!C44)</f>
        <v/>
      </c>
      <c r="J313" t="n">
        <v>0.07896213238585351</v>
      </c>
      <c r="K313" t="n">
        <v>0.01</v>
      </c>
      <c r="L313" t="inlineStr">
        <is>
          <t>revenue_link__20220831,average_ppe__20220831</t>
        </is>
      </c>
      <c r="M313" t="inlineStr">
        <is>
          <t>PP&amp;E Intensity = Average PP&amp;E / Revenue.|When defined, PP&amp;E Turnover × PP&amp;E Intensity = 1.|A higher intensity is not automatically bad; diagnose the asset mix first.</t>
        </is>
      </c>
      <c r="O313" t="inlineStr">
        <is>
          <t>pending</t>
        </is>
      </c>
      <c r="P313" t="inlineStr">
        <is>
          <t>ppe_intensity</t>
        </is>
      </c>
      <c r="Q313" t="n">
        <v>83</v>
      </c>
      <c r="R313" t="n">
        <v>1</v>
      </c>
      <c r="S313" t="inlineStr">
        <is>
          <t>2022-08-31</t>
        </is>
      </c>
    </row>
    <row r="314">
      <c r="A314" t="inlineStr">
        <is>
          <t>ppe_intensity__20230831</t>
        </is>
      </c>
      <c r="B314" t="n">
        <v>313</v>
      </c>
      <c r="C314" t="inlineStr">
        <is>
          <t>PP&amp;E Intensity</t>
        </is>
      </c>
      <c r="D314" t="inlineStr">
        <is>
          <t>Average PP&amp;E divided by Revenue.</t>
        </is>
      </c>
      <c r="E314" t="inlineStr">
        <is>
          <t>fixed_asset.ppe_intensity.2023-08-31</t>
        </is>
      </c>
      <c r="F314" t="inlineStr">
        <is>
          <t>fixed_asset</t>
        </is>
      </c>
      <c r="G314" t="inlineStr">
        <is>
          <t>ALT DuPont</t>
        </is>
      </c>
      <c r="H314" t="inlineStr">
        <is>
          <t>D48</t>
        </is>
      </c>
      <c r="I314">
        <f>IF('Condensed Financials'!D44=0,NA(),D46/'Condensed Financials'!D44)</f>
        <v/>
      </c>
      <c r="J314" t="n">
        <v>0.07538304831601156</v>
      </c>
      <c r="K314" t="n">
        <v>0.01</v>
      </c>
      <c r="L314" t="inlineStr">
        <is>
          <t>revenue_link__20230831,average_ppe__20230831</t>
        </is>
      </c>
      <c r="M314" t="inlineStr">
        <is>
          <t>PP&amp;E Intensity = Average PP&amp;E / Revenue.|When defined, PP&amp;E Turnover × PP&amp;E Intensity = 1.|A higher intensity is not automatically bad; diagnose the asset mix first.</t>
        </is>
      </c>
      <c r="O314" t="inlineStr">
        <is>
          <t>pending</t>
        </is>
      </c>
      <c r="P314" t="inlineStr">
        <is>
          <t>ppe_intensity</t>
        </is>
      </c>
      <c r="Q314" t="n">
        <v>83</v>
      </c>
      <c r="R314" t="n">
        <v>2</v>
      </c>
      <c r="S314" t="inlineStr">
        <is>
          <t>2023-08-31</t>
        </is>
      </c>
    </row>
    <row r="315">
      <c r="A315" t="inlineStr">
        <is>
          <t>ppe_intensity__20240831</t>
        </is>
      </c>
      <c r="B315" t="n">
        <v>314</v>
      </c>
      <c r="C315" t="inlineStr">
        <is>
          <t>PP&amp;E Intensity</t>
        </is>
      </c>
      <c r="D315" t="inlineStr">
        <is>
          <t>Average PP&amp;E divided by Revenue.</t>
        </is>
      </c>
      <c r="E315" t="inlineStr">
        <is>
          <t>fixed_asset.ppe_intensity.2024-08-31</t>
        </is>
      </c>
      <c r="F315" t="inlineStr">
        <is>
          <t>fixed_asset</t>
        </is>
      </c>
      <c r="G315" t="inlineStr">
        <is>
          <t>ALT DuPont</t>
        </is>
      </c>
      <c r="H315" t="inlineStr">
        <is>
          <t>E48</t>
        </is>
      </c>
      <c r="I315">
        <f>IF('Condensed Financials'!E44=0,NA(),E46/'Condensed Financials'!E44)</f>
        <v/>
      </c>
      <c r="J315" t="n">
        <v>0.07532920553792147</v>
      </c>
      <c r="K315" t="n">
        <v>0.01</v>
      </c>
      <c r="L315" t="inlineStr">
        <is>
          <t>revenue_link__20240831,average_ppe__20240831</t>
        </is>
      </c>
      <c r="M315" t="inlineStr">
        <is>
          <t>PP&amp;E Intensity = Average PP&amp;E / Revenue.|When defined, PP&amp;E Turnover × PP&amp;E Intensity = 1.|A higher intensity is not automatically bad; diagnose the asset mix first.</t>
        </is>
      </c>
      <c r="O315" t="inlineStr">
        <is>
          <t>pending</t>
        </is>
      </c>
      <c r="P315" t="inlineStr">
        <is>
          <t>ppe_intensity</t>
        </is>
      </c>
      <c r="Q315" t="n">
        <v>83</v>
      </c>
      <c r="R315" t="n">
        <v>3</v>
      </c>
      <c r="S315" t="inlineStr">
        <is>
          <t>2024-08-31</t>
        </is>
      </c>
    </row>
    <row r="316">
      <c r="A316" t="inlineStr">
        <is>
          <t>ppe_intensity__20250831</t>
        </is>
      </c>
      <c r="B316" t="n">
        <v>315</v>
      </c>
      <c r="C316" t="inlineStr">
        <is>
          <t>PP&amp;E Intensity</t>
        </is>
      </c>
      <c r="D316" t="inlineStr">
        <is>
          <t>Average PP&amp;E divided by Revenue.</t>
        </is>
      </c>
      <c r="E316" t="inlineStr">
        <is>
          <t>fixed_asset.ppe_intensity.2025-08-31</t>
        </is>
      </c>
      <c r="F316" t="inlineStr">
        <is>
          <t>fixed_asset</t>
        </is>
      </c>
      <c r="G316" t="inlineStr">
        <is>
          <t>ALT DuPont</t>
        </is>
      </c>
      <c r="H316" t="inlineStr">
        <is>
          <t>F48</t>
        </is>
      </c>
      <c r="I316">
        <f>IF('Condensed Financials'!F44=0,NA(),F46/'Condensed Financials'!F44)</f>
        <v/>
      </c>
      <c r="J316" t="n">
        <v>0.08500020143865428</v>
      </c>
      <c r="K316" t="n">
        <v>0.01</v>
      </c>
      <c r="L316" t="inlineStr">
        <is>
          <t>revenue_link__20250831,average_ppe__20250831</t>
        </is>
      </c>
      <c r="M316" t="inlineStr">
        <is>
          <t>PP&amp;E Intensity = Average PP&amp;E / Revenue.|When defined, PP&amp;E Turnover × PP&amp;E Intensity = 1.|A higher intensity is not automatically bad; diagnose the asset mix first.</t>
        </is>
      </c>
      <c r="O316" t="inlineStr">
        <is>
          <t>pending</t>
        </is>
      </c>
      <c r="P316" t="inlineStr">
        <is>
          <t>ppe_intensity</t>
        </is>
      </c>
      <c r="Q316" t="n">
        <v>83</v>
      </c>
      <c r="R316" t="n">
        <v>4</v>
      </c>
      <c r="S316" t="inlineStr">
        <is>
          <t>2025-08-31</t>
        </is>
      </c>
    </row>
    <row r="317">
      <c r="A317" t="inlineStr">
        <is>
          <t>ppe_change__20220831</t>
        </is>
      </c>
      <c r="B317" t="n">
        <v>316</v>
      </c>
      <c r="C317" t="inlineStr">
        <is>
          <t>Change in PP&amp;E</t>
        </is>
      </c>
      <c r="D317" t="inlineStr">
        <is>
          <t>Current PP&amp;E minus prior PP&amp;E.</t>
        </is>
      </c>
      <c r="E317" t="inlineStr">
        <is>
          <t>fixed_asset.ppe_change.2022-08-31</t>
        </is>
      </c>
      <c r="F317" t="inlineStr">
        <is>
          <t>fixed_asset</t>
        </is>
      </c>
      <c r="G317" t="inlineStr">
        <is>
          <t>ALT DuPont</t>
        </is>
      </c>
      <c r="H317" t="inlineStr">
        <is>
          <t>C49</t>
        </is>
      </c>
      <c r="I317">
        <f>C44-B44</f>
        <v/>
      </c>
      <c r="J317" t="n">
        <v>27049</v>
      </c>
      <c r="K317" t="n">
        <v>0.01</v>
      </c>
      <c r="L317" t="inlineStr">
        <is>
          <t>ppe_source_link__20220831,ppe_source_link__20210831</t>
        </is>
      </c>
      <c r="M317" t="inlineStr">
        <is>
          <t>Change in PP&amp;E = Current PP&amp;E − Prior PP&amp;E.|This is not a capex amount; do not infer purchases of PP&amp;E from the change alone.</t>
        </is>
      </c>
      <c r="O317" t="inlineStr">
        <is>
          <t>pending</t>
        </is>
      </c>
      <c r="P317" t="inlineStr">
        <is>
          <t>ppe_change</t>
        </is>
      </c>
      <c r="Q317" t="n">
        <v>84</v>
      </c>
      <c r="R317" t="n">
        <v>1</v>
      </c>
      <c r="S317" t="inlineStr">
        <is>
          <t>2022-08-31</t>
        </is>
      </c>
    </row>
    <row r="318">
      <c r="A318" t="inlineStr">
        <is>
          <t>ppe_change__20230831</t>
        </is>
      </c>
      <c r="B318" t="n">
        <v>317</v>
      </c>
      <c r="C318" t="inlineStr">
        <is>
          <t>Change in PP&amp;E</t>
        </is>
      </c>
      <c r="D318" t="inlineStr">
        <is>
          <t>Current PP&amp;E minus prior PP&amp;E.</t>
        </is>
      </c>
      <c r="E318" t="inlineStr">
        <is>
          <t>fixed_asset.ppe_change.2023-08-31</t>
        </is>
      </c>
      <c r="F318" t="inlineStr">
        <is>
          <t>fixed_asset</t>
        </is>
      </c>
      <c r="G318" t="inlineStr">
        <is>
          <t>ALT DuPont</t>
        </is>
      </c>
      <c r="H318" t="inlineStr">
        <is>
          <t>D49</t>
        </is>
      </c>
      <c r="I318">
        <f>D44-C44</f>
        <v/>
      </c>
      <c r="J318" t="n">
        <v>26651</v>
      </c>
      <c r="K318" t="n">
        <v>0.01</v>
      </c>
      <c r="L318" t="inlineStr">
        <is>
          <t>ppe_source_link__20230831,ppe_source_link__20220831</t>
        </is>
      </c>
      <c r="M318" t="inlineStr">
        <is>
          <t>Change in PP&amp;E = Current PP&amp;E − Prior PP&amp;E.|This is not a capex amount; do not infer purchases of PP&amp;E from the change alone.</t>
        </is>
      </c>
      <c r="O318" t="inlineStr">
        <is>
          <t>pending</t>
        </is>
      </c>
      <c r="P318" t="inlineStr">
        <is>
          <t>ppe_change</t>
        </is>
      </c>
      <c r="Q318" t="n">
        <v>84</v>
      </c>
      <c r="R318" t="n">
        <v>2</v>
      </c>
      <c r="S318" t="inlineStr">
        <is>
          <t>2023-08-31</t>
        </is>
      </c>
    </row>
    <row r="319">
      <c r="A319" t="inlineStr">
        <is>
          <t>ppe_change__20240831</t>
        </is>
      </c>
      <c r="B319" t="n">
        <v>318</v>
      </c>
      <c r="C319" t="inlineStr">
        <is>
          <t>Change in PP&amp;E</t>
        </is>
      </c>
      <c r="D319" t="inlineStr">
        <is>
          <t>Current PP&amp;E minus prior PP&amp;E.</t>
        </is>
      </c>
      <c r="E319" t="inlineStr">
        <is>
          <t>fixed_asset.ppe_change.2024-08-31</t>
        </is>
      </c>
      <c r="F319" t="inlineStr">
        <is>
          <t>fixed_asset</t>
        </is>
      </c>
      <c r="G319" t="inlineStr">
        <is>
          <t>ALT DuPont</t>
        </is>
      </c>
      <c r="H319" t="inlineStr">
        <is>
          <t>E49</t>
        </is>
      </c>
      <c r="I319">
        <f>E44-D44</f>
        <v/>
      </c>
      <c r="J319" t="n">
        <v>23865</v>
      </c>
      <c r="K319" t="n">
        <v>0.01</v>
      </c>
      <c r="L319" t="inlineStr">
        <is>
          <t>ppe_source_link__20240831,ppe_source_link__20230831</t>
        </is>
      </c>
      <c r="M319" t="inlineStr">
        <is>
          <t>Change in PP&amp;E = Current PP&amp;E − Prior PP&amp;E.|This is not a capex amount; do not infer purchases of PP&amp;E from the change alone.</t>
        </is>
      </c>
      <c r="O319" t="inlineStr">
        <is>
          <t>pending</t>
        </is>
      </c>
      <c r="P319" t="inlineStr">
        <is>
          <t>ppe_change</t>
        </is>
      </c>
      <c r="Q319" t="n">
        <v>84</v>
      </c>
      <c r="R319" t="n">
        <v>3</v>
      </c>
      <c r="S319" t="inlineStr">
        <is>
          <t>2024-08-31</t>
        </is>
      </c>
    </row>
    <row r="320">
      <c r="A320" t="inlineStr">
        <is>
          <t>ppe_change__20250831</t>
        </is>
      </c>
      <c r="B320" t="n">
        <v>319</v>
      </c>
      <c r="C320" t="inlineStr">
        <is>
          <t>Change in PP&amp;E</t>
        </is>
      </c>
      <c r="D320" t="inlineStr">
        <is>
          <t>Current PP&amp;E minus prior PP&amp;E.</t>
        </is>
      </c>
      <c r="E320" t="inlineStr">
        <is>
          <t>fixed_asset.ppe_change.2025-08-31</t>
        </is>
      </c>
      <c r="F320" t="inlineStr">
        <is>
          <t>fixed_asset</t>
        </is>
      </c>
      <c r="G320" t="inlineStr">
        <is>
          <t>ALT DuPont</t>
        </is>
      </c>
      <c r="H320" t="inlineStr">
        <is>
          <t>F49</t>
        </is>
      </c>
      <c r="I320">
        <f>F44-E44</f>
        <v/>
      </c>
      <c r="J320" t="n">
        <v>86609</v>
      </c>
      <c r="K320" t="n">
        <v>0.01</v>
      </c>
      <c r="L320" t="inlineStr">
        <is>
          <t>ppe_source_link__20250831,ppe_source_link__20240831</t>
        </is>
      </c>
      <c r="M320" t="inlineStr">
        <is>
          <t>Change in PP&amp;E = Current PP&amp;E − Prior PP&amp;E.|This is not a capex amount; do not infer purchases of PP&amp;E from the change alone.</t>
        </is>
      </c>
      <c r="O320" t="inlineStr">
        <is>
          <t>pending</t>
        </is>
      </c>
      <c r="P320" t="inlineStr">
        <is>
          <t>ppe_change</t>
        </is>
      </c>
      <c r="Q320" t="n">
        <v>84</v>
      </c>
      <c r="R320" t="n">
        <v>4</v>
      </c>
      <c r="S320" t="inlineStr">
        <is>
          <t>2025-08-31</t>
        </is>
      </c>
    </row>
    <row r="321">
      <c r="A321" t="inlineStr">
        <is>
          <t>da_to_revenue__20210831</t>
        </is>
      </c>
      <c r="B321" t="n">
        <v>320</v>
      </c>
      <c r="C321" t="inlineStr">
        <is>
          <t>D&amp;A / Revenue</t>
        </is>
      </c>
      <c r="D321" t="inlineStr">
        <is>
          <t>Combined D&amp;A divided by Revenue.</t>
        </is>
      </c>
      <c r="E321" t="inlineStr">
        <is>
          <t>fixed_asset.da_to_revenue.2021-08-31</t>
        </is>
      </c>
      <c r="F321" t="inlineStr">
        <is>
          <t>fixed_asset</t>
        </is>
      </c>
      <c r="G321" t="inlineStr">
        <is>
          <t>ALT DuPont</t>
        </is>
      </c>
      <c r="H321" t="inlineStr">
        <is>
          <t>B50</t>
        </is>
      </c>
      <c r="I321">
        <f>IF('Condensed Financials'!B44=0,NA(),B45/'Condensed Financials'!B44)</f>
        <v/>
      </c>
      <c r="J321" t="n">
        <v>0.08340865788526164</v>
      </c>
      <c r="K321" t="n">
        <v>0.01</v>
      </c>
      <c r="L321" t="inlineStr">
        <is>
          <t>da_source_link__20210831,revenue_link__20210831</t>
        </is>
      </c>
      <c r="M321" t="inlineStr">
        <is>
          <t>D&amp;A / Revenue = Depreciation &amp; Amortisation / Revenue.|A zero Revenue denominator makes the ratio undefined (#N/A).</t>
        </is>
      </c>
      <c r="O321" t="inlineStr">
        <is>
          <t>pending</t>
        </is>
      </c>
      <c r="P321" t="inlineStr">
        <is>
          <t>da_to_revenue</t>
        </is>
      </c>
      <c r="Q321" t="n">
        <v>85</v>
      </c>
      <c r="R321" t="n">
        <v>0</v>
      </c>
      <c r="S321" t="inlineStr">
        <is>
          <t>2021-08-31</t>
        </is>
      </c>
    </row>
    <row r="322">
      <c r="A322" t="inlineStr">
        <is>
          <t>da_to_revenue__20220831</t>
        </is>
      </c>
      <c r="B322" t="n">
        <v>321</v>
      </c>
      <c r="C322" t="inlineStr">
        <is>
          <t>D&amp;A / Revenue</t>
        </is>
      </c>
      <c r="D322" t="inlineStr">
        <is>
          <t>Combined D&amp;A divided by Revenue.</t>
        </is>
      </c>
      <c r="E322" t="inlineStr">
        <is>
          <t>fixed_asset.da_to_revenue.2022-08-31</t>
        </is>
      </c>
      <c r="F322" t="inlineStr">
        <is>
          <t>fixed_asset</t>
        </is>
      </c>
      <c r="G322" t="inlineStr">
        <is>
          <t>ALT DuPont</t>
        </is>
      </c>
      <c r="H322" t="inlineStr">
        <is>
          <t>C50</t>
        </is>
      </c>
      <c r="I322">
        <f>IF('Condensed Financials'!C44=0,NA(),C45/'Condensed Financials'!C44)</f>
        <v/>
      </c>
      <c r="J322" t="n">
        <v>0.0783422174052484</v>
      </c>
      <c r="K322" t="n">
        <v>0.01</v>
      </c>
      <c r="L322" t="inlineStr">
        <is>
          <t>da_source_link__20220831,revenue_link__20220831</t>
        </is>
      </c>
      <c r="M322" t="inlineStr">
        <is>
          <t>D&amp;A / Revenue = Depreciation &amp; Amortisation / Revenue.|A zero Revenue denominator makes the ratio undefined (#N/A).</t>
        </is>
      </c>
      <c r="O322" t="inlineStr">
        <is>
          <t>pending</t>
        </is>
      </c>
      <c r="P322" t="inlineStr">
        <is>
          <t>da_to_revenue</t>
        </is>
      </c>
      <c r="Q322" t="n">
        <v>85</v>
      </c>
      <c r="R322" t="n">
        <v>1</v>
      </c>
      <c r="S322" t="inlineStr">
        <is>
          <t>2022-08-31</t>
        </is>
      </c>
    </row>
    <row r="323">
      <c r="A323" t="inlineStr">
        <is>
          <t>da_to_revenue__20230831</t>
        </is>
      </c>
      <c r="B323" t="n">
        <v>322</v>
      </c>
      <c r="C323" t="inlineStr">
        <is>
          <t>D&amp;A / Revenue</t>
        </is>
      </c>
      <c r="D323" t="inlineStr">
        <is>
          <t>Combined D&amp;A divided by Revenue.</t>
        </is>
      </c>
      <c r="E323" t="inlineStr">
        <is>
          <t>fixed_asset.da_to_revenue.2023-08-31</t>
        </is>
      </c>
      <c r="F323" t="inlineStr">
        <is>
          <t>fixed_asset</t>
        </is>
      </c>
      <c r="G323" t="inlineStr">
        <is>
          <t>ALT DuPont</t>
        </is>
      </c>
      <c r="H323" t="inlineStr">
        <is>
          <t>D50</t>
        </is>
      </c>
      <c r="I323">
        <f>IF('Condensed Financials'!D44=0,NA(),D45/'Condensed Financials'!D44)</f>
        <v/>
      </c>
      <c r="J323" t="n">
        <v>0.06754677384199928</v>
      </c>
      <c r="K323" t="n">
        <v>0.01</v>
      </c>
      <c r="L323" t="inlineStr">
        <is>
          <t>da_source_link__20230831,revenue_link__20230831</t>
        </is>
      </c>
      <c r="M323" t="inlineStr">
        <is>
          <t>D&amp;A / Revenue = Depreciation &amp; Amortisation / Revenue.|A zero Revenue denominator makes the ratio undefined (#N/A).</t>
        </is>
      </c>
      <c r="O323" t="inlineStr">
        <is>
          <t>pending</t>
        </is>
      </c>
      <c r="P323" t="inlineStr">
        <is>
          <t>da_to_revenue</t>
        </is>
      </c>
      <c r="Q323" t="n">
        <v>85</v>
      </c>
      <c r="R323" t="n">
        <v>2</v>
      </c>
      <c r="S323" t="inlineStr">
        <is>
          <t>2023-08-31</t>
        </is>
      </c>
    </row>
    <row r="324">
      <c r="A324" t="inlineStr">
        <is>
          <t>da_to_revenue__20240831</t>
        </is>
      </c>
      <c r="B324" t="n">
        <v>323</v>
      </c>
      <c r="C324" t="inlineStr">
        <is>
          <t>D&amp;A / Revenue</t>
        </is>
      </c>
      <c r="D324" t="inlineStr">
        <is>
          <t>Combined D&amp;A divided by Revenue.</t>
        </is>
      </c>
      <c r="E324" t="inlineStr">
        <is>
          <t>fixed_asset.da_to_revenue.2024-08-31</t>
        </is>
      </c>
      <c r="F324" t="inlineStr">
        <is>
          <t>fixed_asset</t>
        </is>
      </c>
      <c r="G324" t="inlineStr">
        <is>
          <t>ALT DuPont</t>
        </is>
      </c>
      <c r="H324" t="inlineStr">
        <is>
          <t>E50</t>
        </is>
      </c>
      <c r="I324">
        <f>IF('Condensed Financials'!E44=0,NA(),E45/'Condensed Financials'!E44)</f>
        <v/>
      </c>
      <c r="J324" t="n">
        <v>0.0658501286794792</v>
      </c>
      <c r="K324" t="n">
        <v>0.01</v>
      </c>
      <c r="L324" t="inlineStr">
        <is>
          <t>da_source_link__20240831,revenue_link__20240831</t>
        </is>
      </c>
      <c r="M324" t="inlineStr">
        <is>
          <t>D&amp;A / Revenue = Depreciation &amp; Amortisation / Revenue.|A zero Revenue denominator makes the ratio undefined (#N/A).</t>
        </is>
      </c>
      <c r="O324" t="inlineStr">
        <is>
          <t>pending</t>
        </is>
      </c>
      <c r="P324" t="inlineStr">
        <is>
          <t>da_to_revenue</t>
        </is>
      </c>
      <c r="Q324" t="n">
        <v>85</v>
      </c>
      <c r="R324" t="n">
        <v>3</v>
      </c>
      <c r="S324" t="inlineStr">
        <is>
          <t>2024-08-31</t>
        </is>
      </c>
    </row>
    <row r="325">
      <c r="A325" t="inlineStr">
        <is>
          <t>da_to_revenue__20250831</t>
        </is>
      </c>
      <c r="B325" t="n">
        <v>324</v>
      </c>
      <c r="C325" t="inlineStr">
        <is>
          <t>D&amp;A / Revenue</t>
        </is>
      </c>
      <c r="D325" t="inlineStr">
        <is>
          <t>Combined D&amp;A divided by Revenue.</t>
        </is>
      </c>
      <c r="E325" t="inlineStr">
        <is>
          <t>fixed_asset.da_to_revenue.2025-08-31</t>
        </is>
      </c>
      <c r="F325" t="inlineStr">
        <is>
          <t>fixed_asset</t>
        </is>
      </c>
      <c r="G325" t="inlineStr">
        <is>
          <t>ALT DuPont</t>
        </is>
      </c>
      <c r="H325" t="inlineStr">
        <is>
          <t>F50</t>
        </is>
      </c>
      <c r="I325">
        <f>IF('Condensed Financials'!F44=0,NA(),F45/'Condensed Financials'!F44)</f>
        <v/>
      </c>
      <c r="J325" t="n">
        <v>0.06366402502662077</v>
      </c>
      <c r="K325" t="n">
        <v>0.01</v>
      </c>
      <c r="L325" t="inlineStr">
        <is>
          <t>da_source_link__20250831,revenue_link__20250831</t>
        </is>
      </c>
      <c r="M325" t="inlineStr">
        <is>
          <t>D&amp;A / Revenue = Depreciation &amp; Amortisation / Revenue.|A zero Revenue denominator makes the ratio undefined (#N/A).</t>
        </is>
      </c>
      <c r="O325" t="inlineStr">
        <is>
          <t>pending</t>
        </is>
      </c>
      <c r="P325" t="inlineStr">
        <is>
          <t>da_to_revenue</t>
        </is>
      </c>
      <c r="Q325" t="n">
        <v>85</v>
      </c>
      <c r="R325" t="n">
        <v>4</v>
      </c>
      <c r="S325" t="inlineStr">
        <is>
          <t>2025-08-31</t>
        </is>
      </c>
    </row>
    <row r="326">
      <c r="A326" t="inlineStr">
        <is>
          <t>da_to_average_ppe__20220831</t>
        </is>
      </c>
      <c r="B326" t="n">
        <v>325</v>
      </c>
      <c r="C326" t="inlineStr">
        <is>
          <t>D&amp;A / Average PP&amp;E</t>
        </is>
      </c>
      <c r="D326" t="inlineStr">
        <is>
          <t>Combined D&amp;A divided by Average PP&amp;E (context ratio only).</t>
        </is>
      </c>
      <c r="E326" t="inlineStr">
        <is>
          <t>fixed_asset.da_to_average_ppe.2022-08-31</t>
        </is>
      </c>
      <c r="F326" t="inlineStr">
        <is>
          <t>fixed_asset</t>
        </is>
      </c>
      <c r="G326" t="inlineStr">
        <is>
          <t>ALT DuPont</t>
        </is>
      </c>
      <c r="H326" t="inlineStr">
        <is>
          <t>C51</t>
        </is>
      </c>
      <c r="I326">
        <f>IF(C46=0,NA(),C45/C46)</f>
        <v/>
      </c>
      <c r="J326" t="n">
        <v>0.9921492117566448</v>
      </c>
      <c r="K326" t="n">
        <v>0.01</v>
      </c>
      <c r="L326" t="inlineStr">
        <is>
          <t>da_source_link__20220831,average_ppe__20220831</t>
        </is>
      </c>
      <c r="M326" t="inlineStr">
        <is>
          <t>D&amp;A / Average PP&amp;E = Depreciation &amp; Amortisation / Average PP&amp;E.|This is a context ratio, not automatically a pure PP&amp;E depreciation rate, because the supplied D&amp;A line may include intangible amortisation.|Do not treat the ratio as a good/bad investment conclusion by itself.</t>
        </is>
      </c>
      <c r="O326" t="inlineStr">
        <is>
          <t>pending</t>
        </is>
      </c>
      <c r="P326" t="inlineStr">
        <is>
          <t>da_to_average_ppe</t>
        </is>
      </c>
      <c r="Q326" t="n">
        <v>86</v>
      </c>
      <c r="R326" t="n">
        <v>1</v>
      </c>
      <c r="S326" t="inlineStr">
        <is>
          <t>2022-08-31</t>
        </is>
      </c>
    </row>
    <row r="327">
      <c r="A327" t="inlineStr">
        <is>
          <t>da_to_average_ppe__20230831</t>
        </is>
      </c>
      <c r="B327" t="n">
        <v>326</v>
      </c>
      <c r="C327" t="inlineStr">
        <is>
          <t>D&amp;A / Average PP&amp;E</t>
        </is>
      </c>
      <c r="D327" t="inlineStr">
        <is>
          <t>Combined D&amp;A divided by Average PP&amp;E (context ratio only).</t>
        </is>
      </c>
      <c r="E327" t="inlineStr">
        <is>
          <t>fixed_asset.da_to_average_ppe.2023-08-31</t>
        </is>
      </c>
      <c r="F327" t="inlineStr">
        <is>
          <t>fixed_asset</t>
        </is>
      </c>
      <c r="G327" t="inlineStr">
        <is>
          <t>ALT DuPont</t>
        </is>
      </c>
      <c r="H327" t="inlineStr">
        <is>
          <t>D51</t>
        </is>
      </c>
      <c r="I327">
        <f>IF(D46=0,NA(),D45/D46)</f>
        <v/>
      </c>
      <c r="J327" t="n">
        <v>0.8960472593100505</v>
      </c>
      <c r="K327" t="n">
        <v>0.01</v>
      </c>
      <c r="L327" t="inlineStr">
        <is>
          <t>da_source_link__20230831,average_ppe__20230831</t>
        </is>
      </c>
      <c r="M327" t="inlineStr">
        <is>
          <t>D&amp;A / Average PP&amp;E = Depreciation &amp; Amortisation / Average PP&amp;E.|This is a context ratio, not automatically a pure PP&amp;E depreciation rate, because the supplied D&amp;A line may include intangible amortisation.|Do not treat the ratio as a good/bad investment conclusion by itself.</t>
        </is>
      </c>
      <c r="O327" t="inlineStr">
        <is>
          <t>pending</t>
        </is>
      </c>
      <c r="P327" t="inlineStr">
        <is>
          <t>da_to_average_ppe</t>
        </is>
      </c>
      <c r="Q327" t="n">
        <v>86</v>
      </c>
      <c r="R327" t="n">
        <v>2</v>
      </c>
      <c r="S327" t="inlineStr">
        <is>
          <t>2023-08-31</t>
        </is>
      </c>
    </row>
    <row r="328">
      <c r="A328" t="inlineStr">
        <is>
          <t>da_to_average_ppe__20240831</t>
        </is>
      </c>
      <c r="B328" t="n">
        <v>327</v>
      </c>
      <c r="C328" t="inlineStr">
        <is>
          <t>D&amp;A / Average PP&amp;E</t>
        </is>
      </c>
      <c r="D328" t="inlineStr">
        <is>
          <t>Combined D&amp;A divided by Average PP&amp;E (context ratio only).</t>
        </is>
      </c>
      <c r="E328" t="inlineStr">
        <is>
          <t>fixed_asset.da_to_average_ppe.2024-08-31</t>
        </is>
      </c>
      <c r="F328" t="inlineStr">
        <is>
          <t>fixed_asset</t>
        </is>
      </c>
      <c r="G328" t="inlineStr">
        <is>
          <t>ALT DuPont</t>
        </is>
      </c>
      <c r="H328" t="inlineStr">
        <is>
          <t>E51</t>
        </is>
      </c>
      <c r="I328">
        <f>IF(E46=0,NA(),E45/E46)</f>
        <v/>
      </c>
      <c r="J328" t="n">
        <v>0.8741646511369299</v>
      </c>
      <c r="K328" t="n">
        <v>0.01</v>
      </c>
      <c r="L328" t="inlineStr">
        <is>
          <t>da_source_link__20240831,average_ppe__20240831</t>
        </is>
      </c>
      <c r="M328" t="inlineStr">
        <is>
          <t>D&amp;A / Average PP&amp;E = Depreciation &amp; Amortisation / Average PP&amp;E.|This is a context ratio, not automatically a pure PP&amp;E depreciation rate, because the supplied D&amp;A line may include intangible amortisation.|Do not treat the ratio as a good/bad investment conclusion by itself.</t>
        </is>
      </c>
      <c r="O328" t="inlineStr">
        <is>
          <t>pending</t>
        </is>
      </c>
      <c r="P328" t="inlineStr">
        <is>
          <t>da_to_average_ppe</t>
        </is>
      </c>
      <c r="Q328" t="n">
        <v>86</v>
      </c>
      <c r="R328" t="n">
        <v>3</v>
      </c>
      <c r="S328" t="inlineStr">
        <is>
          <t>2024-08-31</t>
        </is>
      </c>
    </row>
    <row r="329">
      <c r="A329" t="inlineStr">
        <is>
          <t>da_to_average_ppe__20250831</t>
        </is>
      </c>
      <c r="B329" t="n">
        <v>328</v>
      </c>
      <c r="C329" t="inlineStr">
        <is>
          <t>D&amp;A / Average PP&amp;E</t>
        </is>
      </c>
      <c r="D329" t="inlineStr">
        <is>
          <t>Combined D&amp;A divided by Average PP&amp;E (context ratio only).</t>
        </is>
      </c>
      <c r="E329" t="inlineStr">
        <is>
          <t>fixed_asset.da_to_average_ppe.2025-08-31</t>
        </is>
      </c>
      <c r="F329" t="inlineStr">
        <is>
          <t>fixed_asset</t>
        </is>
      </c>
      <c r="G329" t="inlineStr">
        <is>
          <t>ALT DuPont</t>
        </is>
      </c>
      <c r="H329" t="inlineStr">
        <is>
          <t>F51</t>
        </is>
      </c>
      <c r="I329">
        <f>IF(F46=0,NA(),F45/F46)</f>
        <v/>
      </c>
      <c r="J329" t="n">
        <v>0.7489867547263157</v>
      </c>
      <c r="K329" t="n">
        <v>0.01</v>
      </c>
      <c r="L329" t="inlineStr">
        <is>
          <t>da_source_link__20250831,average_ppe__20250831</t>
        </is>
      </c>
      <c r="M329" t="inlineStr">
        <is>
          <t>D&amp;A / Average PP&amp;E = Depreciation &amp; Amortisation / Average PP&amp;E.|This is a context ratio, not automatically a pure PP&amp;E depreciation rate, because the supplied D&amp;A line may include intangible amortisation.|Do not treat the ratio as a good/bad investment conclusion by itself.</t>
        </is>
      </c>
      <c r="O329" t="inlineStr">
        <is>
          <t>pending</t>
        </is>
      </c>
      <c r="P329" t="inlineStr">
        <is>
          <t>da_to_average_ppe</t>
        </is>
      </c>
      <c r="Q329" t="n">
        <v>86</v>
      </c>
      <c r="R329" t="n">
        <v>4</v>
      </c>
      <c r="S329" t="inlineStr">
        <is>
          <t>2025-08-31</t>
        </is>
      </c>
    </row>
    <row r="330">
      <c r="A330" t="inlineStr">
        <is>
          <t>lease_liability_source_link__20210831</t>
        </is>
      </c>
      <c r="B330" t="n">
        <v>329</v>
      </c>
      <c r="C330" t="inlineStr">
        <is>
          <t>Lease Liability</t>
        </is>
      </c>
      <c r="D330" t="inlineStr">
        <is>
          <t>Link the reported aggregate lease-liability balance.</t>
        </is>
      </c>
      <c r="E330" t="inlineStr">
        <is>
          <t>lease_liability.lease_liability.2021-08-31</t>
        </is>
      </c>
      <c r="F330" t="inlineStr">
        <is>
          <t>lease_liability</t>
        </is>
      </c>
      <c r="G330" t="inlineStr">
        <is>
          <t>ALT DuPont</t>
        </is>
      </c>
      <c r="H330" t="inlineStr">
        <is>
          <t>B55</t>
        </is>
      </c>
      <c r="I330">
        <f>'Balance Sheet'!B18+'Balance Sheet'!B47</f>
        <v/>
      </c>
      <c r="J330" t="n">
        <v>460657</v>
      </c>
      <c r="K330" t="n">
        <v>0.01</v>
      </c>
      <c r="M330" t="inlineStr">
        <is>
          <t>Pull the reported aggregate lease-liability balance for the same fiscal period.|Classification as operating vs financial liability is a separate Accounting Judgment.|This is not an ROU asset, lease payment, commitment, or amortization schedule.</t>
        </is>
      </c>
      <c r="O330" t="inlineStr">
        <is>
          <t>pending</t>
        </is>
      </c>
      <c r="P330" t="inlineStr">
        <is>
          <t>lease_liability_source_link</t>
        </is>
      </c>
      <c r="Q330" t="n">
        <v>87</v>
      </c>
      <c r="R330" t="n">
        <v>0</v>
      </c>
      <c r="S330" t="inlineStr">
        <is>
          <t>2021-08-31</t>
        </is>
      </c>
    </row>
    <row r="331">
      <c r="A331" t="inlineStr">
        <is>
          <t>lease_liability_source_link__20220831</t>
        </is>
      </c>
      <c r="B331" t="n">
        <v>330</v>
      </c>
      <c r="C331" t="inlineStr">
        <is>
          <t>Lease Liability</t>
        </is>
      </c>
      <c r="D331" t="inlineStr">
        <is>
          <t>Link the reported aggregate lease-liability balance.</t>
        </is>
      </c>
      <c r="E331" t="inlineStr">
        <is>
          <t>lease_liability.lease_liability.2022-08-31</t>
        </is>
      </c>
      <c r="F331" t="inlineStr">
        <is>
          <t>lease_liability</t>
        </is>
      </c>
      <c r="G331" t="inlineStr">
        <is>
          <t>ALT DuPont</t>
        </is>
      </c>
      <c r="H331" t="inlineStr">
        <is>
          <t>C55</t>
        </is>
      </c>
      <c r="I331">
        <f>'Balance Sheet'!C18+'Balance Sheet'!C47</f>
        <v/>
      </c>
      <c r="J331" t="n">
        <v>480725</v>
      </c>
      <c r="K331" t="n">
        <v>0.01</v>
      </c>
      <c r="M331" t="inlineStr">
        <is>
          <t>Pull the reported aggregate lease-liability balance for the same fiscal period.|Classification as operating vs financial liability is a separate Accounting Judgment.|This is not an ROU asset, lease payment, commitment, or amortization schedule.</t>
        </is>
      </c>
      <c r="O331" t="inlineStr">
        <is>
          <t>pending</t>
        </is>
      </c>
      <c r="P331" t="inlineStr">
        <is>
          <t>lease_liability_source_link</t>
        </is>
      </c>
      <c r="Q331" t="n">
        <v>87</v>
      </c>
      <c r="R331" t="n">
        <v>1</v>
      </c>
      <c r="S331" t="inlineStr">
        <is>
          <t>2022-08-31</t>
        </is>
      </c>
    </row>
    <row r="332">
      <c r="A332" t="inlineStr">
        <is>
          <t>lease_liability_source_link__20230831</t>
        </is>
      </c>
      <c r="B332" t="n">
        <v>331</v>
      </c>
      <c r="C332" t="inlineStr">
        <is>
          <t>Lease Liability</t>
        </is>
      </c>
      <c r="D332" t="inlineStr">
        <is>
          <t>Link the reported aggregate lease-liability balance.</t>
        </is>
      </c>
      <c r="E332" t="inlineStr">
        <is>
          <t>lease_liability.lease_liability.2023-08-31</t>
        </is>
      </c>
      <c r="F332" t="inlineStr">
        <is>
          <t>lease_liability</t>
        </is>
      </c>
      <c r="G332" t="inlineStr">
        <is>
          <t>ALT DuPont</t>
        </is>
      </c>
      <c r="H332" t="inlineStr">
        <is>
          <t>D55</t>
        </is>
      </c>
      <c r="I332">
        <f>'Balance Sheet'!D18+'Balance Sheet'!D47</f>
        <v/>
      </c>
      <c r="J332" t="n">
        <v>465649</v>
      </c>
      <c r="K332" t="n">
        <v>0.01</v>
      </c>
      <c r="M332" t="inlineStr">
        <is>
          <t>Pull the reported aggregate lease-liability balance for the same fiscal period.|Classification as operating vs financial liability is a separate Accounting Judgment.|This is not an ROU asset, lease payment, commitment, or amortization schedule.</t>
        </is>
      </c>
      <c r="O332" t="inlineStr">
        <is>
          <t>pending</t>
        </is>
      </c>
      <c r="P332" t="inlineStr">
        <is>
          <t>lease_liability_source_link</t>
        </is>
      </c>
      <c r="Q332" t="n">
        <v>87</v>
      </c>
      <c r="R332" t="n">
        <v>2</v>
      </c>
      <c r="S332" t="inlineStr">
        <is>
          <t>2023-08-31</t>
        </is>
      </c>
    </row>
    <row r="333">
      <c r="A333" t="inlineStr">
        <is>
          <t>lease_liability_source_link__20240831</t>
        </is>
      </c>
      <c r="B333" t="n">
        <v>332</v>
      </c>
      <c r="C333" t="inlineStr">
        <is>
          <t>Lease Liability</t>
        </is>
      </c>
      <c r="D333" t="inlineStr">
        <is>
          <t>Link the reported aggregate lease-liability balance.</t>
        </is>
      </c>
      <c r="E333" t="inlineStr">
        <is>
          <t>lease_liability.lease_liability.2024-08-31</t>
        </is>
      </c>
      <c r="F333" t="inlineStr">
        <is>
          <t>lease_liability</t>
        </is>
      </c>
      <c r="G333" t="inlineStr">
        <is>
          <t>ALT DuPont</t>
        </is>
      </c>
      <c r="H333" t="inlineStr">
        <is>
          <t>E55</t>
        </is>
      </c>
      <c r="I333">
        <f>'Balance Sheet'!E18+'Balance Sheet'!E47</f>
        <v/>
      </c>
      <c r="J333" t="n">
        <v>478062</v>
      </c>
      <c r="K333" t="n">
        <v>0.01</v>
      </c>
      <c r="M333" t="inlineStr">
        <is>
          <t>Pull the reported aggregate lease-liability balance for the same fiscal period.|Classification as operating vs financial liability is a separate Accounting Judgment.|This is not an ROU asset, lease payment, commitment, or amortization schedule.</t>
        </is>
      </c>
      <c r="O333" t="inlineStr">
        <is>
          <t>pending</t>
        </is>
      </c>
      <c r="P333" t="inlineStr">
        <is>
          <t>lease_liability_source_link</t>
        </is>
      </c>
      <c r="Q333" t="n">
        <v>87</v>
      </c>
      <c r="R333" t="n">
        <v>3</v>
      </c>
      <c r="S333" t="inlineStr">
        <is>
          <t>2024-08-31</t>
        </is>
      </c>
    </row>
    <row r="334">
      <c r="A334" t="inlineStr">
        <is>
          <t>lease_liability_source_link__20250831</t>
        </is>
      </c>
      <c r="B334" t="n">
        <v>333</v>
      </c>
      <c r="C334" t="inlineStr">
        <is>
          <t>Lease Liability</t>
        </is>
      </c>
      <c r="D334" t="inlineStr">
        <is>
          <t>Link the reported aggregate lease-liability balance.</t>
        </is>
      </c>
      <c r="E334" t="inlineStr">
        <is>
          <t>lease_liability.lease_liability.2025-08-31</t>
        </is>
      </c>
      <c r="F334" t="inlineStr">
        <is>
          <t>lease_liability</t>
        </is>
      </c>
      <c r="G334" t="inlineStr">
        <is>
          <t>ALT DuPont</t>
        </is>
      </c>
      <c r="H334" t="inlineStr">
        <is>
          <t>F55</t>
        </is>
      </c>
      <c r="I334">
        <f>'Balance Sheet'!F18+'Balance Sheet'!F47</f>
        <v/>
      </c>
      <c r="J334" t="n">
        <v>513500</v>
      </c>
      <c r="K334" t="n">
        <v>0.01</v>
      </c>
      <c r="M334" t="inlineStr">
        <is>
          <t>Pull the reported aggregate lease-liability balance for the same fiscal period.|Classification as operating vs financial liability is a separate Accounting Judgment.|This is not an ROU asset, lease payment, commitment, or amortization schedule.</t>
        </is>
      </c>
      <c r="O334" t="inlineStr">
        <is>
          <t>pending</t>
        </is>
      </c>
      <c r="P334" t="inlineStr">
        <is>
          <t>lease_liability_source_link</t>
        </is>
      </c>
      <c r="Q334" t="n">
        <v>87</v>
      </c>
      <c r="R334" t="n">
        <v>4</v>
      </c>
      <c r="S334" t="inlineStr">
        <is>
          <t>2025-08-31</t>
        </is>
      </c>
    </row>
    <row r="335">
      <c r="A335" t="inlineStr">
        <is>
          <t>lease_liability_to_revenue__20210831</t>
        </is>
      </c>
      <c r="B335" t="n">
        <v>334</v>
      </c>
      <c r="C335" t="inlineStr">
        <is>
          <t>Lease Liability / Revenue</t>
        </is>
      </c>
      <c r="D335" t="inlineStr">
        <is>
          <t>Reported lease liability divided by Revenue.</t>
        </is>
      </c>
      <c r="E335" t="inlineStr">
        <is>
          <t>lease_liability.lease_liability_to_revenue.2021-08-31</t>
        </is>
      </c>
      <c r="F335" t="inlineStr">
        <is>
          <t>lease_liability</t>
        </is>
      </c>
      <c r="G335" t="inlineStr">
        <is>
          <t>ALT DuPont</t>
        </is>
      </c>
      <c r="H335" t="inlineStr">
        <is>
          <t>B56</t>
        </is>
      </c>
      <c r="I335">
        <f>IF('Condensed Financials'!B44=0,NA(),B55/'Condensed Financials'!B44)</f>
        <v/>
      </c>
      <c r="J335" t="n">
        <v>0.2159675235537686</v>
      </c>
      <c r="K335" t="n">
        <v>0.01</v>
      </c>
      <c r="L335" t="inlineStr">
        <is>
          <t>lease_liability_source_link__20210831,revenue_link__20210831</t>
        </is>
      </c>
      <c r="M335" t="inlineStr">
        <is>
          <t>Lease Liability / Revenue = reported lease liability / Revenue.|A zero Revenue denominator makes the ratio undefined (#N/A).|The ratio uses the reported balance, not the reformulated classification treatment.</t>
        </is>
      </c>
      <c r="O335" t="inlineStr">
        <is>
          <t>pending</t>
        </is>
      </c>
      <c r="P335" t="inlineStr">
        <is>
          <t>lease_liability_to_revenue</t>
        </is>
      </c>
      <c r="Q335" t="n">
        <v>88</v>
      </c>
      <c r="R335" t="n">
        <v>0</v>
      </c>
      <c r="S335" t="inlineStr">
        <is>
          <t>2021-08-31</t>
        </is>
      </c>
    </row>
    <row r="336">
      <c r="A336" t="inlineStr">
        <is>
          <t>lease_liability_to_revenue__20220831</t>
        </is>
      </c>
      <c r="B336" t="n">
        <v>335</v>
      </c>
      <c r="C336" t="inlineStr">
        <is>
          <t>Lease Liability / Revenue</t>
        </is>
      </c>
      <c r="D336" t="inlineStr">
        <is>
          <t>Reported lease liability divided by Revenue.</t>
        </is>
      </c>
      <c r="E336" t="inlineStr">
        <is>
          <t>lease_liability.lease_liability_to_revenue.2022-08-31</t>
        </is>
      </c>
      <c r="F336" t="inlineStr">
        <is>
          <t>lease_liability</t>
        </is>
      </c>
      <c r="G336" t="inlineStr">
        <is>
          <t>ALT DuPont</t>
        </is>
      </c>
      <c r="H336" t="inlineStr">
        <is>
          <t>C56</t>
        </is>
      </c>
      <c r="I336">
        <f>IF('Condensed Financials'!C44=0,NA(),C55/'Condensed Financials'!C44)</f>
        <v/>
      </c>
      <c r="J336" t="n">
        <v>0.2089089583255473</v>
      </c>
      <c r="K336" t="n">
        <v>0.01</v>
      </c>
      <c r="L336" t="inlineStr">
        <is>
          <t>lease_liability_source_link__20220831,revenue_link__20220831</t>
        </is>
      </c>
      <c r="M336" t="inlineStr">
        <is>
          <t>Lease Liability / Revenue = reported lease liability / Revenue.|A zero Revenue denominator makes the ratio undefined (#N/A).|The ratio uses the reported balance, not the reformulated classification treatment.</t>
        </is>
      </c>
      <c r="O336" t="inlineStr">
        <is>
          <t>pending</t>
        </is>
      </c>
      <c r="P336" t="inlineStr">
        <is>
          <t>lease_liability_to_revenue</t>
        </is>
      </c>
      <c r="Q336" t="n">
        <v>88</v>
      </c>
      <c r="R336" t="n">
        <v>1</v>
      </c>
      <c r="S336" t="inlineStr">
        <is>
          <t>2022-08-31</t>
        </is>
      </c>
    </row>
    <row r="337">
      <c r="A337" t="inlineStr">
        <is>
          <t>lease_liability_to_revenue__20230831</t>
        </is>
      </c>
      <c r="B337" t="n">
        <v>336</v>
      </c>
      <c r="C337" t="inlineStr">
        <is>
          <t>Lease Liability / Revenue</t>
        </is>
      </c>
      <c r="D337" t="inlineStr">
        <is>
          <t>Reported lease liability divided by Revenue.</t>
        </is>
      </c>
      <c r="E337" t="inlineStr">
        <is>
          <t>lease_liability.lease_liability_to_revenue.2023-08-31</t>
        </is>
      </c>
      <c r="F337" t="inlineStr">
        <is>
          <t>lease_liability</t>
        </is>
      </c>
      <c r="G337" t="inlineStr">
        <is>
          <t>ALT DuPont</t>
        </is>
      </c>
      <c r="H337" t="inlineStr">
        <is>
          <t>D56</t>
        </is>
      </c>
      <c r="I337">
        <f>IF('Condensed Financials'!D44=0,NA(),D55/'Condensed Financials'!D44)</f>
        <v/>
      </c>
      <c r="J337" t="n">
        <v>0.1683135391752275</v>
      </c>
      <c r="K337" t="n">
        <v>0.01</v>
      </c>
      <c r="L337" t="inlineStr">
        <is>
          <t>lease_liability_source_link__20230831,revenue_link__20230831</t>
        </is>
      </c>
      <c r="M337" t="inlineStr">
        <is>
          <t>Lease Liability / Revenue = reported lease liability / Revenue.|A zero Revenue denominator makes the ratio undefined (#N/A).|The ratio uses the reported balance, not the reformulated classification treatment.</t>
        </is>
      </c>
      <c r="O337" t="inlineStr">
        <is>
          <t>pending</t>
        </is>
      </c>
      <c r="P337" t="inlineStr">
        <is>
          <t>lease_liability_to_revenue</t>
        </is>
      </c>
      <c r="Q337" t="n">
        <v>88</v>
      </c>
      <c r="R337" t="n">
        <v>2</v>
      </c>
      <c r="S337" t="inlineStr">
        <is>
          <t>2023-08-31</t>
        </is>
      </c>
    </row>
    <row r="338">
      <c r="A338" t="inlineStr">
        <is>
          <t>lease_liability_to_revenue__20240831</t>
        </is>
      </c>
      <c r="B338" t="n">
        <v>337</v>
      </c>
      <c r="C338" t="inlineStr">
        <is>
          <t>Lease Liability / Revenue</t>
        </is>
      </c>
      <c r="D338" t="inlineStr">
        <is>
          <t>Reported lease liability divided by Revenue.</t>
        </is>
      </c>
      <c r="E338" t="inlineStr">
        <is>
          <t>lease_liability.lease_liability_to_revenue.2024-08-31</t>
        </is>
      </c>
      <c r="F338" t="inlineStr">
        <is>
          <t>lease_liability</t>
        </is>
      </c>
      <c r="G338" t="inlineStr">
        <is>
          <t>ALT DuPont</t>
        </is>
      </c>
      <c r="H338" t="inlineStr">
        <is>
          <t>E56</t>
        </is>
      </c>
      <c r="I338">
        <f>IF('Condensed Financials'!E44=0,NA(),E55/'Condensed Financials'!E44)</f>
        <v/>
      </c>
      <c r="J338" t="n">
        <v>0.1540229573985223</v>
      </c>
      <c r="K338" t="n">
        <v>0.01</v>
      </c>
      <c r="L338" t="inlineStr">
        <is>
          <t>lease_liability_source_link__20240831,revenue_link__20240831</t>
        </is>
      </c>
      <c r="M338" t="inlineStr">
        <is>
          <t>Lease Liability / Revenue = reported lease liability / Revenue.|A zero Revenue denominator makes the ratio undefined (#N/A).|The ratio uses the reported balance, not the reformulated classification treatment.</t>
        </is>
      </c>
      <c r="O338" t="inlineStr">
        <is>
          <t>pending</t>
        </is>
      </c>
      <c r="P338" t="inlineStr">
        <is>
          <t>lease_liability_to_revenue</t>
        </is>
      </c>
      <c r="Q338" t="n">
        <v>88</v>
      </c>
      <c r="R338" t="n">
        <v>3</v>
      </c>
      <c r="S338" t="inlineStr">
        <is>
          <t>2024-08-31</t>
        </is>
      </c>
    </row>
    <row r="339">
      <c r="A339" t="inlineStr">
        <is>
          <t>lease_liability_to_revenue__20250831</t>
        </is>
      </c>
      <c r="B339" t="n">
        <v>338</v>
      </c>
      <c r="C339" t="inlineStr">
        <is>
          <t>Lease Liability / Revenue</t>
        </is>
      </c>
      <c r="D339" t="inlineStr">
        <is>
          <t>Reported lease liability divided by Revenue.</t>
        </is>
      </c>
      <c r="E339" t="inlineStr">
        <is>
          <t>lease_liability.lease_liability_to_revenue.2025-08-31</t>
        </is>
      </c>
      <c r="F339" t="inlineStr">
        <is>
          <t>lease_liability</t>
        </is>
      </c>
      <c r="G339" t="inlineStr">
        <is>
          <t>ALT DuPont</t>
        </is>
      </c>
      <c r="H339" t="inlineStr">
        <is>
          <t>F56</t>
        </is>
      </c>
      <c r="I339">
        <f>IF('Condensed Financials'!F44=0,NA(),F55/'Condensed Financials'!F44)</f>
        <v/>
      </c>
      <c r="J339" t="n">
        <v>0.1510054729559049</v>
      </c>
      <c r="K339" t="n">
        <v>0.01</v>
      </c>
      <c r="L339" t="inlineStr">
        <is>
          <t>lease_liability_source_link__20250831,revenue_link__20250831</t>
        </is>
      </c>
      <c r="M339" t="inlineStr">
        <is>
          <t>Lease Liability / Revenue = reported lease liability / Revenue.|A zero Revenue denominator makes the ratio undefined (#N/A).|The ratio uses the reported balance, not the reformulated classification treatment.</t>
        </is>
      </c>
      <c r="O339" t="inlineStr">
        <is>
          <t>pending</t>
        </is>
      </c>
      <c r="P339" t="inlineStr">
        <is>
          <t>lease_liability_to_revenue</t>
        </is>
      </c>
      <c r="Q339" t="n">
        <v>88</v>
      </c>
      <c r="R339" t="n">
        <v>4</v>
      </c>
      <c r="S339" t="inlineStr">
        <is>
          <t>2025-08-31</t>
        </is>
      </c>
    </row>
    <row r="340">
      <c r="A340" t="inlineStr">
        <is>
          <t>lease_liability_change__20220831</t>
        </is>
      </c>
      <c r="B340" t="n">
        <v>339</v>
      </c>
      <c r="C340" t="inlineStr">
        <is>
          <t>Change in Lease Liability</t>
        </is>
      </c>
      <c r="D340" t="inlineStr">
        <is>
          <t>Current lease liability minus prior lease liability.</t>
        </is>
      </c>
      <c r="E340" t="inlineStr">
        <is>
          <t>lease_liability.lease_liability_change.2022-08-31</t>
        </is>
      </c>
      <c r="F340" t="inlineStr">
        <is>
          <t>lease_liability</t>
        </is>
      </c>
      <c r="G340" t="inlineStr">
        <is>
          <t>ALT DuPont</t>
        </is>
      </c>
      <c r="H340" t="inlineStr">
        <is>
          <t>C57</t>
        </is>
      </c>
      <c r="I340">
        <f>C55-B55</f>
        <v/>
      </c>
      <c r="J340" t="n">
        <v>20068</v>
      </c>
      <c r="K340" t="n">
        <v>0.01</v>
      </c>
      <c r="L340" t="inlineStr">
        <is>
          <t>lease_liability_source_link__20220831,lease_liability_source_link__20210831</t>
        </is>
      </c>
      <c r="M340" t="inlineStr">
        <is>
          <t>Change in Lease Liability = Current − Prior reported lease liability.|Balance change is not rent growth, lease cash payments, or ROU-asset growth.</t>
        </is>
      </c>
      <c r="O340" t="inlineStr">
        <is>
          <t>pending</t>
        </is>
      </c>
      <c r="P340" t="inlineStr">
        <is>
          <t>lease_liability_change</t>
        </is>
      </c>
      <c r="Q340" t="n">
        <v>89</v>
      </c>
      <c r="R340" t="n">
        <v>1</v>
      </c>
      <c r="S340" t="inlineStr">
        <is>
          <t>2022-08-31</t>
        </is>
      </c>
    </row>
    <row r="341">
      <c r="A341" t="inlineStr">
        <is>
          <t>lease_liability_change__20230831</t>
        </is>
      </c>
      <c r="B341" t="n">
        <v>340</v>
      </c>
      <c r="C341" t="inlineStr">
        <is>
          <t>Change in Lease Liability</t>
        </is>
      </c>
      <c r="D341" t="inlineStr">
        <is>
          <t>Current lease liability minus prior lease liability.</t>
        </is>
      </c>
      <c r="E341" t="inlineStr">
        <is>
          <t>lease_liability.lease_liability_change.2023-08-31</t>
        </is>
      </c>
      <c r="F341" t="inlineStr">
        <is>
          <t>lease_liability</t>
        </is>
      </c>
      <c r="G341" t="inlineStr">
        <is>
          <t>ALT DuPont</t>
        </is>
      </c>
      <c r="H341" t="inlineStr">
        <is>
          <t>D57</t>
        </is>
      </c>
      <c r="I341">
        <f>D55-C55</f>
        <v/>
      </c>
      <c r="J341" t="n">
        <v>-15076</v>
      </c>
      <c r="K341" t="n">
        <v>0.01</v>
      </c>
      <c r="L341" t="inlineStr">
        <is>
          <t>lease_liability_source_link__20230831,lease_liability_source_link__20220831</t>
        </is>
      </c>
      <c r="M341" t="inlineStr">
        <is>
          <t>Change in Lease Liability = Current − Prior reported lease liability.|Balance change is not rent growth, lease cash payments, or ROU-asset growth.</t>
        </is>
      </c>
      <c r="O341" t="inlineStr">
        <is>
          <t>pending</t>
        </is>
      </c>
      <c r="P341" t="inlineStr">
        <is>
          <t>lease_liability_change</t>
        </is>
      </c>
      <c r="Q341" t="n">
        <v>89</v>
      </c>
      <c r="R341" t="n">
        <v>2</v>
      </c>
      <c r="S341" t="inlineStr">
        <is>
          <t>2023-08-31</t>
        </is>
      </c>
    </row>
    <row r="342">
      <c r="A342" t="inlineStr">
        <is>
          <t>lease_liability_change__20240831</t>
        </is>
      </c>
      <c r="B342" t="n">
        <v>341</v>
      </c>
      <c r="C342" t="inlineStr">
        <is>
          <t>Change in Lease Liability</t>
        </is>
      </c>
      <c r="D342" t="inlineStr">
        <is>
          <t>Current lease liability minus prior lease liability.</t>
        </is>
      </c>
      <c r="E342" t="inlineStr">
        <is>
          <t>lease_liability.lease_liability_change.2024-08-31</t>
        </is>
      </c>
      <c r="F342" t="inlineStr">
        <is>
          <t>lease_liability</t>
        </is>
      </c>
      <c r="G342" t="inlineStr">
        <is>
          <t>ALT DuPont</t>
        </is>
      </c>
      <c r="H342" t="inlineStr">
        <is>
          <t>E57</t>
        </is>
      </c>
      <c r="I342">
        <f>E55-D55</f>
        <v/>
      </c>
      <c r="J342" t="n">
        <v>12413</v>
      </c>
      <c r="K342" t="n">
        <v>0.01</v>
      </c>
      <c r="L342" t="inlineStr">
        <is>
          <t>lease_liability_source_link__20240831,lease_liability_source_link__20230831</t>
        </is>
      </c>
      <c r="M342" t="inlineStr">
        <is>
          <t>Change in Lease Liability = Current − Prior reported lease liability.|Balance change is not rent growth, lease cash payments, or ROU-asset growth.</t>
        </is>
      </c>
      <c r="O342" t="inlineStr">
        <is>
          <t>pending</t>
        </is>
      </c>
      <c r="P342" t="inlineStr">
        <is>
          <t>lease_liability_change</t>
        </is>
      </c>
      <c r="Q342" t="n">
        <v>89</v>
      </c>
      <c r="R342" t="n">
        <v>3</v>
      </c>
      <c r="S342" t="inlineStr">
        <is>
          <t>2024-08-31</t>
        </is>
      </c>
    </row>
    <row r="343">
      <c r="A343" t="inlineStr">
        <is>
          <t>lease_liability_change__20250831</t>
        </is>
      </c>
      <c r="B343" t="n">
        <v>342</v>
      </c>
      <c r="C343" t="inlineStr">
        <is>
          <t>Change in Lease Liability</t>
        </is>
      </c>
      <c r="D343" t="inlineStr">
        <is>
          <t>Current lease liability minus prior lease liability.</t>
        </is>
      </c>
      <c r="E343" t="inlineStr">
        <is>
          <t>lease_liability.lease_liability_change.2025-08-31</t>
        </is>
      </c>
      <c r="F343" t="inlineStr">
        <is>
          <t>lease_liability</t>
        </is>
      </c>
      <c r="G343" t="inlineStr">
        <is>
          <t>ALT DuPont</t>
        </is>
      </c>
      <c r="H343" t="inlineStr">
        <is>
          <t>F57</t>
        </is>
      </c>
      <c r="I343">
        <f>F55-E55</f>
        <v/>
      </c>
      <c r="J343" t="n">
        <v>35438</v>
      </c>
      <c r="K343" t="n">
        <v>0.01</v>
      </c>
      <c r="L343" t="inlineStr">
        <is>
          <t>lease_liability_source_link__20250831,lease_liability_source_link__20240831</t>
        </is>
      </c>
      <c r="M343" t="inlineStr">
        <is>
          <t>Change in Lease Liability = Current − Prior reported lease liability.|Balance change is not rent growth, lease cash payments, or ROU-asset growth.</t>
        </is>
      </c>
      <c r="O343" t="inlineStr">
        <is>
          <t>pending</t>
        </is>
      </c>
      <c r="P343" t="inlineStr">
        <is>
          <t>lease_liability_change</t>
        </is>
      </c>
      <c r="Q343" t="n">
        <v>89</v>
      </c>
      <c r="R343" t="n">
        <v>4</v>
      </c>
      <c r="S343" t="inlineStr">
        <is>
          <t>2025-08-31</t>
        </is>
      </c>
    </row>
    <row r="344">
      <c r="A344" t="inlineStr">
        <is>
          <t>lease_liability_growth__20220831</t>
        </is>
      </c>
      <c r="B344" t="n">
        <v>343</v>
      </c>
      <c r="C344" t="inlineStr">
        <is>
          <t>Lease Liability Growth</t>
        </is>
      </c>
      <c r="D344" t="inlineStr">
        <is>
          <t>Percentage change in reported lease liability.</t>
        </is>
      </c>
      <c r="E344" t="inlineStr">
        <is>
          <t>lease_liability.lease_liability_growth.2022-08-31</t>
        </is>
      </c>
      <c r="F344" t="inlineStr">
        <is>
          <t>lease_liability</t>
        </is>
      </c>
      <c r="G344" t="inlineStr">
        <is>
          <t>ALT DuPont</t>
        </is>
      </c>
      <c r="H344" t="inlineStr">
        <is>
          <t>C58</t>
        </is>
      </c>
      <c r="I344">
        <f>IF(B55=0,NA(),C55/B55-1)</f>
        <v/>
      </c>
      <c r="J344" t="n">
        <v>0.04356386639082875</v>
      </c>
      <c r="K344" t="n">
        <v>0.01</v>
      </c>
      <c r="L344" t="inlineStr">
        <is>
          <t>lease_liability_source_link__20220831,lease_liability_source_link__20210831</t>
        </is>
      </c>
      <c r="M344" t="inlineStr">
        <is>
          <t>Lease Liability Growth = Current / Prior − 1.|A zero prior lease-liability balance makes percentage growth undefined (#N/A).|Balance growth is not rent growth, lease cash payments, commitments, or ROU-asset growth.</t>
        </is>
      </c>
      <c r="O344" t="inlineStr">
        <is>
          <t>pending</t>
        </is>
      </c>
      <c r="P344" t="inlineStr">
        <is>
          <t>lease_liability_growth</t>
        </is>
      </c>
      <c r="Q344" t="n">
        <v>90</v>
      </c>
      <c r="R344" t="n">
        <v>1</v>
      </c>
      <c r="S344" t="inlineStr">
        <is>
          <t>2022-08-31</t>
        </is>
      </c>
    </row>
    <row r="345">
      <c r="A345" t="inlineStr">
        <is>
          <t>lease_liability_growth__20230831</t>
        </is>
      </c>
      <c r="B345" t="n">
        <v>344</v>
      </c>
      <c r="C345" t="inlineStr">
        <is>
          <t>Lease Liability Growth</t>
        </is>
      </c>
      <c r="D345" t="inlineStr">
        <is>
          <t>Percentage change in reported lease liability.</t>
        </is>
      </c>
      <c r="E345" t="inlineStr">
        <is>
          <t>lease_liability.lease_liability_growth.2023-08-31</t>
        </is>
      </c>
      <c r="F345" t="inlineStr">
        <is>
          <t>lease_liability</t>
        </is>
      </c>
      <c r="G345" t="inlineStr">
        <is>
          <t>ALT DuPont</t>
        </is>
      </c>
      <c r="H345" t="inlineStr">
        <is>
          <t>D58</t>
        </is>
      </c>
      <c r="I345">
        <f>IF(C55=0,NA(),D55/C55-1)</f>
        <v/>
      </c>
      <c r="J345" t="n">
        <v>-0.03136096520879921</v>
      </c>
      <c r="K345" t="n">
        <v>0.01</v>
      </c>
      <c r="L345" t="inlineStr">
        <is>
          <t>lease_liability_source_link__20230831,lease_liability_source_link__20220831</t>
        </is>
      </c>
      <c r="M345" t="inlineStr">
        <is>
          <t>Lease Liability Growth = Current / Prior − 1.|A zero prior lease-liability balance makes percentage growth undefined (#N/A).|Balance growth is not rent growth, lease cash payments, commitments, or ROU-asset growth.</t>
        </is>
      </c>
      <c r="O345" t="inlineStr">
        <is>
          <t>pending</t>
        </is>
      </c>
      <c r="P345" t="inlineStr">
        <is>
          <t>lease_liability_growth</t>
        </is>
      </c>
      <c r="Q345" t="n">
        <v>90</v>
      </c>
      <c r="R345" t="n">
        <v>2</v>
      </c>
      <c r="S345" t="inlineStr">
        <is>
          <t>2023-08-31</t>
        </is>
      </c>
    </row>
    <row r="346">
      <c r="A346" t="inlineStr">
        <is>
          <t>lease_liability_growth__20240831</t>
        </is>
      </c>
      <c r="B346" t="n">
        <v>345</v>
      </c>
      <c r="C346" t="inlineStr">
        <is>
          <t>Lease Liability Growth</t>
        </is>
      </c>
      <c r="D346" t="inlineStr">
        <is>
          <t>Percentage change in reported lease liability.</t>
        </is>
      </c>
      <c r="E346" t="inlineStr">
        <is>
          <t>lease_liability.lease_liability_growth.2024-08-31</t>
        </is>
      </c>
      <c r="F346" t="inlineStr">
        <is>
          <t>lease_liability</t>
        </is>
      </c>
      <c r="G346" t="inlineStr">
        <is>
          <t>ALT DuPont</t>
        </is>
      </c>
      <c r="H346" t="inlineStr">
        <is>
          <t>E58</t>
        </is>
      </c>
      <c r="I346">
        <f>IF(D55=0,NA(),E55/D55-1)</f>
        <v/>
      </c>
      <c r="J346" t="n">
        <v>0.02665741792637802</v>
      </c>
      <c r="K346" t="n">
        <v>0.01</v>
      </c>
      <c r="L346" t="inlineStr">
        <is>
          <t>lease_liability_source_link__20240831,lease_liability_source_link__20230831</t>
        </is>
      </c>
      <c r="M346" t="inlineStr">
        <is>
          <t>Lease Liability Growth = Current / Prior − 1.|A zero prior lease-liability balance makes percentage growth undefined (#N/A).|Balance growth is not rent growth, lease cash payments, commitments, or ROU-asset growth.</t>
        </is>
      </c>
      <c r="O346" t="inlineStr">
        <is>
          <t>pending</t>
        </is>
      </c>
      <c r="P346" t="inlineStr">
        <is>
          <t>lease_liability_growth</t>
        </is>
      </c>
      <c r="Q346" t="n">
        <v>90</v>
      </c>
      <c r="R346" t="n">
        <v>3</v>
      </c>
      <c r="S346" t="inlineStr">
        <is>
          <t>2024-08-31</t>
        </is>
      </c>
    </row>
    <row r="347">
      <c r="A347" t="inlineStr">
        <is>
          <t>lease_liability_growth__20250831</t>
        </is>
      </c>
      <c r="B347" t="n">
        <v>346</v>
      </c>
      <c r="C347" t="inlineStr">
        <is>
          <t>Lease Liability Growth</t>
        </is>
      </c>
      <c r="D347" t="inlineStr">
        <is>
          <t>Percentage change in reported lease liability.</t>
        </is>
      </c>
      <c r="E347" t="inlineStr">
        <is>
          <t>lease_liability.lease_liability_growth.2025-08-31</t>
        </is>
      </c>
      <c r="F347" t="inlineStr">
        <is>
          <t>lease_liability</t>
        </is>
      </c>
      <c r="G347" t="inlineStr">
        <is>
          <t>ALT DuPont</t>
        </is>
      </c>
      <c r="H347" t="inlineStr">
        <is>
          <t>F58</t>
        </is>
      </c>
      <c r="I347">
        <f>IF(E55=0,NA(),F55/E55-1)</f>
        <v/>
      </c>
      <c r="J347" t="n">
        <v>0.07412846032522978</v>
      </c>
      <c r="K347" t="n">
        <v>0.01</v>
      </c>
      <c r="L347" t="inlineStr">
        <is>
          <t>lease_liability_source_link__20250831,lease_liability_source_link__20240831</t>
        </is>
      </c>
      <c r="M347" t="inlineStr">
        <is>
          <t>Lease Liability Growth = Current / Prior − 1.|A zero prior lease-liability balance makes percentage growth undefined (#N/A).|Balance growth is not rent growth, lease cash payments, commitments, or ROU-asset growth.</t>
        </is>
      </c>
      <c r="O347" t="inlineStr">
        <is>
          <t>pending</t>
        </is>
      </c>
      <c r="P347" t="inlineStr">
        <is>
          <t>lease_liability_growth</t>
        </is>
      </c>
      <c r="Q347" t="n">
        <v>90</v>
      </c>
      <c r="R347" t="n">
        <v>4</v>
      </c>
      <c r="S347" t="inlineStr">
        <is>
          <t>2025-08-31</t>
        </is>
      </c>
    </row>
    <row r="348">
      <c r="A348" t="inlineStr">
        <is>
          <t>parent_profit_source_link__20210831</t>
        </is>
      </c>
      <c r="B348" t="n">
        <v>347</v>
      </c>
      <c r="C348" t="inlineStr">
        <is>
          <t>Parent Profit</t>
        </is>
      </c>
      <c r="D348" t="inlineStr">
        <is>
          <t>Link reported profit attributable to owners of the parent.</t>
        </is>
      </c>
      <c r="E348" t="inlineStr">
        <is>
          <t>ownership.parent_profit.2021-08-31</t>
        </is>
      </c>
      <c r="F348" t="inlineStr">
        <is>
          <t>ownership_attribution</t>
        </is>
      </c>
      <c r="G348" t="inlineStr">
        <is>
          <t>Ownership Attribution</t>
        </is>
      </c>
      <c r="H348" t="inlineStr">
        <is>
          <t>B5</t>
        </is>
      </c>
      <c r="I348">
        <f>'Income Statement'!B18</f>
        <v/>
      </c>
      <c r="J348" t="n">
        <v>169847</v>
      </c>
      <c r="K348" t="n">
        <v>0.01</v>
      </c>
      <c r="M348" t="inlineStr">
        <is>
          <t>Pull the reported parent-attributable profit for the same fiscal period.|Do not derive parent profit as total profit minus NCI when the parent line is missing.</t>
        </is>
      </c>
      <c r="O348" t="inlineStr">
        <is>
          <t>pending</t>
        </is>
      </c>
      <c r="P348" t="inlineStr">
        <is>
          <t>parent_profit_source_link</t>
        </is>
      </c>
      <c r="Q348" t="n">
        <v>91</v>
      </c>
      <c r="R348" t="n">
        <v>0</v>
      </c>
      <c r="S348" t="inlineStr">
        <is>
          <t>2021-08-31</t>
        </is>
      </c>
    </row>
    <row r="349">
      <c r="A349" t="inlineStr">
        <is>
          <t>parent_profit_source_link__20220831</t>
        </is>
      </c>
      <c r="B349" t="n">
        <v>348</v>
      </c>
      <c r="C349" t="inlineStr">
        <is>
          <t>Parent Profit</t>
        </is>
      </c>
      <c r="D349" t="inlineStr">
        <is>
          <t>Link reported profit attributable to owners of the parent.</t>
        </is>
      </c>
      <c r="E349" t="inlineStr">
        <is>
          <t>ownership.parent_profit.2022-08-31</t>
        </is>
      </c>
      <c r="F349" t="inlineStr">
        <is>
          <t>ownership_attribution</t>
        </is>
      </c>
      <c r="G349" t="inlineStr">
        <is>
          <t>Ownership Attribution</t>
        </is>
      </c>
      <c r="H349" t="inlineStr">
        <is>
          <t>C5</t>
        </is>
      </c>
      <c r="I349">
        <f>'Income Statement'!C18</f>
        <v/>
      </c>
      <c r="J349" t="n">
        <v>273335</v>
      </c>
      <c r="K349" t="n">
        <v>0.01</v>
      </c>
      <c r="M349" t="inlineStr">
        <is>
          <t>Pull the reported parent-attributable profit for the same fiscal period.|Do not derive parent profit as total profit minus NCI when the parent line is missing.</t>
        </is>
      </c>
      <c r="O349" t="inlineStr">
        <is>
          <t>pending</t>
        </is>
      </c>
      <c r="P349" t="inlineStr">
        <is>
          <t>parent_profit_source_link</t>
        </is>
      </c>
      <c r="Q349" t="n">
        <v>91</v>
      </c>
      <c r="R349" t="n">
        <v>1</v>
      </c>
      <c r="S349" t="inlineStr">
        <is>
          <t>2022-08-31</t>
        </is>
      </c>
    </row>
    <row r="350">
      <c r="A350" t="inlineStr">
        <is>
          <t>parent_profit_source_link__20230831</t>
        </is>
      </c>
      <c r="B350" t="n">
        <v>349</v>
      </c>
      <c r="C350" t="inlineStr">
        <is>
          <t>Parent Profit</t>
        </is>
      </c>
      <c r="D350" t="inlineStr">
        <is>
          <t>Link reported profit attributable to owners of the parent.</t>
        </is>
      </c>
      <c r="E350" t="inlineStr">
        <is>
          <t>ownership.parent_profit.2023-08-31</t>
        </is>
      </c>
      <c r="F350" t="inlineStr">
        <is>
          <t>ownership_attribution</t>
        </is>
      </c>
      <c r="G350" t="inlineStr">
        <is>
          <t>Ownership Attribution</t>
        </is>
      </c>
      <c r="H350" t="inlineStr">
        <is>
          <t>D5</t>
        </is>
      </c>
      <c r="I350">
        <f>'Income Statement'!D18</f>
        <v/>
      </c>
      <c r="J350" t="n">
        <v>296229</v>
      </c>
      <c r="K350" t="n">
        <v>0.01</v>
      </c>
      <c r="M350" t="inlineStr">
        <is>
          <t>Pull the reported parent-attributable profit for the same fiscal period.|Do not derive parent profit as total profit minus NCI when the parent line is missing.</t>
        </is>
      </c>
      <c r="O350" t="inlineStr">
        <is>
          <t>pending</t>
        </is>
      </c>
      <c r="P350" t="inlineStr">
        <is>
          <t>parent_profit_source_link</t>
        </is>
      </c>
      <c r="Q350" t="n">
        <v>91</v>
      </c>
      <c r="R350" t="n">
        <v>2</v>
      </c>
      <c r="S350" t="inlineStr">
        <is>
          <t>2023-08-31</t>
        </is>
      </c>
    </row>
    <row r="351">
      <c r="A351" t="inlineStr">
        <is>
          <t>parent_profit_source_link__20240831</t>
        </is>
      </c>
      <c r="B351" t="n">
        <v>350</v>
      </c>
      <c r="C351" t="inlineStr">
        <is>
          <t>Parent Profit</t>
        </is>
      </c>
      <c r="D351" t="inlineStr">
        <is>
          <t>Link reported profit attributable to owners of the parent.</t>
        </is>
      </c>
      <c r="E351" t="inlineStr">
        <is>
          <t>ownership.parent_profit.2024-08-31</t>
        </is>
      </c>
      <c r="F351" t="inlineStr">
        <is>
          <t>ownership_attribution</t>
        </is>
      </c>
      <c r="G351" t="inlineStr">
        <is>
          <t>Ownership Attribution</t>
        </is>
      </c>
      <c r="H351" t="inlineStr">
        <is>
          <t>E5</t>
        </is>
      </c>
      <c r="I351">
        <f>'Income Statement'!E18</f>
        <v/>
      </c>
      <c r="J351" t="n">
        <v>371999</v>
      </c>
      <c r="K351" t="n">
        <v>0.01</v>
      </c>
      <c r="M351" t="inlineStr">
        <is>
          <t>Pull the reported parent-attributable profit for the same fiscal period.|Do not derive parent profit as total profit minus NCI when the parent line is missing.</t>
        </is>
      </c>
      <c r="O351" t="inlineStr">
        <is>
          <t>pending</t>
        </is>
      </c>
      <c r="P351" t="inlineStr">
        <is>
          <t>parent_profit_source_link</t>
        </is>
      </c>
      <c r="Q351" t="n">
        <v>91</v>
      </c>
      <c r="R351" t="n">
        <v>3</v>
      </c>
      <c r="S351" t="inlineStr">
        <is>
          <t>2024-08-31</t>
        </is>
      </c>
    </row>
    <row r="352">
      <c r="A352" t="inlineStr">
        <is>
          <t>parent_profit_source_link__20250831</t>
        </is>
      </c>
      <c r="B352" t="n">
        <v>351</v>
      </c>
      <c r="C352" t="inlineStr">
        <is>
          <t>Parent Profit</t>
        </is>
      </c>
      <c r="D352" t="inlineStr">
        <is>
          <t>Link reported profit attributable to owners of the parent.</t>
        </is>
      </c>
      <c r="E352" t="inlineStr">
        <is>
          <t>ownership.parent_profit.2025-08-31</t>
        </is>
      </c>
      <c r="F352" t="inlineStr">
        <is>
          <t>ownership_attribution</t>
        </is>
      </c>
      <c r="G352" t="inlineStr">
        <is>
          <t>Ownership Attribution</t>
        </is>
      </c>
      <c r="H352" t="inlineStr">
        <is>
          <t>F5</t>
        </is>
      </c>
      <c r="I352">
        <f>'Income Statement'!F18</f>
        <v/>
      </c>
      <c r="J352" t="n">
        <v>433009</v>
      </c>
      <c r="K352" t="n">
        <v>0.01</v>
      </c>
      <c r="M352" t="inlineStr">
        <is>
          <t>Pull the reported parent-attributable profit for the same fiscal period.|Do not derive parent profit as total profit minus NCI when the parent line is missing.</t>
        </is>
      </c>
      <c r="O352" t="inlineStr">
        <is>
          <t>pending</t>
        </is>
      </c>
      <c r="P352" t="inlineStr">
        <is>
          <t>parent_profit_source_link</t>
        </is>
      </c>
      <c r="Q352" t="n">
        <v>91</v>
      </c>
      <c r="R352" t="n">
        <v>4</v>
      </c>
      <c r="S352" t="inlineStr">
        <is>
          <t>2025-08-31</t>
        </is>
      </c>
    </row>
    <row r="353">
      <c r="A353" t="inlineStr">
        <is>
          <t>nci_profit_source_link__20210831</t>
        </is>
      </c>
      <c r="B353" t="n">
        <v>352</v>
      </c>
      <c r="C353" t="inlineStr">
        <is>
          <t>NCI Profit</t>
        </is>
      </c>
      <c r="D353" t="inlineStr">
        <is>
          <t>Link reported profit attributable to non-controlling interests.</t>
        </is>
      </c>
      <c r="E353" t="inlineStr">
        <is>
          <t>ownership.nci_profit.2021-08-31</t>
        </is>
      </c>
      <c r="F353" t="inlineStr">
        <is>
          <t>ownership_attribution</t>
        </is>
      </c>
      <c r="G353" t="inlineStr">
        <is>
          <t>Ownership Attribution</t>
        </is>
      </c>
      <c r="H353" t="inlineStr">
        <is>
          <t>B6</t>
        </is>
      </c>
      <c r="I353">
        <f>'Income Statement'!B14</f>
        <v/>
      </c>
      <c r="J353" t="n">
        <v>5836</v>
      </c>
      <c r="K353" t="n">
        <v>0.01</v>
      </c>
      <c r="M353" t="inlineStr">
        <is>
          <t>Pull the reported NCI profit for the same fiscal period.|Do not invent NCI profit from the consolidated total.</t>
        </is>
      </c>
      <c r="O353" t="inlineStr">
        <is>
          <t>pending</t>
        </is>
      </c>
      <c r="P353" t="inlineStr">
        <is>
          <t>nci_profit_source_link</t>
        </is>
      </c>
      <c r="Q353" t="n">
        <v>92</v>
      </c>
      <c r="R353" t="n">
        <v>0</v>
      </c>
      <c r="S353" t="inlineStr">
        <is>
          <t>2021-08-31</t>
        </is>
      </c>
    </row>
    <row r="354">
      <c r="A354" t="inlineStr">
        <is>
          <t>nci_profit_source_link__20220831</t>
        </is>
      </c>
      <c r="B354" t="n">
        <v>353</v>
      </c>
      <c r="C354" t="inlineStr">
        <is>
          <t>NCI Profit</t>
        </is>
      </c>
      <c r="D354" t="inlineStr">
        <is>
          <t>Link reported profit attributable to non-controlling interests.</t>
        </is>
      </c>
      <c r="E354" t="inlineStr">
        <is>
          <t>ownership.nci_profit.2022-08-31</t>
        </is>
      </c>
      <c r="F354" t="inlineStr">
        <is>
          <t>ownership_attribution</t>
        </is>
      </c>
      <c r="G354" t="inlineStr">
        <is>
          <t>Ownership Attribution</t>
        </is>
      </c>
      <c r="H354" t="inlineStr">
        <is>
          <t>C6</t>
        </is>
      </c>
      <c r="I354">
        <f>'Income Statement'!C14</f>
        <v/>
      </c>
      <c r="J354" t="n">
        <v>11415</v>
      </c>
      <c r="K354" t="n">
        <v>0.01</v>
      </c>
      <c r="M354" t="inlineStr">
        <is>
          <t>Pull the reported NCI profit for the same fiscal period.|Do not invent NCI profit from the consolidated total.</t>
        </is>
      </c>
      <c r="O354" t="inlineStr">
        <is>
          <t>pending</t>
        </is>
      </c>
      <c r="P354" t="inlineStr">
        <is>
          <t>nci_profit_source_link</t>
        </is>
      </c>
      <c r="Q354" t="n">
        <v>92</v>
      </c>
      <c r="R354" t="n">
        <v>1</v>
      </c>
      <c r="S354" t="inlineStr">
        <is>
          <t>2022-08-31</t>
        </is>
      </c>
    </row>
    <row r="355">
      <c r="A355" t="inlineStr">
        <is>
          <t>nci_profit_source_link__20230831</t>
        </is>
      </c>
      <c r="B355" t="n">
        <v>354</v>
      </c>
      <c r="C355" t="inlineStr">
        <is>
          <t>NCI Profit</t>
        </is>
      </c>
      <c r="D355" t="inlineStr">
        <is>
          <t>Link reported profit attributable to non-controlling interests.</t>
        </is>
      </c>
      <c r="E355" t="inlineStr">
        <is>
          <t>ownership.nci_profit.2023-08-31</t>
        </is>
      </c>
      <c r="F355" t="inlineStr">
        <is>
          <t>ownership_attribution</t>
        </is>
      </c>
      <c r="G355" t="inlineStr">
        <is>
          <t>Ownership Attribution</t>
        </is>
      </c>
      <c r="H355" t="inlineStr">
        <is>
          <t>D6</t>
        </is>
      </c>
      <c r="I355">
        <f>'Income Statement'!D14</f>
        <v/>
      </c>
      <c r="J355" t="n">
        <v>18941</v>
      </c>
      <c r="K355" t="n">
        <v>0.01</v>
      </c>
      <c r="M355" t="inlineStr">
        <is>
          <t>Pull the reported NCI profit for the same fiscal period.|Do not invent NCI profit from the consolidated total.</t>
        </is>
      </c>
      <c r="O355" t="inlineStr">
        <is>
          <t>pending</t>
        </is>
      </c>
      <c r="P355" t="inlineStr">
        <is>
          <t>nci_profit_source_link</t>
        </is>
      </c>
      <c r="Q355" t="n">
        <v>92</v>
      </c>
      <c r="R355" t="n">
        <v>2</v>
      </c>
      <c r="S355" t="inlineStr">
        <is>
          <t>2023-08-31</t>
        </is>
      </c>
    </row>
    <row r="356">
      <c r="A356" t="inlineStr">
        <is>
          <t>nci_profit_source_link__20240831</t>
        </is>
      </c>
      <c r="B356" t="n">
        <v>355</v>
      </c>
      <c r="C356" t="inlineStr">
        <is>
          <t>NCI Profit</t>
        </is>
      </c>
      <c r="D356" t="inlineStr">
        <is>
          <t>Link reported profit attributable to non-controlling interests.</t>
        </is>
      </c>
      <c r="E356" t="inlineStr">
        <is>
          <t>ownership.nci_profit.2024-08-31</t>
        </is>
      </c>
      <c r="F356" t="inlineStr">
        <is>
          <t>ownership_attribution</t>
        </is>
      </c>
      <c r="G356" t="inlineStr">
        <is>
          <t>Ownership Attribution</t>
        </is>
      </c>
      <c r="H356" t="inlineStr">
        <is>
          <t>E6</t>
        </is>
      </c>
      <c r="I356">
        <f>'Income Statement'!E14</f>
        <v/>
      </c>
      <c r="J356" t="n">
        <v>21605</v>
      </c>
      <c r="K356" t="n">
        <v>0.01</v>
      </c>
      <c r="M356" t="inlineStr">
        <is>
          <t>Pull the reported NCI profit for the same fiscal period.|Do not invent NCI profit from the consolidated total.</t>
        </is>
      </c>
      <c r="O356" t="inlineStr">
        <is>
          <t>pending</t>
        </is>
      </c>
      <c r="P356" t="inlineStr">
        <is>
          <t>nci_profit_source_link</t>
        </is>
      </c>
      <c r="Q356" t="n">
        <v>92</v>
      </c>
      <c r="R356" t="n">
        <v>3</v>
      </c>
      <c r="S356" t="inlineStr">
        <is>
          <t>2024-08-31</t>
        </is>
      </c>
    </row>
    <row r="357">
      <c r="A357" t="inlineStr">
        <is>
          <t>nci_profit_source_link__20250831</t>
        </is>
      </c>
      <c r="B357" t="n">
        <v>356</v>
      </c>
      <c r="C357" t="inlineStr">
        <is>
          <t>NCI Profit</t>
        </is>
      </c>
      <c r="D357" t="inlineStr">
        <is>
          <t>Link reported profit attributable to non-controlling interests.</t>
        </is>
      </c>
      <c r="E357" t="inlineStr">
        <is>
          <t>ownership.nci_profit.2025-08-31</t>
        </is>
      </c>
      <c r="F357" t="inlineStr">
        <is>
          <t>ownership_attribution</t>
        </is>
      </c>
      <c r="G357" t="inlineStr">
        <is>
          <t>Ownership Attribution</t>
        </is>
      </c>
      <c r="H357" t="inlineStr">
        <is>
          <t>F6</t>
        </is>
      </c>
      <c r="I357">
        <f>'Income Statement'!F14</f>
        <v/>
      </c>
      <c r="J357" t="n">
        <v>26143</v>
      </c>
      <c r="K357" t="n">
        <v>0.01</v>
      </c>
      <c r="M357" t="inlineStr">
        <is>
          <t>Pull the reported NCI profit for the same fiscal period.|Do not invent NCI profit from the consolidated total.</t>
        </is>
      </c>
      <c r="O357" t="inlineStr">
        <is>
          <t>pending</t>
        </is>
      </c>
      <c r="P357" t="inlineStr">
        <is>
          <t>nci_profit_source_link</t>
        </is>
      </c>
      <c r="Q357" t="n">
        <v>92</v>
      </c>
      <c r="R357" t="n">
        <v>4</v>
      </c>
      <c r="S357" t="inlineStr">
        <is>
          <t>2025-08-31</t>
        </is>
      </c>
    </row>
    <row r="358">
      <c r="A358" t="inlineStr">
        <is>
          <t>profit_attribution_gap__20210831</t>
        </is>
      </c>
      <c r="B358" t="n">
        <v>357</v>
      </c>
      <c r="C358" t="inlineStr">
        <is>
          <t>Profit Attribution Gap</t>
        </is>
      </c>
      <c r="D358" t="inlineStr">
        <is>
          <t>Parent profit + NCI profit − total profit.</t>
        </is>
      </c>
      <c r="E358" t="inlineStr">
        <is>
          <t>ownership.profit_attribution_gap.2021-08-31</t>
        </is>
      </c>
      <c r="F358" t="inlineStr">
        <is>
          <t>ownership_attribution</t>
        </is>
      </c>
      <c r="G358" t="inlineStr">
        <is>
          <t>Ownership Attribution</t>
        </is>
      </c>
      <c r="H358" t="inlineStr">
        <is>
          <t>B8</t>
        </is>
      </c>
      <c r="I358">
        <f>B5+B6-B7</f>
        <v/>
      </c>
      <c r="J358" t="n">
        <v>-1</v>
      </c>
      <c r="K358" t="n">
        <v>0.01</v>
      </c>
      <c r="L358" t="inlineStr">
        <is>
          <t>parent_profit_source_link__20210831,nci_profit_source_link__20210831</t>
        </is>
      </c>
      <c r="M358" t="inlineStr">
        <is>
          <t>Profit Attribution Gap = Parent Profit + NCI Profit − Total Profit.|Small gaps can arise from independent reporting-unit rounding.</t>
        </is>
      </c>
      <c r="O358" t="inlineStr">
        <is>
          <t>pending</t>
        </is>
      </c>
      <c r="P358" t="inlineStr">
        <is>
          <t>profit_attribution_gap</t>
        </is>
      </c>
      <c r="Q358" t="n">
        <v>93</v>
      </c>
      <c r="R358" t="n">
        <v>0</v>
      </c>
      <c r="S358" t="inlineStr">
        <is>
          <t>2021-08-31</t>
        </is>
      </c>
    </row>
    <row r="359">
      <c r="A359" t="inlineStr">
        <is>
          <t>profit_attribution_gap__20220831</t>
        </is>
      </c>
      <c r="B359" t="n">
        <v>358</v>
      </c>
      <c r="C359" t="inlineStr">
        <is>
          <t>Profit Attribution Gap</t>
        </is>
      </c>
      <c r="D359" t="inlineStr">
        <is>
          <t>Parent profit + NCI profit − total profit.</t>
        </is>
      </c>
      <c r="E359" t="inlineStr">
        <is>
          <t>ownership.profit_attribution_gap.2022-08-31</t>
        </is>
      </c>
      <c r="F359" t="inlineStr">
        <is>
          <t>ownership_attribution</t>
        </is>
      </c>
      <c r="G359" t="inlineStr">
        <is>
          <t>Ownership Attribution</t>
        </is>
      </c>
      <c r="H359" t="inlineStr">
        <is>
          <t>C8</t>
        </is>
      </c>
      <c r="I359">
        <f>C5+C6-C7</f>
        <v/>
      </c>
      <c r="J359" t="n">
        <v>0</v>
      </c>
      <c r="K359" t="n">
        <v>0.01</v>
      </c>
      <c r="L359" t="inlineStr">
        <is>
          <t>parent_profit_source_link__20220831,nci_profit_source_link__20220831</t>
        </is>
      </c>
      <c r="M359" t="inlineStr">
        <is>
          <t>Profit Attribution Gap = Parent Profit + NCI Profit − Total Profit.|Small gaps can arise from independent reporting-unit rounding.</t>
        </is>
      </c>
      <c r="O359" t="inlineStr">
        <is>
          <t>pending</t>
        </is>
      </c>
      <c r="P359" t="inlineStr">
        <is>
          <t>profit_attribution_gap</t>
        </is>
      </c>
      <c r="Q359" t="n">
        <v>93</v>
      </c>
      <c r="R359" t="n">
        <v>1</v>
      </c>
      <c r="S359" t="inlineStr">
        <is>
          <t>2022-08-31</t>
        </is>
      </c>
    </row>
    <row r="360">
      <c r="A360" t="inlineStr">
        <is>
          <t>profit_attribution_gap__20230831</t>
        </is>
      </c>
      <c r="B360" t="n">
        <v>359</v>
      </c>
      <c r="C360" t="inlineStr">
        <is>
          <t>Profit Attribution Gap</t>
        </is>
      </c>
      <c r="D360" t="inlineStr">
        <is>
          <t>Parent profit + NCI profit − total profit.</t>
        </is>
      </c>
      <c r="E360" t="inlineStr">
        <is>
          <t>ownership.profit_attribution_gap.2023-08-31</t>
        </is>
      </c>
      <c r="F360" t="inlineStr">
        <is>
          <t>ownership_attribution</t>
        </is>
      </c>
      <c r="G360" t="inlineStr">
        <is>
          <t>Ownership Attribution</t>
        </is>
      </c>
      <c r="H360" t="inlineStr">
        <is>
          <t>D8</t>
        </is>
      </c>
      <c r="I360">
        <f>D5+D6-D7</f>
        <v/>
      </c>
      <c r="J360" t="n">
        <v>-1</v>
      </c>
      <c r="K360" t="n">
        <v>0.01</v>
      </c>
      <c r="L360" t="inlineStr">
        <is>
          <t>parent_profit_source_link__20230831,nci_profit_source_link__20230831</t>
        </is>
      </c>
      <c r="M360" t="inlineStr">
        <is>
          <t>Profit Attribution Gap = Parent Profit + NCI Profit − Total Profit.|Small gaps can arise from independent reporting-unit rounding.</t>
        </is>
      </c>
      <c r="O360" t="inlineStr">
        <is>
          <t>pending</t>
        </is>
      </c>
      <c r="P360" t="inlineStr">
        <is>
          <t>profit_attribution_gap</t>
        </is>
      </c>
      <c r="Q360" t="n">
        <v>93</v>
      </c>
      <c r="R360" t="n">
        <v>2</v>
      </c>
      <c r="S360" t="inlineStr">
        <is>
          <t>2023-08-31</t>
        </is>
      </c>
    </row>
    <row r="361">
      <c r="A361" t="inlineStr">
        <is>
          <t>profit_attribution_gap__20240831</t>
        </is>
      </c>
      <c r="B361" t="n">
        <v>360</v>
      </c>
      <c r="C361" t="inlineStr">
        <is>
          <t>Profit Attribution Gap</t>
        </is>
      </c>
      <c r="D361" t="inlineStr">
        <is>
          <t>Parent profit + NCI profit − total profit.</t>
        </is>
      </c>
      <c r="E361" t="inlineStr">
        <is>
          <t>ownership.profit_attribution_gap.2024-08-31</t>
        </is>
      </c>
      <c r="F361" t="inlineStr">
        <is>
          <t>ownership_attribution</t>
        </is>
      </c>
      <c r="G361" t="inlineStr">
        <is>
          <t>Ownership Attribution</t>
        </is>
      </c>
      <c r="H361" t="inlineStr">
        <is>
          <t>E8</t>
        </is>
      </c>
      <c r="I361">
        <f>E5+E6-E7</f>
        <v/>
      </c>
      <c r="J361" t="n">
        <v>-1</v>
      </c>
      <c r="K361" t="n">
        <v>0.01</v>
      </c>
      <c r="L361" t="inlineStr">
        <is>
          <t>parent_profit_source_link__20240831,nci_profit_source_link__20240831</t>
        </is>
      </c>
      <c r="M361" t="inlineStr">
        <is>
          <t>Profit Attribution Gap = Parent Profit + NCI Profit − Total Profit.|Small gaps can arise from independent reporting-unit rounding.</t>
        </is>
      </c>
      <c r="O361" t="inlineStr">
        <is>
          <t>pending</t>
        </is>
      </c>
      <c r="P361" t="inlineStr">
        <is>
          <t>profit_attribution_gap</t>
        </is>
      </c>
      <c r="Q361" t="n">
        <v>93</v>
      </c>
      <c r="R361" t="n">
        <v>3</v>
      </c>
      <c r="S361" t="inlineStr">
        <is>
          <t>2024-08-31</t>
        </is>
      </c>
    </row>
    <row r="362">
      <c r="A362" t="inlineStr">
        <is>
          <t>profit_attribution_gap__20250831</t>
        </is>
      </c>
      <c r="B362" t="n">
        <v>361</v>
      </c>
      <c r="C362" t="inlineStr">
        <is>
          <t>Profit Attribution Gap</t>
        </is>
      </c>
      <c r="D362" t="inlineStr">
        <is>
          <t>Parent profit + NCI profit − total profit.</t>
        </is>
      </c>
      <c r="E362" t="inlineStr">
        <is>
          <t>ownership.profit_attribution_gap.2025-08-31</t>
        </is>
      </c>
      <c r="F362" t="inlineStr">
        <is>
          <t>ownership_attribution</t>
        </is>
      </c>
      <c r="G362" t="inlineStr">
        <is>
          <t>Ownership Attribution</t>
        </is>
      </c>
      <c r="H362" t="inlineStr">
        <is>
          <t>F8</t>
        </is>
      </c>
      <c r="I362">
        <f>F5+F6-F7</f>
        <v/>
      </c>
      <c r="J362" t="n">
        <v>-1</v>
      </c>
      <c r="K362" t="n">
        <v>0.01</v>
      </c>
      <c r="L362" t="inlineStr">
        <is>
          <t>parent_profit_source_link__20250831,nci_profit_source_link__20250831</t>
        </is>
      </c>
      <c r="M362" t="inlineStr">
        <is>
          <t>Profit Attribution Gap = Parent Profit + NCI Profit − Total Profit.|Small gaps can arise from independent reporting-unit rounding.</t>
        </is>
      </c>
      <c r="O362" t="inlineStr">
        <is>
          <t>pending</t>
        </is>
      </c>
      <c r="P362" t="inlineStr">
        <is>
          <t>profit_attribution_gap</t>
        </is>
      </c>
      <c r="Q362" t="n">
        <v>93</v>
      </c>
      <c r="R362" t="n">
        <v>4</v>
      </c>
      <c r="S362" t="inlineStr">
        <is>
          <t>2025-08-31</t>
        </is>
      </c>
    </row>
    <row r="363">
      <c r="A363" t="inlineStr">
        <is>
          <t>parent_equity_source_link__20210831</t>
        </is>
      </c>
      <c r="B363" t="n">
        <v>362</v>
      </c>
      <c r="C363" t="inlineStr">
        <is>
          <t>Parent Equity</t>
        </is>
      </c>
      <c r="D363" t="inlineStr">
        <is>
          <t>Link reported equity attributable to owners of the parent.</t>
        </is>
      </c>
      <c r="E363" t="inlineStr">
        <is>
          <t>ownership.parent_equity.2021-08-31</t>
        </is>
      </c>
      <c r="F363" t="inlineStr">
        <is>
          <t>ownership_attribution</t>
        </is>
      </c>
      <c r="G363" t="inlineStr">
        <is>
          <t>Ownership Attribution</t>
        </is>
      </c>
      <c r="H363" t="inlineStr">
        <is>
          <t>B10</t>
        </is>
      </c>
      <c r="I363">
        <f>'Balance Sheet'!B26</f>
        <v/>
      </c>
      <c r="J363" t="n">
        <v>1116484</v>
      </c>
      <c r="K363" t="n">
        <v>0.01</v>
      </c>
      <c r="M363" t="inlineStr">
        <is>
          <t>Pull the reported parent equity for the same fiscal period.|Parent equity is not consolidated total equity.</t>
        </is>
      </c>
      <c r="O363" t="inlineStr">
        <is>
          <t>pending</t>
        </is>
      </c>
      <c r="P363" t="inlineStr">
        <is>
          <t>parent_equity_source_link</t>
        </is>
      </c>
      <c r="Q363" t="n">
        <v>94</v>
      </c>
      <c r="R363" t="n">
        <v>0</v>
      </c>
      <c r="S363" t="inlineStr">
        <is>
          <t>2021-08-31</t>
        </is>
      </c>
    </row>
    <row r="364">
      <c r="A364" t="inlineStr">
        <is>
          <t>parent_equity_source_link__20220831</t>
        </is>
      </c>
      <c r="B364" t="n">
        <v>363</v>
      </c>
      <c r="C364" t="inlineStr">
        <is>
          <t>Parent Equity</t>
        </is>
      </c>
      <c r="D364" t="inlineStr">
        <is>
          <t>Link reported equity attributable to owners of the parent.</t>
        </is>
      </c>
      <c r="E364" t="inlineStr">
        <is>
          <t>ownership.parent_equity.2022-08-31</t>
        </is>
      </c>
      <c r="F364" t="inlineStr">
        <is>
          <t>ownership_attribution</t>
        </is>
      </c>
      <c r="G364" t="inlineStr">
        <is>
          <t>Ownership Attribution</t>
        </is>
      </c>
      <c r="H364" t="inlineStr">
        <is>
          <t>C10</t>
        </is>
      </c>
      <c r="I364">
        <f>'Balance Sheet'!C26</f>
        <v/>
      </c>
      <c r="J364" t="n">
        <v>1561652</v>
      </c>
      <c r="K364" t="n">
        <v>0.01</v>
      </c>
      <c r="M364" t="inlineStr">
        <is>
          <t>Pull the reported parent equity for the same fiscal period.|Parent equity is not consolidated total equity.</t>
        </is>
      </c>
      <c r="O364" t="inlineStr">
        <is>
          <t>pending</t>
        </is>
      </c>
      <c r="P364" t="inlineStr">
        <is>
          <t>parent_equity_source_link</t>
        </is>
      </c>
      <c r="Q364" t="n">
        <v>94</v>
      </c>
      <c r="R364" t="n">
        <v>1</v>
      </c>
      <c r="S364" t="inlineStr">
        <is>
          <t>2022-08-31</t>
        </is>
      </c>
    </row>
    <row r="365">
      <c r="A365" t="inlineStr">
        <is>
          <t>parent_equity_source_link__20230831</t>
        </is>
      </c>
      <c r="B365" t="n">
        <v>364</v>
      </c>
      <c r="C365" t="inlineStr">
        <is>
          <t>Parent Equity</t>
        </is>
      </c>
      <c r="D365" t="inlineStr">
        <is>
          <t>Link reported equity attributable to owners of the parent.</t>
        </is>
      </c>
      <c r="E365" t="inlineStr">
        <is>
          <t>ownership.parent_equity.2023-08-31</t>
        </is>
      </c>
      <c r="F365" t="inlineStr">
        <is>
          <t>ownership_attribution</t>
        </is>
      </c>
      <c r="G365" t="inlineStr">
        <is>
          <t>Ownership Attribution</t>
        </is>
      </c>
      <c r="H365" t="inlineStr">
        <is>
          <t>D10</t>
        </is>
      </c>
      <c r="I365">
        <f>'Balance Sheet'!D26</f>
        <v/>
      </c>
      <c r="J365" t="n">
        <v>1821405</v>
      </c>
      <c r="K365" t="n">
        <v>0.01</v>
      </c>
      <c r="M365" t="inlineStr">
        <is>
          <t>Pull the reported parent equity for the same fiscal period.|Parent equity is not consolidated total equity.</t>
        </is>
      </c>
      <c r="O365" t="inlineStr">
        <is>
          <t>pending</t>
        </is>
      </c>
      <c r="P365" t="inlineStr">
        <is>
          <t>parent_equity_source_link</t>
        </is>
      </c>
      <c r="Q365" t="n">
        <v>94</v>
      </c>
      <c r="R365" t="n">
        <v>2</v>
      </c>
      <c r="S365" t="inlineStr">
        <is>
          <t>2023-08-31</t>
        </is>
      </c>
    </row>
    <row r="366">
      <c r="A366" t="inlineStr">
        <is>
          <t>parent_equity_source_link__20240831</t>
        </is>
      </c>
      <c r="B366" t="n">
        <v>365</v>
      </c>
      <c r="C366" t="inlineStr">
        <is>
          <t>Parent Equity</t>
        </is>
      </c>
      <c r="D366" t="inlineStr">
        <is>
          <t>Link reported equity attributable to owners of the parent.</t>
        </is>
      </c>
      <c r="E366" t="inlineStr">
        <is>
          <t>ownership.parent_equity.2024-08-31</t>
        </is>
      </c>
      <c r="F366" t="inlineStr">
        <is>
          <t>ownership_attribution</t>
        </is>
      </c>
      <c r="G366" t="inlineStr">
        <is>
          <t>Ownership Attribution</t>
        </is>
      </c>
      <c r="H366" t="inlineStr">
        <is>
          <t>E10</t>
        </is>
      </c>
      <c r="I366">
        <f>'Balance Sheet'!E26</f>
        <v/>
      </c>
      <c r="J366" t="n">
        <v>2016535</v>
      </c>
      <c r="K366" t="n">
        <v>0.01</v>
      </c>
      <c r="M366" t="inlineStr">
        <is>
          <t>Pull the reported parent equity for the same fiscal period.|Parent equity is not consolidated total equity.</t>
        </is>
      </c>
      <c r="O366" t="inlineStr">
        <is>
          <t>pending</t>
        </is>
      </c>
      <c r="P366" t="inlineStr">
        <is>
          <t>parent_equity_source_link</t>
        </is>
      </c>
      <c r="Q366" t="n">
        <v>94</v>
      </c>
      <c r="R366" t="n">
        <v>3</v>
      </c>
      <c r="S366" t="inlineStr">
        <is>
          <t>2024-08-31</t>
        </is>
      </c>
    </row>
    <row r="367">
      <c r="A367" t="inlineStr">
        <is>
          <t>parent_equity_source_link__20250831</t>
        </is>
      </c>
      <c r="B367" t="n">
        <v>366</v>
      </c>
      <c r="C367" t="inlineStr">
        <is>
          <t>Parent Equity</t>
        </is>
      </c>
      <c r="D367" t="inlineStr">
        <is>
          <t>Link reported equity attributable to owners of the parent.</t>
        </is>
      </c>
      <c r="E367" t="inlineStr">
        <is>
          <t>ownership.parent_equity.2025-08-31</t>
        </is>
      </c>
      <c r="F367" t="inlineStr">
        <is>
          <t>ownership_attribution</t>
        </is>
      </c>
      <c r="G367" t="inlineStr">
        <is>
          <t>Ownership Attribution</t>
        </is>
      </c>
      <c r="H367" t="inlineStr">
        <is>
          <t>F10</t>
        </is>
      </c>
      <c r="I367">
        <f>'Balance Sheet'!F26</f>
        <v/>
      </c>
      <c r="J367" t="n">
        <v>2273115</v>
      </c>
      <c r="K367" t="n">
        <v>0.01</v>
      </c>
      <c r="M367" t="inlineStr">
        <is>
          <t>Pull the reported parent equity for the same fiscal period.|Parent equity is not consolidated total equity.</t>
        </is>
      </c>
      <c r="O367" t="inlineStr">
        <is>
          <t>pending</t>
        </is>
      </c>
      <c r="P367" t="inlineStr">
        <is>
          <t>parent_equity_source_link</t>
        </is>
      </c>
      <c r="Q367" t="n">
        <v>94</v>
      </c>
      <c r="R367" t="n">
        <v>4</v>
      </c>
      <c r="S367" t="inlineStr">
        <is>
          <t>2025-08-31</t>
        </is>
      </c>
    </row>
    <row r="368">
      <c r="A368" t="inlineStr">
        <is>
          <t>nci_equity_source_link__20210831</t>
        </is>
      </c>
      <c r="B368" t="n">
        <v>367</v>
      </c>
      <c r="C368" t="inlineStr">
        <is>
          <t>NCI Equity</t>
        </is>
      </c>
      <c r="D368" t="inlineStr">
        <is>
          <t>Link reported non-controlling interests equity.</t>
        </is>
      </c>
      <c r="E368" t="inlineStr">
        <is>
          <t>ownership.nci_equity.2021-08-31</t>
        </is>
      </c>
      <c r="F368" t="inlineStr">
        <is>
          <t>ownership_attribution</t>
        </is>
      </c>
      <c r="G368" t="inlineStr">
        <is>
          <t>Ownership Attribution</t>
        </is>
      </c>
      <c r="H368" t="inlineStr">
        <is>
          <t>B11</t>
        </is>
      </c>
      <c r="I368">
        <f>'Balance Sheet'!B27</f>
        <v/>
      </c>
      <c r="J368" t="n">
        <v>45813</v>
      </c>
      <c r="K368" t="n">
        <v>0.01</v>
      </c>
      <c r="M368" t="inlineStr">
        <is>
          <t>Pull the reported NCI equity balance for the same fiscal period.|Do not invent NCI equity from the consolidated total.</t>
        </is>
      </c>
      <c r="O368" t="inlineStr">
        <is>
          <t>pending</t>
        </is>
      </c>
      <c r="P368" t="inlineStr">
        <is>
          <t>nci_equity_source_link</t>
        </is>
      </c>
      <c r="Q368" t="n">
        <v>95</v>
      </c>
      <c r="R368" t="n">
        <v>0</v>
      </c>
      <c r="S368" t="inlineStr">
        <is>
          <t>2021-08-31</t>
        </is>
      </c>
    </row>
    <row r="369">
      <c r="A369" t="inlineStr">
        <is>
          <t>nci_equity_source_link__20220831</t>
        </is>
      </c>
      <c r="B369" t="n">
        <v>368</v>
      </c>
      <c r="C369" t="inlineStr">
        <is>
          <t>NCI Equity</t>
        </is>
      </c>
      <c r="D369" t="inlineStr">
        <is>
          <t>Link reported non-controlling interests equity.</t>
        </is>
      </c>
      <c r="E369" t="inlineStr">
        <is>
          <t>ownership.nci_equity.2022-08-31</t>
        </is>
      </c>
      <c r="F369" t="inlineStr">
        <is>
          <t>ownership_attribution</t>
        </is>
      </c>
      <c r="G369" t="inlineStr">
        <is>
          <t>Ownership Attribution</t>
        </is>
      </c>
      <c r="H369" t="inlineStr">
        <is>
          <t>C11</t>
        </is>
      </c>
      <c r="I369">
        <f>'Balance Sheet'!C27</f>
        <v/>
      </c>
      <c r="J369" t="n">
        <v>53750</v>
      </c>
      <c r="K369" t="n">
        <v>0.01</v>
      </c>
      <c r="M369" t="inlineStr">
        <is>
          <t>Pull the reported NCI equity balance for the same fiscal period.|Do not invent NCI equity from the consolidated total.</t>
        </is>
      </c>
      <c r="O369" t="inlineStr">
        <is>
          <t>pending</t>
        </is>
      </c>
      <c r="P369" t="inlineStr">
        <is>
          <t>nci_equity_source_link</t>
        </is>
      </c>
      <c r="Q369" t="n">
        <v>95</v>
      </c>
      <c r="R369" t="n">
        <v>1</v>
      </c>
      <c r="S369" t="inlineStr">
        <is>
          <t>2022-08-31</t>
        </is>
      </c>
    </row>
    <row r="370">
      <c r="A370" t="inlineStr">
        <is>
          <t>nci_equity_source_link__20230831</t>
        </is>
      </c>
      <c r="B370" t="n">
        <v>369</v>
      </c>
      <c r="C370" t="inlineStr">
        <is>
          <t>NCI Equity</t>
        </is>
      </c>
      <c r="D370" t="inlineStr">
        <is>
          <t>Link reported non-controlling interests equity.</t>
        </is>
      </c>
      <c r="E370" t="inlineStr">
        <is>
          <t>ownership.nci_equity.2023-08-31</t>
        </is>
      </c>
      <c r="F370" t="inlineStr">
        <is>
          <t>ownership_attribution</t>
        </is>
      </c>
      <c r="G370" t="inlineStr">
        <is>
          <t>Ownership Attribution</t>
        </is>
      </c>
      <c r="H370" t="inlineStr">
        <is>
          <t>D11</t>
        </is>
      </c>
      <c r="I370">
        <f>'Balance Sheet'!D27</f>
        <v/>
      </c>
      <c r="J370" t="n">
        <v>51955</v>
      </c>
      <c r="K370" t="n">
        <v>0.01</v>
      </c>
      <c r="M370" t="inlineStr">
        <is>
          <t>Pull the reported NCI equity balance for the same fiscal period.|Do not invent NCI equity from the consolidated total.</t>
        </is>
      </c>
      <c r="O370" t="inlineStr">
        <is>
          <t>pending</t>
        </is>
      </c>
      <c r="P370" t="inlineStr">
        <is>
          <t>nci_equity_source_link</t>
        </is>
      </c>
      <c r="Q370" t="n">
        <v>95</v>
      </c>
      <c r="R370" t="n">
        <v>2</v>
      </c>
      <c r="S370" t="inlineStr">
        <is>
          <t>2023-08-31</t>
        </is>
      </c>
    </row>
    <row r="371">
      <c r="A371" t="inlineStr">
        <is>
          <t>nci_equity_source_link__20240831</t>
        </is>
      </c>
      <c r="B371" t="n">
        <v>370</v>
      </c>
      <c r="C371" t="inlineStr">
        <is>
          <t>NCI Equity</t>
        </is>
      </c>
      <c r="D371" t="inlineStr">
        <is>
          <t>Link reported non-controlling interests equity.</t>
        </is>
      </c>
      <c r="E371" t="inlineStr">
        <is>
          <t>ownership.nci_equity.2024-08-31</t>
        </is>
      </c>
      <c r="F371" t="inlineStr">
        <is>
          <t>ownership_attribution</t>
        </is>
      </c>
      <c r="G371" t="inlineStr">
        <is>
          <t>Ownership Attribution</t>
        </is>
      </c>
      <c r="H371" t="inlineStr">
        <is>
          <t>E11</t>
        </is>
      </c>
      <c r="I371">
        <f>'Balance Sheet'!E27</f>
        <v/>
      </c>
      <c r="J371" t="n">
        <v>51718</v>
      </c>
      <c r="K371" t="n">
        <v>0.01</v>
      </c>
      <c r="M371" t="inlineStr">
        <is>
          <t>Pull the reported NCI equity balance for the same fiscal period.|Do not invent NCI equity from the consolidated total.</t>
        </is>
      </c>
      <c r="O371" t="inlineStr">
        <is>
          <t>pending</t>
        </is>
      </c>
      <c r="P371" t="inlineStr">
        <is>
          <t>nci_equity_source_link</t>
        </is>
      </c>
      <c r="Q371" t="n">
        <v>95</v>
      </c>
      <c r="R371" t="n">
        <v>3</v>
      </c>
      <c r="S371" t="inlineStr">
        <is>
          <t>2024-08-31</t>
        </is>
      </c>
    </row>
    <row r="372">
      <c r="A372" t="inlineStr">
        <is>
          <t>nci_equity_source_link__20250831</t>
        </is>
      </c>
      <c r="B372" t="n">
        <v>371</v>
      </c>
      <c r="C372" t="inlineStr">
        <is>
          <t>NCI Equity</t>
        </is>
      </c>
      <c r="D372" t="inlineStr">
        <is>
          <t>Link reported non-controlling interests equity.</t>
        </is>
      </c>
      <c r="E372" t="inlineStr">
        <is>
          <t>ownership.nci_equity.2025-08-31</t>
        </is>
      </c>
      <c r="F372" t="inlineStr">
        <is>
          <t>ownership_attribution</t>
        </is>
      </c>
      <c r="G372" t="inlineStr">
        <is>
          <t>Ownership Attribution</t>
        </is>
      </c>
      <c r="H372" t="inlineStr">
        <is>
          <t>F11</t>
        </is>
      </c>
      <c r="I372">
        <f>'Balance Sheet'!F27</f>
        <v/>
      </c>
      <c r="J372" t="n">
        <v>54385</v>
      </c>
      <c r="K372" t="n">
        <v>0.01</v>
      </c>
      <c r="M372" t="inlineStr">
        <is>
          <t>Pull the reported NCI equity balance for the same fiscal period.|Do not invent NCI equity from the consolidated total.</t>
        </is>
      </c>
      <c r="O372" t="inlineStr">
        <is>
          <t>pending</t>
        </is>
      </c>
      <c r="P372" t="inlineStr">
        <is>
          <t>nci_equity_source_link</t>
        </is>
      </c>
      <c r="Q372" t="n">
        <v>95</v>
      </c>
      <c r="R372" t="n">
        <v>4</v>
      </c>
      <c r="S372" t="inlineStr">
        <is>
          <t>2025-08-31</t>
        </is>
      </c>
    </row>
    <row r="373">
      <c r="A373" t="inlineStr">
        <is>
          <t>equity_attribution_gap__20210831</t>
        </is>
      </c>
      <c r="B373" t="n">
        <v>372</v>
      </c>
      <c r="C373" t="inlineStr">
        <is>
          <t>Equity Attribution Gap</t>
        </is>
      </c>
      <c r="D373" t="inlineStr">
        <is>
          <t>Parent equity + NCI equity − total equity.</t>
        </is>
      </c>
      <c r="E373" t="inlineStr">
        <is>
          <t>ownership.equity_attribution_gap.2021-08-31</t>
        </is>
      </c>
      <c r="F373" t="inlineStr">
        <is>
          <t>ownership_attribution</t>
        </is>
      </c>
      <c r="G373" t="inlineStr">
        <is>
          <t>Ownership Attribution</t>
        </is>
      </c>
      <c r="H373" t="inlineStr">
        <is>
          <t>B13</t>
        </is>
      </c>
      <c r="I373">
        <f>B10+B11-B12</f>
        <v/>
      </c>
      <c r="J373" t="n">
        <v>-1</v>
      </c>
      <c r="K373" t="n">
        <v>0.01</v>
      </c>
      <c r="L373" t="inlineStr">
        <is>
          <t>parent_equity_source_link__20210831,nci_equity_source_link__20210831</t>
        </is>
      </c>
      <c r="M373" t="inlineStr">
        <is>
          <t>Equity Attribution Gap = Parent Equity + NCI Equity − Total Equity.|Small gaps can arise from independent reporting-unit rounding.</t>
        </is>
      </c>
      <c r="O373" t="inlineStr">
        <is>
          <t>pending</t>
        </is>
      </c>
      <c r="P373" t="inlineStr">
        <is>
          <t>equity_attribution_gap</t>
        </is>
      </c>
      <c r="Q373" t="n">
        <v>96</v>
      </c>
      <c r="R373" t="n">
        <v>0</v>
      </c>
      <c r="S373" t="inlineStr">
        <is>
          <t>2021-08-31</t>
        </is>
      </c>
    </row>
    <row r="374">
      <c r="A374" t="inlineStr">
        <is>
          <t>equity_attribution_gap__20220831</t>
        </is>
      </c>
      <c r="B374" t="n">
        <v>373</v>
      </c>
      <c r="C374" t="inlineStr">
        <is>
          <t>Equity Attribution Gap</t>
        </is>
      </c>
      <c r="D374" t="inlineStr">
        <is>
          <t>Parent equity + NCI equity − total equity.</t>
        </is>
      </c>
      <c r="E374" t="inlineStr">
        <is>
          <t>ownership.equity_attribution_gap.2022-08-31</t>
        </is>
      </c>
      <c r="F374" t="inlineStr">
        <is>
          <t>ownership_attribution</t>
        </is>
      </c>
      <c r="G374" t="inlineStr">
        <is>
          <t>Ownership Attribution</t>
        </is>
      </c>
      <c r="H374" t="inlineStr">
        <is>
          <t>C13</t>
        </is>
      </c>
      <c r="I374">
        <f>C10+C11-C12</f>
        <v/>
      </c>
      <c r="J374" t="n">
        <v>0</v>
      </c>
      <c r="K374" t="n">
        <v>0.01</v>
      </c>
      <c r="L374" t="inlineStr">
        <is>
          <t>parent_equity_source_link__20220831,nci_equity_source_link__20220831</t>
        </is>
      </c>
      <c r="M374" t="inlineStr">
        <is>
          <t>Equity Attribution Gap = Parent Equity + NCI Equity − Total Equity.|Small gaps can arise from independent reporting-unit rounding.</t>
        </is>
      </c>
      <c r="O374" t="inlineStr">
        <is>
          <t>pending</t>
        </is>
      </c>
      <c r="P374" t="inlineStr">
        <is>
          <t>equity_attribution_gap</t>
        </is>
      </c>
      <c r="Q374" t="n">
        <v>96</v>
      </c>
      <c r="R374" t="n">
        <v>1</v>
      </c>
      <c r="S374" t="inlineStr">
        <is>
          <t>2022-08-31</t>
        </is>
      </c>
    </row>
    <row r="375">
      <c r="A375" t="inlineStr">
        <is>
          <t>equity_attribution_gap__20230831</t>
        </is>
      </c>
      <c r="B375" t="n">
        <v>374</v>
      </c>
      <c r="C375" t="inlineStr">
        <is>
          <t>Equity Attribution Gap</t>
        </is>
      </c>
      <c r="D375" t="inlineStr">
        <is>
          <t>Parent equity + NCI equity − total equity.</t>
        </is>
      </c>
      <c r="E375" t="inlineStr">
        <is>
          <t>ownership.equity_attribution_gap.2023-08-31</t>
        </is>
      </c>
      <c r="F375" t="inlineStr">
        <is>
          <t>ownership_attribution</t>
        </is>
      </c>
      <c r="G375" t="inlineStr">
        <is>
          <t>Ownership Attribution</t>
        </is>
      </c>
      <c r="H375" t="inlineStr">
        <is>
          <t>D13</t>
        </is>
      </c>
      <c r="I375">
        <f>D10+D11-D12</f>
        <v/>
      </c>
      <c r="J375" t="n">
        <v>0</v>
      </c>
      <c r="K375" t="n">
        <v>0.01</v>
      </c>
      <c r="L375" t="inlineStr">
        <is>
          <t>parent_equity_source_link__20230831,nci_equity_source_link__20230831</t>
        </is>
      </c>
      <c r="M375" t="inlineStr">
        <is>
          <t>Equity Attribution Gap = Parent Equity + NCI Equity − Total Equity.|Small gaps can arise from independent reporting-unit rounding.</t>
        </is>
      </c>
      <c r="O375" t="inlineStr">
        <is>
          <t>pending</t>
        </is>
      </c>
      <c r="P375" t="inlineStr">
        <is>
          <t>equity_attribution_gap</t>
        </is>
      </c>
      <c r="Q375" t="n">
        <v>96</v>
      </c>
      <c r="R375" t="n">
        <v>2</v>
      </c>
      <c r="S375" t="inlineStr">
        <is>
          <t>2023-08-31</t>
        </is>
      </c>
    </row>
    <row r="376">
      <c r="A376" t="inlineStr">
        <is>
          <t>equity_attribution_gap__20240831</t>
        </is>
      </c>
      <c r="B376" t="n">
        <v>375</v>
      </c>
      <c r="C376" t="inlineStr">
        <is>
          <t>Equity Attribution Gap</t>
        </is>
      </c>
      <c r="D376" t="inlineStr">
        <is>
          <t>Parent equity + NCI equity − total equity.</t>
        </is>
      </c>
      <c r="E376" t="inlineStr">
        <is>
          <t>ownership.equity_attribution_gap.2024-08-31</t>
        </is>
      </c>
      <c r="F376" t="inlineStr">
        <is>
          <t>ownership_attribution</t>
        </is>
      </c>
      <c r="G376" t="inlineStr">
        <is>
          <t>Ownership Attribution</t>
        </is>
      </c>
      <c r="H376" t="inlineStr">
        <is>
          <t>E13</t>
        </is>
      </c>
      <c r="I376">
        <f>E10+E11-E12</f>
        <v/>
      </c>
      <c r="J376" t="n">
        <v>-1</v>
      </c>
      <c r="K376" t="n">
        <v>0.01</v>
      </c>
      <c r="L376" t="inlineStr">
        <is>
          <t>parent_equity_source_link__20240831,nci_equity_source_link__20240831</t>
        </is>
      </c>
      <c r="M376" t="inlineStr">
        <is>
          <t>Equity Attribution Gap = Parent Equity + NCI Equity − Total Equity.|Small gaps can arise from independent reporting-unit rounding.</t>
        </is>
      </c>
      <c r="O376" t="inlineStr">
        <is>
          <t>pending</t>
        </is>
      </c>
      <c r="P376" t="inlineStr">
        <is>
          <t>equity_attribution_gap</t>
        </is>
      </c>
      <c r="Q376" t="n">
        <v>96</v>
      </c>
      <c r="R376" t="n">
        <v>3</v>
      </c>
      <c r="S376" t="inlineStr">
        <is>
          <t>2024-08-31</t>
        </is>
      </c>
    </row>
    <row r="377">
      <c r="A377" t="inlineStr">
        <is>
          <t>equity_attribution_gap__20250831</t>
        </is>
      </c>
      <c r="B377" t="n">
        <v>376</v>
      </c>
      <c r="C377" t="inlineStr">
        <is>
          <t>Equity Attribution Gap</t>
        </is>
      </c>
      <c r="D377" t="inlineStr">
        <is>
          <t>Parent equity + NCI equity − total equity.</t>
        </is>
      </c>
      <c r="E377" t="inlineStr">
        <is>
          <t>ownership.equity_attribution_gap.2025-08-31</t>
        </is>
      </c>
      <c r="F377" t="inlineStr">
        <is>
          <t>ownership_attribution</t>
        </is>
      </c>
      <c r="G377" t="inlineStr">
        <is>
          <t>Ownership Attribution</t>
        </is>
      </c>
      <c r="H377" t="inlineStr">
        <is>
          <t>F13</t>
        </is>
      </c>
      <c r="I377">
        <f>F10+F11-F12</f>
        <v/>
      </c>
      <c r="J377" t="n">
        <v>-1</v>
      </c>
      <c r="K377" t="n">
        <v>0.01</v>
      </c>
      <c r="L377" t="inlineStr">
        <is>
          <t>parent_equity_source_link__20250831,nci_equity_source_link__20250831</t>
        </is>
      </c>
      <c r="M377" t="inlineStr">
        <is>
          <t>Equity Attribution Gap = Parent Equity + NCI Equity − Total Equity.|Small gaps can arise from independent reporting-unit rounding.</t>
        </is>
      </c>
      <c r="O377" t="inlineStr">
        <is>
          <t>pending</t>
        </is>
      </c>
      <c r="P377" t="inlineStr">
        <is>
          <t>equity_attribution_gap</t>
        </is>
      </c>
      <c r="Q377" t="n">
        <v>96</v>
      </c>
      <c r="R377" t="n">
        <v>4</v>
      </c>
      <c r="S377" t="inlineStr">
        <is>
          <t>2025-08-31</t>
        </is>
      </c>
    </row>
    <row r="378">
      <c r="A378" t="inlineStr">
        <is>
          <t>parent_roe__20220831</t>
        </is>
      </c>
      <c r="B378" t="n">
        <v>377</v>
      </c>
      <c r="C378" t="inlineStr">
        <is>
          <t>Parent ROE</t>
        </is>
      </c>
      <c r="D378" t="inlineStr">
        <is>
          <t>Parent profit divided by average parent equity.</t>
        </is>
      </c>
      <c r="E378" t="inlineStr">
        <is>
          <t>ownership.parent_roe.2022-08-31</t>
        </is>
      </c>
      <c r="F378" t="inlineStr">
        <is>
          <t>ownership_attribution</t>
        </is>
      </c>
      <c r="G378" t="inlineStr">
        <is>
          <t>Ownership Attribution</t>
        </is>
      </c>
      <c r="H378" t="inlineStr">
        <is>
          <t>C15</t>
        </is>
      </c>
      <c r="I378">
        <f>IF((C10+B10)=0,NA(),C5/((C10+B10)/2))</f>
        <v/>
      </c>
      <c r="J378" t="n">
        <v>0.2041233156195204</v>
      </c>
      <c r="K378" t="n">
        <v>0.01</v>
      </c>
      <c r="L378" t="inlineStr">
        <is>
          <t>parent_profit_source_link__20220831,parent_equity_source_link__20220831,parent_equity_source_link__20210831</t>
        </is>
      </c>
      <c r="M378" t="inlineStr">
        <is>
          <t>Parent ROE = Parent Profit / average(current, prior Parent Equity).|This is a shareholder-attribution diagnostic, not consolidated DuPont ROE.</t>
        </is>
      </c>
      <c r="O378" t="inlineStr">
        <is>
          <t>pending</t>
        </is>
      </c>
      <c r="P378" t="inlineStr">
        <is>
          <t>parent_roe</t>
        </is>
      </c>
      <c r="Q378" t="n">
        <v>97</v>
      </c>
      <c r="R378" t="n">
        <v>1</v>
      </c>
      <c r="S378" t="inlineStr">
        <is>
          <t>2022-08-31</t>
        </is>
      </c>
    </row>
    <row r="379">
      <c r="A379" t="inlineStr">
        <is>
          <t>parent_roe__20230831</t>
        </is>
      </c>
      <c r="B379" t="n">
        <v>378</v>
      </c>
      <c r="C379" t="inlineStr">
        <is>
          <t>Parent ROE</t>
        </is>
      </c>
      <c r="D379" t="inlineStr">
        <is>
          <t>Parent profit divided by average parent equity.</t>
        </is>
      </c>
      <c r="E379" t="inlineStr">
        <is>
          <t>ownership.parent_roe.2023-08-31</t>
        </is>
      </c>
      <c r="F379" t="inlineStr">
        <is>
          <t>ownership_attribution</t>
        </is>
      </c>
      <c r="G379" t="inlineStr">
        <is>
          <t>Ownership Attribution</t>
        </is>
      </c>
      <c r="H379" t="inlineStr">
        <is>
          <t>D15</t>
        </is>
      </c>
      <c r="I379">
        <f>IF((D10+C10)=0,NA(),D5/((D10+C10)/2))</f>
        <v/>
      </c>
      <c r="J379" t="n">
        <v>0.1751250422325134</v>
      </c>
      <c r="K379" t="n">
        <v>0.01</v>
      </c>
      <c r="L379" t="inlineStr">
        <is>
          <t>parent_profit_source_link__20230831,parent_equity_source_link__20230831,parent_equity_source_link__20220831</t>
        </is>
      </c>
      <c r="M379" t="inlineStr">
        <is>
          <t>Parent ROE = Parent Profit / average(current, prior Parent Equity).|This is a shareholder-attribution diagnostic, not consolidated DuPont ROE.</t>
        </is>
      </c>
      <c r="O379" t="inlineStr">
        <is>
          <t>pending</t>
        </is>
      </c>
      <c r="P379" t="inlineStr">
        <is>
          <t>parent_roe</t>
        </is>
      </c>
      <c r="Q379" t="n">
        <v>97</v>
      </c>
      <c r="R379" t="n">
        <v>2</v>
      </c>
      <c r="S379" t="inlineStr">
        <is>
          <t>2023-08-31</t>
        </is>
      </c>
    </row>
    <row r="380">
      <c r="A380" t="inlineStr">
        <is>
          <t>parent_roe__20240831</t>
        </is>
      </c>
      <c r="B380" t="n">
        <v>379</v>
      </c>
      <c r="C380" t="inlineStr">
        <is>
          <t>Parent ROE</t>
        </is>
      </c>
      <c r="D380" t="inlineStr">
        <is>
          <t>Parent profit divided by average parent equity.</t>
        </is>
      </c>
      <c r="E380" t="inlineStr">
        <is>
          <t>ownership.parent_roe.2024-08-31</t>
        </is>
      </c>
      <c r="F380" t="inlineStr">
        <is>
          <t>ownership_attribution</t>
        </is>
      </c>
      <c r="G380" t="inlineStr">
        <is>
          <t>Ownership Attribution</t>
        </is>
      </c>
      <c r="H380" t="inlineStr">
        <is>
          <t>E15</t>
        </is>
      </c>
      <c r="I380">
        <f>IF((E10+D10)=0,NA(),E5/((E10+D10)/2))</f>
        <v/>
      </c>
      <c r="J380" t="n">
        <v>0.1938534734779595</v>
      </c>
      <c r="K380" t="n">
        <v>0.01</v>
      </c>
      <c r="L380" t="inlineStr">
        <is>
          <t>parent_profit_source_link__20240831,parent_equity_source_link__20240831,parent_equity_source_link__20230831</t>
        </is>
      </c>
      <c r="M380" t="inlineStr">
        <is>
          <t>Parent ROE = Parent Profit / average(current, prior Parent Equity).|This is a shareholder-attribution diagnostic, not consolidated DuPont ROE.</t>
        </is>
      </c>
      <c r="O380" t="inlineStr">
        <is>
          <t>pending</t>
        </is>
      </c>
      <c r="P380" t="inlineStr">
        <is>
          <t>parent_roe</t>
        </is>
      </c>
      <c r="Q380" t="n">
        <v>97</v>
      </c>
      <c r="R380" t="n">
        <v>3</v>
      </c>
      <c r="S380" t="inlineStr">
        <is>
          <t>2024-08-31</t>
        </is>
      </c>
    </row>
    <row r="381">
      <c r="A381" t="inlineStr">
        <is>
          <t>parent_roe__20250831</t>
        </is>
      </c>
      <c r="B381" t="n">
        <v>380</v>
      </c>
      <c r="C381" t="inlineStr">
        <is>
          <t>Parent ROE</t>
        </is>
      </c>
      <c r="D381" t="inlineStr">
        <is>
          <t>Parent profit divided by average parent equity.</t>
        </is>
      </c>
      <c r="E381" t="inlineStr">
        <is>
          <t>ownership.parent_roe.2025-08-31</t>
        </is>
      </c>
      <c r="F381" t="inlineStr">
        <is>
          <t>ownership_attribution</t>
        </is>
      </c>
      <c r="G381" t="inlineStr">
        <is>
          <t>Ownership Attribution</t>
        </is>
      </c>
      <c r="H381" t="inlineStr">
        <is>
          <t>F15</t>
        </is>
      </c>
      <c r="I381">
        <f>IF((F10+E10)=0,NA(),F5/((F10+E10)/2))</f>
        <v/>
      </c>
      <c r="J381" t="n">
        <v>0.201885468511417</v>
      </c>
      <c r="K381" t="n">
        <v>0.01</v>
      </c>
      <c r="L381" t="inlineStr">
        <is>
          <t>parent_profit_source_link__20250831,parent_equity_source_link__20250831,parent_equity_source_link__20240831</t>
        </is>
      </c>
      <c r="M381" t="inlineStr">
        <is>
          <t>Parent ROE = Parent Profit / average(current, prior Parent Equity).|This is a shareholder-attribution diagnostic, not consolidated DuPont ROE.</t>
        </is>
      </c>
      <c r="O381" t="inlineStr">
        <is>
          <t>pending</t>
        </is>
      </c>
      <c r="P381" t="inlineStr">
        <is>
          <t>parent_roe</t>
        </is>
      </c>
      <c r="Q381" t="n">
        <v>97</v>
      </c>
      <c r="R381" t="n">
        <v>4</v>
      </c>
      <c r="S381" t="inlineStr">
        <is>
          <t>2025-08-31</t>
        </is>
      </c>
    </row>
    <row r="382">
      <c r="A382" t="inlineStr">
        <is>
          <t>goodwill_change__20220831</t>
        </is>
      </c>
      <c r="B382" t="n">
        <v>381</v>
      </c>
      <c r="C382" t="inlineStr">
        <is>
          <t>Change in Goodwill</t>
        </is>
      </c>
      <c r="D382" t="inlineStr">
        <is>
          <t>Current goodwill − prior goodwill. Flat goodwill does not establish absence of impairment disclosed elsewhere.</t>
        </is>
      </c>
      <c r="E382" t="inlineStr">
        <is>
          <t>goodwill_intangibles.goodwill_change.2022-08-31</t>
        </is>
      </c>
      <c r="F382" t="inlineStr">
        <is>
          <t>goodwill_intangibles</t>
        </is>
      </c>
      <c r="G382" t="inlineStr">
        <is>
          <t>ALT DuPont</t>
        </is>
      </c>
      <c r="H382" t="inlineStr">
        <is>
          <t>C87</t>
        </is>
      </c>
      <c r="I382">
        <f>C86-B86</f>
        <v/>
      </c>
      <c r="J382" t="n">
        <v>0</v>
      </c>
      <c r="K382" t="n">
        <v>0.01</v>
      </c>
      <c r="M382" t="inlineStr">
        <is>
          <t>Change in Goodwill = Current Goodwill − Prior Goodwill.|Flat goodwill does not establish absence of impairment disclosed elsewhere.</t>
        </is>
      </c>
      <c r="O382" t="inlineStr">
        <is>
          <t>pending</t>
        </is>
      </c>
      <c r="P382" t="inlineStr">
        <is>
          <t>goodwill_change</t>
        </is>
      </c>
      <c r="Q382" t="n">
        <v>98</v>
      </c>
      <c r="R382" t="n">
        <v>1</v>
      </c>
      <c r="S382" t="inlineStr">
        <is>
          <t>2022-08-31</t>
        </is>
      </c>
    </row>
    <row r="383">
      <c r="A383" t="inlineStr">
        <is>
          <t>goodwill_change__20230831</t>
        </is>
      </c>
      <c r="B383" t="n">
        <v>382</v>
      </c>
      <c r="C383" t="inlineStr">
        <is>
          <t>Change in Goodwill</t>
        </is>
      </c>
      <c r="D383" t="inlineStr">
        <is>
          <t>Current goodwill − prior goodwill. Flat goodwill does not establish absence of impairment disclosed elsewhere.</t>
        </is>
      </c>
      <c r="E383" t="inlineStr">
        <is>
          <t>goodwill_intangibles.goodwill_change.2023-08-31</t>
        </is>
      </c>
      <c r="F383" t="inlineStr">
        <is>
          <t>goodwill_intangibles</t>
        </is>
      </c>
      <c r="G383" t="inlineStr">
        <is>
          <t>ALT DuPont</t>
        </is>
      </c>
      <c r="H383" t="inlineStr">
        <is>
          <t>D87</t>
        </is>
      </c>
      <c r="I383">
        <f>D86-C86</f>
        <v/>
      </c>
      <c r="J383" t="n">
        <v>0</v>
      </c>
      <c r="K383" t="n">
        <v>0.01</v>
      </c>
      <c r="M383" t="inlineStr">
        <is>
          <t>Change in Goodwill = Current Goodwill − Prior Goodwill.|Flat goodwill does not establish absence of impairment disclosed elsewhere.</t>
        </is>
      </c>
      <c r="O383" t="inlineStr">
        <is>
          <t>pending</t>
        </is>
      </c>
      <c r="P383" t="inlineStr">
        <is>
          <t>goodwill_change</t>
        </is>
      </c>
      <c r="Q383" t="n">
        <v>98</v>
      </c>
      <c r="R383" t="n">
        <v>2</v>
      </c>
      <c r="S383" t="inlineStr">
        <is>
          <t>2023-08-31</t>
        </is>
      </c>
    </row>
    <row r="384">
      <c r="A384" t="inlineStr">
        <is>
          <t>goodwill_change__20240831</t>
        </is>
      </c>
      <c r="B384" t="n">
        <v>383</v>
      </c>
      <c r="C384" t="inlineStr">
        <is>
          <t>Change in Goodwill</t>
        </is>
      </c>
      <c r="D384" t="inlineStr">
        <is>
          <t>Current goodwill − prior goodwill. Flat goodwill does not establish absence of impairment disclosed elsewhere.</t>
        </is>
      </c>
      <c r="E384" t="inlineStr">
        <is>
          <t>goodwill_intangibles.goodwill_change.2024-08-31</t>
        </is>
      </c>
      <c r="F384" t="inlineStr">
        <is>
          <t>goodwill_intangibles</t>
        </is>
      </c>
      <c r="G384" t="inlineStr">
        <is>
          <t>ALT DuPont</t>
        </is>
      </c>
      <c r="H384" t="inlineStr">
        <is>
          <t>E87</t>
        </is>
      </c>
      <c r="I384">
        <f>E86-D86</f>
        <v/>
      </c>
      <c r="J384" t="n">
        <v>0</v>
      </c>
      <c r="K384" t="n">
        <v>0.01</v>
      </c>
      <c r="M384" t="inlineStr">
        <is>
          <t>Change in Goodwill = Current Goodwill − Prior Goodwill.|Flat goodwill does not establish absence of impairment disclosed elsewhere.</t>
        </is>
      </c>
      <c r="O384" t="inlineStr">
        <is>
          <t>pending</t>
        </is>
      </c>
      <c r="P384" t="inlineStr">
        <is>
          <t>goodwill_change</t>
        </is>
      </c>
      <c r="Q384" t="n">
        <v>98</v>
      </c>
      <c r="R384" t="n">
        <v>3</v>
      </c>
      <c r="S384" t="inlineStr">
        <is>
          <t>2024-08-31</t>
        </is>
      </c>
    </row>
    <row r="385">
      <c r="A385" t="inlineStr">
        <is>
          <t>goodwill_change__20250831</t>
        </is>
      </c>
      <c r="B385" t="n">
        <v>384</v>
      </c>
      <c r="C385" t="inlineStr">
        <is>
          <t>Change in Goodwill</t>
        </is>
      </c>
      <c r="D385" t="inlineStr">
        <is>
          <t>Current goodwill − prior goodwill. Flat goodwill does not establish absence of impairment disclosed elsewhere.</t>
        </is>
      </c>
      <c r="E385" t="inlineStr">
        <is>
          <t>goodwill_intangibles.goodwill_change.2025-08-31</t>
        </is>
      </c>
      <c r="F385" t="inlineStr">
        <is>
          <t>goodwill_intangibles</t>
        </is>
      </c>
      <c r="G385" t="inlineStr">
        <is>
          <t>ALT DuPont</t>
        </is>
      </c>
      <c r="H385" t="inlineStr">
        <is>
          <t>F87</t>
        </is>
      </c>
      <c r="I385">
        <f>F86-E86</f>
        <v/>
      </c>
      <c r="J385" t="n">
        <v>0</v>
      </c>
      <c r="K385" t="n">
        <v>0.01</v>
      </c>
      <c r="M385" t="inlineStr">
        <is>
          <t>Change in Goodwill = Current Goodwill − Prior Goodwill.|Flat goodwill does not establish absence of impairment disclosed elsewhere.</t>
        </is>
      </c>
      <c r="O385" t="inlineStr">
        <is>
          <t>pending</t>
        </is>
      </c>
      <c r="P385" t="inlineStr">
        <is>
          <t>goodwill_change</t>
        </is>
      </c>
      <c r="Q385" t="n">
        <v>98</v>
      </c>
      <c r="R385" t="n">
        <v>4</v>
      </c>
      <c r="S385" t="inlineStr">
        <is>
          <t>2025-08-31</t>
        </is>
      </c>
    </row>
    <row r="386">
      <c r="A386" t="inlineStr">
        <is>
          <t>goodwill_growth__20220831</t>
        </is>
      </c>
      <c r="B386" t="n">
        <v>385</v>
      </c>
      <c r="C386" t="inlineStr">
        <is>
          <t>Goodwill Growth</t>
        </is>
      </c>
      <c r="D386" t="inlineStr">
        <is>
          <t>Percentage change in reported goodwill.</t>
        </is>
      </c>
      <c r="E386" t="inlineStr">
        <is>
          <t>goodwill_intangibles.goodwill_growth.2022-08-31</t>
        </is>
      </c>
      <c r="F386" t="inlineStr">
        <is>
          <t>goodwill_intangibles</t>
        </is>
      </c>
      <c r="G386" t="inlineStr">
        <is>
          <t>ALT DuPont</t>
        </is>
      </c>
      <c r="H386" t="inlineStr">
        <is>
          <t>C88</t>
        </is>
      </c>
      <c r="I386">
        <f>IF(B86=0,NA(),C86/B86-1)</f>
        <v/>
      </c>
      <c r="J386" t="n">
        <v>0</v>
      </c>
      <c r="K386" t="n">
        <v>0.01</v>
      </c>
      <c r="L386" t="inlineStr">
        <is>
          <t>goodwill_change__20220831</t>
        </is>
      </c>
      <c r="M386" t="inlineStr">
        <is>
          <t>Goodwill Growth = Change in Goodwill / Prior Goodwill.|A zero prior goodwill balance makes percentage growth undefined (#N/A).|Flat goodwill does not establish absence of impairment disclosed elsewhere.</t>
        </is>
      </c>
      <c r="O386" t="inlineStr">
        <is>
          <t>pending</t>
        </is>
      </c>
      <c r="P386" t="inlineStr">
        <is>
          <t>goodwill_growth</t>
        </is>
      </c>
      <c r="Q386" t="n">
        <v>99</v>
      </c>
      <c r="R386" t="n">
        <v>1</v>
      </c>
      <c r="S386" t="inlineStr">
        <is>
          <t>2022-08-31</t>
        </is>
      </c>
    </row>
    <row r="387">
      <c r="A387" t="inlineStr">
        <is>
          <t>goodwill_growth__20230831</t>
        </is>
      </c>
      <c r="B387" t="n">
        <v>386</v>
      </c>
      <c r="C387" t="inlineStr">
        <is>
          <t>Goodwill Growth</t>
        </is>
      </c>
      <c r="D387" t="inlineStr">
        <is>
          <t>Percentage change in reported goodwill.</t>
        </is>
      </c>
      <c r="E387" t="inlineStr">
        <is>
          <t>goodwill_intangibles.goodwill_growth.2023-08-31</t>
        </is>
      </c>
      <c r="F387" t="inlineStr">
        <is>
          <t>goodwill_intangibles</t>
        </is>
      </c>
      <c r="G387" t="inlineStr">
        <is>
          <t>ALT DuPont</t>
        </is>
      </c>
      <c r="H387" t="inlineStr">
        <is>
          <t>D88</t>
        </is>
      </c>
      <c r="I387">
        <f>IF(C86=0,NA(),D86/C86-1)</f>
        <v/>
      </c>
      <c r="J387" t="n">
        <v>0</v>
      </c>
      <c r="K387" t="n">
        <v>0.01</v>
      </c>
      <c r="L387" t="inlineStr">
        <is>
          <t>goodwill_change__20230831</t>
        </is>
      </c>
      <c r="M387" t="inlineStr">
        <is>
          <t>Goodwill Growth = Change in Goodwill / Prior Goodwill.|A zero prior goodwill balance makes percentage growth undefined (#N/A).|Flat goodwill does not establish absence of impairment disclosed elsewhere.</t>
        </is>
      </c>
      <c r="O387" t="inlineStr">
        <is>
          <t>pending</t>
        </is>
      </c>
      <c r="P387" t="inlineStr">
        <is>
          <t>goodwill_growth</t>
        </is>
      </c>
      <c r="Q387" t="n">
        <v>99</v>
      </c>
      <c r="R387" t="n">
        <v>2</v>
      </c>
      <c r="S387" t="inlineStr">
        <is>
          <t>2023-08-31</t>
        </is>
      </c>
    </row>
    <row r="388">
      <c r="A388" t="inlineStr">
        <is>
          <t>goodwill_growth__20240831</t>
        </is>
      </c>
      <c r="B388" t="n">
        <v>387</v>
      </c>
      <c r="C388" t="inlineStr">
        <is>
          <t>Goodwill Growth</t>
        </is>
      </c>
      <c r="D388" t="inlineStr">
        <is>
          <t>Percentage change in reported goodwill.</t>
        </is>
      </c>
      <c r="E388" t="inlineStr">
        <is>
          <t>goodwill_intangibles.goodwill_growth.2024-08-31</t>
        </is>
      </c>
      <c r="F388" t="inlineStr">
        <is>
          <t>goodwill_intangibles</t>
        </is>
      </c>
      <c r="G388" t="inlineStr">
        <is>
          <t>ALT DuPont</t>
        </is>
      </c>
      <c r="H388" t="inlineStr">
        <is>
          <t>E88</t>
        </is>
      </c>
      <c r="I388">
        <f>IF(D86=0,NA(),E86/D86-1)</f>
        <v/>
      </c>
      <c r="J388" t="n">
        <v>0</v>
      </c>
      <c r="K388" t="n">
        <v>0.01</v>
      </c>
      <c r="L388" t="inlineStr">
        <is>
          <t>goodwill_change__20240831</t>
        </is>
      </c>
      <c r="M388" t="inlineStr">
        <is>
          <t>Goodwill Growth = Change in Goodwill / Prior Goodwill.|A zero prior goodwill balance makes percentage growth undefined (#N/A).|Flat goodwill does not establish absence of impairment disclosed elsewhere.</t>
        </is>
      </c>
      <c r="O388" t="inlineStr">
        <is>
          <t>pending</t>
        </is>
      </c>
      <c r="P388" t="inlineStr">
        <is>
          <t>goodwill_growth</t>
        </is>
      </c>
      <c r="Q388" t="n">
        <v>99</v>
      </c>
      <c r="R388" t="n">
        <v>3</v>
      </c>
      <c r="S388" t="inlineStr">
        <is>
          <t>2024-08-31</t>
        </is>
      </c>
    </row>
    <row r="389">
      <c r="A389" t="inlineStr">
        <is>
          <t>goodwill_growth__20250831</t>
        </is>
      </c>
      <c r="B389" t="n">
        <v>388</v>
      </c>
      <c r="C389" t="inlineStr">
        <is>
          <t>Goodwill Growth</t>
        </is>
      </c>
      <c r="D389" t="inlineStr">
        <is>
          <t>Percentage change in reported goodwill.</t>
        </is>
      </c>
      <c r="E389" t="inlineStr">
        <is>
          <t>goodwill_intangibles.goodwill_growth.2025-08-31</t>
        </is>
      </c>
      <c r="F389" t="inlineStr">
        <is>
          <t>goodwill_intangibles</t>
        </is>
      </c>
      <c r="G389" t="inlineStr">
        <is>
          <t>ALT DuPont</t>
        </is>
      </c>
      <c r="H389" t="inlineStr">
        <is>
          <t>F88</t>
        </is>
      </c>
      <c r="I389">
        <f>IF(E86=0,NA(),F86/E86-1)</f>
        <v/>
      </c>
      <c r="J389" t="n">
        <v>0</v>
      </c>
      <c r="K389" t="n">
        <v>0.01</v>
      </c>
      <c r="L389" t="inlineStr">
        <is>
          <t>goodwill_change__20250831</t>
        </is>
      </c>
      <c r="M389" t="inlineStr">
        <is>
          <t>Goodwill Growth = Change in Goodwill / Prior Goodwill.|A zero prior goodwill balance makes percentage growth undefined (#N/A).|Flat goodwill does not establish absence of impairment disclosed elsewhere.</t>
        </is>
      </c>
      <c r="O389" t="inlineStr">
        <is>
          <t>pending</t>
        </is>
      </c>
      <c r="P389" t="inlineStr">
        <is>
          <t>goodwill_growth</t>
        </is>
      </c>
      <c r="Q389" t="n">
        <v>99</v>
      </c>
      <c r="R389" t="n">
        <v>4</v>
      </c>
      <c r="S389" t="inlineStr">
        <is>
          <t>2025-08-31</t>
        </is>
      </c>
    </row>
    <row r="390">
      <c r="A390" t="inlineStr">
        <is>
          <t>average_goodwill__20220831</t>
        </is>
      </c>
      <c r="B390" t="n">
        <v>389</v>
      </c>
      <c r="C390" t="inlineStr">
        <is>
          <t>Average Goodwill</t>
        </is>
      </c>
      <c r="D390" t="inlineStr">
        <is>
          <t>Average beginning and ending goodwill.</t>
        </is>
      </c>
      <c r="E390" t="inlineStr">
        <is>
          <t>goodwill_intangibles.average_goodwill.2022-08-31</t>
        </is>
      </c>
      <c r="F390" t="inlineStr">
        <is>
          <t>goodwill_intangibles</t>
        </is>
      </c>
      <c r="G390" t="inlineStr">
        <is>
          <t>ALT DuPont</t>
        </is>
      </c>
      <c r="H390" t="inlineStr">
        <is>
          <t>C89</t>
        </is>
      </c>
      <c r="I390">
        <f>(B86+C86)/2</f>
        <v/>
      </c>
      <c r="J390" t="n">
        <v>8092</v>
      </c>
      <c r="K390" t="n">
        <v>0.01</v>
      </c>
      <c r="M390" t="inlineStr">
        <is>
          <t>Average Goodwill = (Prior Goodwill + Current Goodwill) / 2.</t>
        </is>
      </c>
      <c r="O390" t="inlineStr">
        <is>
          <t>pending</t>
        </is>
      </c>
      <c r="P390" t="inlineStr">
        <is>
          <t>average_goodwill</t>
        </is>
      </c>
      <c r="Q390" t="n">
        <v>100</v>
      </c>
      <c r="R390" t="n">
        <v>1</v>
      </c>
      <c r="S390" t="inlineStr">
        <is>
          <t>2022-08-31</t>
        </is>
      </c>
    </row>
    <row r="391">
      <c r="A391" t="inlineStr">
        <is>
          <t>average_goodwill__20230831</t>
        </is>
      </c>
      <c r="B391" t="n">
        <v>390</v>
      </c>
      <c r="C391" t="inlineStr">
        <is>
          <t>Average Goodwill</t>
        </is>
      </c>
      <c r="D391" t="inlineStr">
        <is>
          <t>Average beginning and ending goodwill.</t>
        </is>
      </c>
      <c r="E391" t="inlineStr">
        <is>
          <t>goodwill_intangibles.average_goodwill.2023-08-31</t>
        </is>
      </c>
      <c r="F391" t="inlineStr">
        <is>
          <t>goodwill_intangibles</t>
        </is>
      </c>
      <c r="G391" t="inlineStr">
        <is>
          <t>ALT DuPont</t>
        </is>
      </c>
      <c r="H391" t="inlineStr">
        <is>
          <t>D89</t>
        </is>
      </c>
      <c r="I391">
        <f>(C86+D86)/2</f>
        <v/>
      </c>
      <c r="J391" t="n">
        <v>8092</v>
      </c>
      <c r="K391" t="n">
        <v>0.01</v>
      </c>
      <c r="M391" t="inlineStr">
        <is>
          <t>Average Goodwill = (Prior Goodwill + Current Goodwill) / 2.</t>
        </is>
      </c>
      <c r="O391" t="inlineStr">
        <is>
          <t>pending</t>
        </is>
      </c>
      <c r="P391" t="inlineStr">
        <is>
          <t>average_goodwill</t>
        </is>
      </c>
      <c r="Q391" t="n">
        <v>100</v>
      </c>
      <c r="R391" t="n">
        <v>2</v>
      </c>
      <c r="S391" t="inlineStr">
        <is>
          <t>2023-08-31</t>
        </is>
      </c>
    </row>
    <row r="392">
      <c r="A392" t="inlineStr">
        <is>
          <t>average_goodwill__20240831</t>
        </is>
      </c>
      <c r="B392" t="n">
        <v>391</v>
      </c>
      <c r="C392" t="inlineStr">
        <is>
          <t>Average Goodwill</t>
        </is>
      </c>
      <c r="D392" t="inlineStr">
        <is>
          <t>Average beginning and ending goodwill.</t>
        </is>
      </c>
      <c r="E392" t="inlineStr">
        <is>
          <t>goodwill_intangibles.average_goodwill.2024-08-31</t>
        </is>
      </c>
      <c r="F392" t="inlineStr">
        <is>
          <t>goodwill_intangibles</t>
        </is>
      </c>
      <c r="G392" t="inlineStr">
        <is>
          <t>ALT DuPont</t>
        </is>
      </c>
      <c r="H392" t="inlineStr">
        <is>
          <t>E89</t>
        </is>
      </c>
      <c r="I392">
        <f>(D86+E86)/2</f>
        <v/>
      </c>
      <c r="J392" t="n">
        <v>8092</v>
      </c>
      <c r="K392" t="n">
        <v>0.01</v>
      </c>
      <c r="M392" t="inlineStr">
        <is>
          <t>Average Goodwill = (Prior Goodwill + Current Goodwill) / 2.</t>
        </is>
      </c>
      <c r="O392" t="inlineStr">
        <is>
          <t>pending</t>
        </is>
      </c>
      <c r="P392" t="inlineStr">
        <is>
          <t>average_goodwill</t>
        </is>
      </c>
      <c r="Q392" t="n">
        <v>100</v>
      </c>
      <c r="R392" t="n">
        <v>3</v>
      </c>
      <c r="S392" t="inlineStr">
        <is>
          <t>2024-08-31</t>
        </is>
      </c>
    </row>
    <row r="393">
      <c r="A393" t="inlineStr">
        <is>
          <t>average_goodwill__20250831</t>
        </is>
      </c>
      <c r="B393" t="n">
        <v>392</v>
      </c>
      <c r="C393" t="inlineStr">
        <is>
          <t>Average Goodwill</t>
        </is>
      </c>
      <c r="D393" t="inlineStr">
        <is>
          <t>Average beginning and ending goodwill.</t>
        </is>
      </c>
      <c r="E393" t="inlineStr">
        <is>
          <t>goodwill_intangibles.average_goodwill.2025-08-31</t>
        </is>
      </c>
      <c r="F393" t="inlineStr">
        <is>
          <t>goodwill_intangibles</t>
        </is>
      </c>
      <c r="G393" t="inlineStr">
        <is>
          <t>ALT DuPont</t>
        </is>
      </c>
      <c r="H393" t="inlineStr">
        <is>
          <t>F89</t>
        </is>
      </c>
      <c r="I393">
        <f>(E86+F86)/2</f>
        <v/>
      </c>
      <c r="J393" t="n">
        <v>8092</v>
      </c>
      <c r="K393" t="n">
        <v>0.01</v>
      </c>
      <c r="M393" t="inlineStr">
        <is>
          <t>Average Goodwill = (Prior Goodwill + Current Goodwill) / 2.</t>
        </is>
      </c>
      <c r="O393" t="inlineStr">
        <is>
          <t>pending</t>
        </is>
      </c>
      <c r="P393" t="inlineStr">
        <is>
          <t>average_goodwill</t>
        </is>
      </c>
      <c r="Q393" t="n">
        <v>100</v>
      </c>
      <c r="R393" t="n">
        <v>4</v>
      </c>
      <c r="S393" t="inlineStr">
        <is>
          <t>2025-08-31</t>
        </is>
      </c>
    </row>
    <row r="394">
      <c r="A394" t="inlineStr">
        <is>
          <t>goodwill_to_revenue__20220831</t>
        </is>
      </c>
      <c r="B394" t="n">
        <v>393</v>
      </c>
      <c r="C394" t="inlineStr">
        <is>
          <t>Average Goodwill / Revenue</t>
        </is>
      </c>
      <c r="D394" t="inlineStr">
        <is>
          <t>Average goodwill divided by Revenue (average-balance intensity).</t>
        </is>
      </c>
      <c r="E394" t="inlineStr">
        <is>
          <t>goodwill_intangibles.goodwill_to_revenue.2022-08-31</t>
        </is>
      </c>
      <c r="F394" t="inlineStr">
        <is>
          <t>goodwill_intangibles</t>
        </is>
      </c>
      <c r="G394" t="inlineStr">
        <is>
          <t>ALT DuPont</t>
        </is>
      </c>
      <c r="H394" t="inlineStr">
        <is>
          <t>C90</t>
        </is>
      </c>
      <c r="I394">
        <f>IF('Condensed Financials'!C44=0,NA(),C89/'Condensed Financials'!C44)</f>
        <v/>
      </c>
      <c r="J394" t="n">
        <v>0.003516545406979725</v>
      </c>
      <c r="K394" t="n">
        <v>0.01</v>
      </c>
      <c r="L394" t="inlineStr">
        <is>
          <t>average_goodwill__20220831,revenue_link__20220831</t>
        </is>
      </c>
      <c r="M394" t="inlineStr">
        <is>
          <t>Average Goodwill / Revenue uses the average balance, not the ending level alone.|A zero Revenue denominator makes the ratio undefined (#N/A).</t>
        </is>
      </c>
      <c r="O394" t="inlineStr">
        <is>
          <t>pending</t>
        </is>
      </c>
      <c r="P394" t="inlineStr">
        <is>
          <t>goodwill_to_revenue</t>
        </is>
      </c>
      <c r="Q394" t="n">
        <v>101</v>
      </c>
      <c r="R394" t="n">
        <v>1</v>
      </c>
      <c r="S394" t="inlineStr">
        <is>
          <t>2022-08-31</t>
        </is>
      </c>
    </row>
    <row r="395">
      <c r="A395" t="inlineStr">
        <is>
          <t>goodwill_to_revenue__20230831</t>
        </is>
      </c>
      <c r="B395" t="n">
        <v>394</v>
      </c>
      <c r="C395" t="inlineStr">
        <is>
          <t>Average Goodwill / Revenue</t>
        </is>
      </c>
      <c r="D395" t="inlineStr">
        <is>
          <t>Average goodwill divided by Revenue (average-balance intensity).</t>
        </is>
      </c>
      <c r="E395" t="inlineStr">
        <is>
          <t>goodwill_intangibles.goodwill_to_revenue.2023-08-31</t>
        </is>
      </c>
      <c r="F395" t="inlineStr">
        <is>
          <t>goodwill_intangibles</t>
        </is>
      </c>
      <c r="G395" t="inlineStr">
        <is>
          <t>ALT DuPont</t>
        </is>
      </c>
      <c r="H395" t="inlineStr">
        <is>
          <t>D90</t>
        </is>
      </c>
      <c r="I395">
        <f>IF('Condensed Financials'!D44=0,NA(),D89/'Condensed Financials'!D44)</f>
        <v/>
      </c>
      <c r="J395" t="n">
        <v>0.002924935217311626</v>
      </c>
      <c r="K395" t="n">
        <v>0.01</v>
      </c>
      <c r="L395" t="inlineStr">
        <is>
          <t>average_goodwill__20230831,revenue_link__20230831</t>
        </is>
      </c>
      <c r="M395" t="inlineStr">
        <is>
          <t>Average Goodwill / Revenue uses the average balance, not the ending level alone.|A zero Revenue denominator makes the ratio undefined (#N/A).</t>
        </is>
      </c>
      <c r="O395" t="inlineStr">
        <is>
          <t>pending</t>
        </is>
      </c>
      <c r="P395" t="inlineStr">
        <is>
          <t>goodwill_to_revenue</t>
        </is>
      </c>
      <c r="Q395" t="n">
        <v>101</v>
      </c>
      <c r="R395" t="n">
        <v>2</v>
      </c>
      <c r="S395" t="inlineStr">
        <is>
          <t>2023-08-31</t>
        </is>
      </c>
    </row>
    <row r="396">
      <c r="A396" t="inlineStr">
        <is>
          <t>goodwill_to_revenue__20240831</t>
        </is>
      </c>
      <c r="B396" t="n">
        <v>395</v>
      </c>
      <c r="C396" t="inlineStr">
        <is>
          <t>Average Goodwill / Revenue</t>
        </is>
      </c>
      <c r="D396" t="inlineStr">
        <is>
          <t>Average goodwill divided by Revenue (average-balance intensity).</t>
        </is>
      </c>
      <c r="E396" t="inlineStr">
        <is>
          <t>goodwill_intangibles.goodwill_to_revenue.2024-08-31</t>
        </is>
      </c>
      <c r="F396" t="inlineStr">
        <is>
          <t>goodwill_intangibles</t>
        </is>
      </c>
      <c r="G396" t="inlineStr">
        <is>
          <t>ALT DuPont</t>
        </is>
      </c>
      <c r="H396" t="inlineStr">
        <is>
          <t>E90</t>
        </is>
      </c>
      <c r="I396">
        <f>IF('Condensed Financials'!E44=0,NA(),E89/'Condensed Financials'!E44)</f>
        <v/>
      </c>
      <c r="J396" t="n">
        <v>0.002607096508965036</v>
      </c>
      <c r="K396" t="n">
        <v>0.01</v>
      </c>
      <c r="L396" t="inlineStr">
        <is>
          <t>average_goodwill__20240831,revenue_link__20240831</t>
        </is>
      </c>
      <c r="M396" t="inlineStr">
        <is>
          <t>Average Goodwill / Revenue uses the average balance, not the ending level alone.|A zero Revenue denominator makes the ratio undefined (#N/A).</t>
        </is>
      </c>
      <c r="O396" t="inlineStr">
        <is>
          <t>pending</t>
        </is>
      </c>
      <c r="P396" t="inlineStr">
        <is>
          <t>goodwill_to_revenue</t>
        </is>
      </c>
      <c r="Q396" t="n">
        <v>101</v>
      </c>
      <c r="R396" t="n">
        <v>3</v>
      </c>
      <c r="S396" t="inlineStr">
        <is>
          <t>2024-08-31</t>
        </is>
      </c>
    </row>
    <row r="397">
      <c r="A397" t="inlineStr">
        <is>
          <t>goodwill_to_revenue__20250831</t>
        </is>
      </c>
      <c r="B397" t="n">
        <v>396</v>
      </c>
      <c r="C397" t="inlineStr">
        <is>
          <t>Average Goodwill / Revenue</t>
        </is>
      </c>
      <c r="D397" t="inlineStr">
        <is>
          <t>Average goodwill divided by Revenue (average-balance intensity).</t>
        </is>
      </c>
      <c r="E397" t="inlineStr">
        <is>
          <t>goodwill_intangibles.goodwill_to_revenue.2025-08-31</t>
        </is>
      </c>
      <c r="F397" t="inlineStr">
        <is>
          <t>goodwill_intangibles</t>
        </is>
      </c>
      <c r="G397" t="inlineStr">
        <is>
          <t>ALT DuPont</t>
        </is>
      </c>
      <c r="H397" t="inlineStr">
        <is>
          <t>F90</t>
        </is>
      </c>
      <c r="I397">
        <f>IF('Condensed Financials'!F44=0,NA(),F89/'Condensed Financials'!F44)</f>
        <v/>
      </c>
      <c r="J397" t="n">
        <v>0.002379622759803666</v>
      </c>
      <c r="K397" t="n">
        <v>0.01</v>
      </c>
      <c r="L397" t="inlineStr">
        <is>
          <t>average_goodwill__20250831,revenue_link__20250831</t>
        </is>
      </c>
      <c r="M397" t="inlineStr">
        <is>
          <t>Average Goodwill / Revenue uses the average balance, not the ending level alone.|A zero Revenue denominator makes the ratio undefined (#N/A).</t>
        </is>
      </c>
      <c r="O397" t="inlineStr">
        <is>
          <t>pending</t>
        </is>
      </c>
      <c r="P397" t="inlineStr">
        <is>
          <t>goodwill_to_revenue</t>
        </is>
      </c>
      <c r="Q397" t="n">
        <v>101</v>
      </c>
      <c r="R397" t="n">
        <v>4</v>
      </c>
      <c r="S397" t="inlineStr">
        <is>
          <t>2025-08-31</t>
        </is>
      </c>
    </row>
    <row r="398">
      <c r="A398" t="inlineStr">
        <is>
          <t>intangible_assets_change__20220831</t>
        </is>
      </c>
      <c r="B398" t="n">
        <v>397</v>
      </c>
      <c r="C398" t="inlineStr">
        <is>
          <t>Change in Intangible Assets</t>
        </is>
      </c>
      <c r="D398" t="inlineStr">
        <is>
          <t>Current intangible assets − prior intangible assets.</t>
        </is>
      </c>
      <c r="E398" t="inlineStr">
        <is>
          <t>goodwill_intangibles.intangible_assets_change.2022-08-31</t>
        </is>
      </c>
      <c r="F398" t="inlineStr">
        <is>
          <t>goodwill_intangibles</t>
        </is>
      </c>
      <c r="G398" t="inlineStr">
        <is>
          <t>ALT DuPont</t>
        </is>
      </c>
      <c r="H398" t="inlineStr">
        <is>
          <t>C92</t>
        </is>
      </c>
      <c r="I398">
        <f>C91-B91</f>
        <v/>
      </c>
      <c r="J398" t="n">
        <v>9682</v>
      </c>
      <c r="K398" t="n">
        <v>0.01</v>
      </c>
      <c r="M398" t="inlineStr">
        <is>
          <t>Change in Intangible Assets = Current − Prior reported intangible assets.</t>
        </is>
      </c>
      <c r="O398" t="inlineStr">
        <is>
          <t>pending</t>
        </is>
      </c>
      <c r="P398" t="inlineStr">
        <is>
          <t>intangible_assets_change</t>
        </is>
      </c>
      <c r="Q398" t="n">
        <v>102</v>
      </c>
      <c r="R398" t="n">
        <v>1</v>
      </c>
      <c r="S398" t="inlineStr">
        <is>
          <t>2022-08-31</t>
        </is>
      </c>
    </row>
    <row r="399">
      <c r="A399" t="inlineStr">
        <is>
          <t>intangible_assets_change__20230831</t>
        </is>
      </c>
      <c r="B399" t="n">
        <v>398</v>
      </c>
      <c r="C399" t="inlineStr">
        <is>
          <t>Change in Intangible Assets</t>
        </is>
      </c>
      <c r="D399" t="inlineStr">
        <is>
          <t>Current intangible assets − prior intangible assets.</t>
        </is>
      </c>
      <c r="E399" t="inlineStr">
        <is>
          <t>goodwill_intangibles.intangible_assets_change.2023-08-31</t>
        </is>
      </c>
      <c r="F399" t="inlineStr">
        <is>
          <t>goodwill_intangibles</t>
        </is>
      </c>
      <c r="G399" t="inlineStr">
        <is>
          <t>ALT DuPont</t>
        </is>
      </c>
      <c r="H399" t="inlineStr">
        <is>
          <t>D92</t>
        </is>
      </c>
      <c r="I399">
        <f>D91-C91</f>
        <v/>
      </c>
      <c r="J399" t="n">
        <v>10679</v>
      </c>
      <c r="K399" t="n">
        <v>0.01</v>
      </c>
      <c r="M399" t="inlineStr">
        <is>
          <t>Change in Intangible Assets = Current − Prior reported intangible assets.</t>
        </is>
      </c>
      <c r="O399" t="inlineStr">
        <is>
          <t>pending</t>
        </is>
      </c>
      <c r="P399" t="inlineStr">
        <is>
          <t>intangible_assets_change</t>
        </is>
      </c>
      <c r="Q399" t="n">
        <v>102</v>
      </c>
      <c r="R399" t="n">
        <v>2</v>
      </c>
      <c r="S399" t="inlineStr">
        <is>
          <t>2023-08-31</t>
        </is>
      </c>
    </row>
    <row r="400">
      <c r="A400" t="inlineStr">
        <is>
          <t>intangible_assets_change__20240831</t>
        </is>
      </c>
      <c r="B400" t="n">
        <v>399</v>
      </c>
      <c r="C400" t="inlineStr">
        <is>
          <t>Change in Intangible Assets</t>
        </is>
      </c>
      <c r="D400" t="inlineStr">
        <is>
          <t>Current intangible assets − prior intangible assets.</t>
        </is>
      </c>
      <c r="E400" t="inlineStr">
        <is>
          <t>goodwill_intangibles.intangible_assets_change.2024-08-31</t>
        </is>
      </c>
      <c r="F400" t="inlineStr">
        <is>
          <t>goodwill_intangibles</t>
        </is>
      </c>
      <c r="G400" t="inlineStr">
        <is>
          <t>ALT DuPont</t>
        </is>
      </c>
      <c r="H400" t="inlineStr">
        <is>
          <t>E92</t>
        </is>
      </c>
      <c r="I400">
        <f>E91-D91</f>
        <v/>
      </c>
      <c r="J400" t="n">
        <v>5268</v>
      </c>
      <c r="K400" t="n">
        <v>0.01</v>
      </c>
      <c r="M400" t="inlineStr">
        <is>
          <t>Change in Intangible Assets = Current − Prior reported intangible assets.</t>
        </is>
      </c>
      <c r="O400" t="inlineStr">
        <is>
          <t>pending</t>
        </is>
      </c>
      <c r="P400" t="inlineStr">
        <is>
          <t>intangible_assets_change</t>
        </is>
      </c>
      <c r="Q400" t="n">
        <v>102</v>
      </c>
      <c r="R400" t="n">
        <v>3</v>
      </c>
      <c r="S400" t="inlineStr">
        <is>
          <t>2024-08-31</t>
        </is>
      </c>
    </row>
    <row r="401">
      <c r="A401" t="inlineStr">
        <is>
          <t>intangible_assets_change__20250831</t>
        </is>
      </c>
      <c r="B401" t="n">
        <v>400</v>
      </c>
      <c r="C401" t="inlineStr">
        <is>
          <t>Change in Intangible Assets</t>
        </is>
      </c>
      <c r="D401" t="inlineStr">
        <is>
          <t>Current intangible assets − prior intangible assets.</t>
        </is>
      </c>
      <c r="E401" t="inlineStr">
        <is>
          <t>goodwill_intangibles.intangible_assets_change.2025-08-31</t>
        </is>
      </c>
      <c r="F401" t="inlineStr">
        <is>
          <t>goodwill_intangibles</t>
        </is>
      </c>
      <c r="G401" t="inlineStr">
        <is>
          <t>ALT DuPont</t>
        </is>
      </c>
      <c r="H401" t="inlineStr">
        <is>
          <t>F92</t>
        </is>
      </c>
      <c r="I401">
        <f>F91-E91</f>
        <v/>
      </c>
      <c r="J401" t="n">
        <v>-962</v>
      </c>
      <c r="K401" t="n">
        <v>0.01</v>
      </c>
      <c r="M401" t="inlineStr">
        <is>
          <t>Change in Intangible Assets = Current − Prior reported intangible assets.</t>
        </is>
      </c>
      <c r="O401" t="inlineStr">
        <is>
          <t>pending</t>
        </is>
      </c>
      <c r="P401" t="inlineStr">
        <is>
          <t>intangible_assets_change</t>
        </is>
      </c>
      <c r="Q401" t="n">
        <v>102</v>
      </c>
      <c r="R401" t="n">
        <v>4</v>
      </c>
      <c r="S401" t="inlineStr">
        <is>
          <t>2025-08-31</t>
        </is>
      </c>
    </row>
    <row r="402">
      <c r="A402" t="inlineStr">
        <is>
          <t>intangible_assets_growth__20220831</t>
        </is>
      </c>
      <c r="B402" t="n">
        <v>401</v>
      </c>
      <c r="C402" t="inlineStr">
        <is>
          <t>Intangible Assets Growth</t>
        </is>
      </c>
      <c r="D402" t="inlineStr">
        <is>
          <t>Percentage change in reported intangible assets.</t>
        </is>
      </c>
      <c r="E402" t="inlineStr">
        <is>
          <t>goodwill_intangibles.intangible_assets_growth.2022-08-31</t>
        </is>
      </c>
      <c r="F402" t="inlineStr">
        <is>
          <t>goodwill_intangibles</t>
        </is>
      </c>
      <c r="G402" t="inlineStr">
        <is>
          <t>ALT DuPont</t>
        </is>
      </c>
      <c r="H402" t="inlineStr">
        <is>
          <t>C93</t>
        </is>
      </c>
      <c r="I402">
        <f>IF(B91=0,NA(),C91/B91-1)</f>
        <v/>
      </c>
      <c r="J402" t="n">
        <v>0.1446391490760244</v>
      </c>
      <c r="K402" t="n">
        <v>0.01</v>
      </c>
      <c r="L402" t="inlineStr">
        <is>
          <t>intangible_assets_change__20220831</t>
        </is>
      </c>
      <c r="M402" t="inlineStr">
        <is>
          <t>Intangible Assets Growth = Change / Prior intangible assets.|A zero prior balance makes percentage growth undefined (#N/A).</t>
        </is>
      </c>
      <c r="O402" t="inlineStr">
        <is>
          <t>pending</t>
        </is>
      </c>
      <c r="P402" t="inlineStr">
        <is>
          <t>intangible_assets_growth</t>
        </is>
      </c>
      <c r="Q402" t="n">
        <v>103</v>
      </c>
      <c r="R402" t="n">
        <v>1</v>
      </c>
      <c r="S402" t="inlineStr">
        <is>
          <t>2022-08-31</t>
        </is>
      </c>
    </row>
    <row r="403">
      <c r="A403" t="inlineStr">
        <is>
          <t>intangible_assets_growth__20230831</t>
        </is>
      </c>
      <c r="B403" t="n">
        <v>402</v>
      </c>
      <c r="C403" t="inlineStr">
        <is>
          <t>Intangible Assets Growth</t>
        </is>
      </c>
      <c r="D403" t="inlineStr">
        <is>
          <t>Percentage change in reported intangible assets.</t>
        </is>
      </c>
      <c r="E403" t="inlineStr">
        <is>
          <t>goodwill_intangibles.intangible_assets_growth.2023-08-31</t>
        </is>
      </c>
      <c r="F403" t="inlineStr">
        <is>
          <t>goodwill_intangibles</t>
        </is>
      </c>
      <c r="G403" t="inlineStr">
        <is>
          <t>ALT DuPont</t>
        </is>
      </c>
      <c r="H403" t="inlineStr">
        <is>
          <t>D93</t>
        </is>
      </c>
      <c r="I403">
        <f>IF(C91=0,NA(),D91/C91-1)</f>
        <v/>
      </c>
      <c r="J403" t="n">
        <v>0.1393743229662886</v>
      </c>
      <c r="K403" t="n">
        <v>0.01</v>
      </c>
      <c r="L403" t="inlineStr">
        <is>
          <t>intangible_assets_change__20230831</t>
        </is>
      </c>
      <c r="M403" t="inlineStr">
        <is>
          <t>Intangible Assets Growth = Change / Prior intangible assets.|A zero prior balance makes percentage growth undefined (#N/A).</t>
        </is>
      </c>
      <c r="O403" t="inlineStr">
        <is>
          <t>pending</t>
        </is>
      </c>
      <c r="P403" t="inlineStr">
        <is>
          <t>intangible_assets_growth</t>
        </is>
      </c>
      <c r="Q403" t="n">
        <v>103</v>
      </c>
      <c r="R403" t="n">
        <v>2</v>
      </c>
      <c r="S403" t="inlineStr">
        <is>
          <t>2023-08-31</t>
        </is>
      </c>
    </row>
    <row r="404">
      <c r="A404" t="inlineStr">
        <is>
          <t>intangible_assets_growth__20240831</t>
        </is>
      </c>
      <c r="B404" t="n">
        <v>403</v>
      </c>
      <c r="C404" t="inlineStr">
        <is>
          <t>Intangible Assets Growth</t>
        </is>
      </c>
      <c r="D404" t="inlineStr">
        <is>
          <t>Percentage change in reported intangible assets.</t>
        </is>
      </c>
      <c r="E404" t="inlineStr">
        <is>
          <t>goodwill_intangibles.intangible_assets_growth.2024-08-31</t>
        </is>
      </c>
      <c r="F404" t="inlineStr">
        <is>
          <t>goodwill_intangibles</t>
        </is>
      </c>
      <c r="G404" t="inlineStr">
        <is>
          <t>ALT DuPont</t>
        </is>
      </c>
      <c r="H404" t="inlineStr">
        <is>
          <t>E93</t>
        </is>
      </c>
      <c r="I404">
        <f>IF(D91=0,NA(),E91/D91-1)</f>
        <v/>
      </c>
      <c r="J404" t="n">
        <v>0.06034364261168385</v>
      </c>
      <c r="K404" t="n">
        <v>0.01</v>
      </c>
      <c r="L404" t="inlineStr">
        <is>
          <t>intangible_assets_change__20240831</t>
        </is>
      </c>
      <c r="M404" t="inlineStr">
        <is>
          <t>Intangible Assets Growth = Change / Prior intangible assets.|A zero prior balance makes percentage growth undefined (#N/A).</t>
        </is>
      </c>
      <c r="O404" t="inlineStr">
        <is>
          <t>pending</t>
        </is>
      </c>
      <c r="P404" t="inlineStr">
        <is>
          <t>intangible_assets_growth</t>
        </is>
      </c>
      <c r="Q404" t="n">
        <v>103</v>
      </c>
      <c r="R404" t="n">
        <v>3</v>
      </c>
      <c r="S404" t="inlineStr">
        <is>
          <t>2024-08-31</t>
        </is>
      </c>
    </row>
    <row r="405">
      <c r="A405" t="inlineStr">
        <is>
          <t>intangible_assets_growth__20250831</t>
        </is>
      </c>
      <c r="B405" t="n">
        <v>404</v>
      </c>
      <c r="C405" t="inlineStr">
        <is>
          <t>Intangible Assets Growth</t>
        </is>
      </c>
      <c r="D405" t="inlineStr">
        <is>
          <t>Percentage change in reported intangible assets.</t>
        </is>
      </c>
      <c r="E405" t="inlineStr">
        <is>
          <t>goodwill_intangibles.intangible_assets_growth.2025-08-31</t>
        </is>
      </c>
      <c r="F405" t="inlineStr">
        <is>
          <t>goodwill_intangibles</t>
        </is>
      </c>
      <c r="G405" t="inlineStr">
        <is>
          <t>ALT DuPont</t>
        </is>
      </c>
      <c r="H405" t="inlineStr">
        <is>
          <t>F93</t>
        </is>
      </c>
      <c r="I405">
        <f>IF(E91=0,NA(),F91/E91-1)</f>
        <v/>
      </c>
      <c r="J405" t="n">
        <v>-0.01039236021087201</v>
      </c>
      <c r="K405" t="n">
        <v>0.01</v>
      </c>
      <c r="L405" t="inlineStr">
        <is>
          <t>intangible_assets_change__20250831</t>
        </is>
      </c>
      <c r="M405" t="inlineStr">
        <is>
          <t>Intangible Assets Growth = Change / Prior intangible assets.|A zero prior balance makes percentage growth undefined (#N/A).</t>
        </is>
      </c>
      <c r="O405" t="inlineStr">
        <is>
          <t>pending</t>
        </is>
      </c>
      <c r="P405" t="inlineStr">
        <is>
          <t>intangible_assets_growth</t>
        </is>
      </c>
      <c r="Q405" t="n">
        <v>103</v>
      </c>
      <c r="R405" t="n">
        <v>4</v>
      </c>
      <c r="S405" t="inlineStr">
        <is>
          <t>2025-08-31</t>
        </is>
      </c>
    </row>
    <row r="406">
      <c r="A406" t="inlineStr">
        <is>
          <t>average_intangible_assets__20220831</t>
        </is>
      </c>
      <c r="B406" t="n">
        <v>405</v>
      </c>
      <c r="C406" t="inlineStr">
        <is>
          <t>Average Intangible Assets</t>
        </is>
      </c>
      <c r="D406" t="inlineStr">
        <is>
          <t>Average beginning and ending intangible assets.</t>
        </is>
      </c>
      <c r="E406" t="inlineStr">
        <is>
          <t>goodwill_intangibles.average_intangible_assets.2022-08-31</t>
        </is>
      </c>
      <c r="F406" t="inlineStr">
        <is>
          <t>goodwill_intangibles</t>
        </is>
      </c>
      <c r="G406" t="inlineStr">
        <is>
          <t>ALT DuPont</t>
        </is>
      </c>
      <c r="H406" t="inlineStr">
        <is>
          <t>C94</t>
        </is>
      </c>
      <c r="I406">
        <f>(B91+C91)/2</f>
        <v/>
      </c>
      <c r="J406" t="n">
        <v>71780</v>
      </c>
      <c r="K406" t="n">
        <v>0.01</v>
      </c>
      <c r="M406" t="inlineStr">
        <is>
          <t>Average Intangible Assets = (Prior + Current) / 2.</t>
        </is>
      </c>
      <c r="O406" t="inlineStr">
        <is>
          <t>pending</t>
        </is>
      </c>
      <c r="P406" t="inlineStr">
        <is>
          <t>average_intangible_assets</t>
        </is>
      </c>
      <c r="Q406" t="n">
        <v>104</v>
      </c>
      <c r="R406" t="n">
        <v>1</v>
      </c>
      <c r="S406" t="inlineStr">
        <is>
          <t>2022-08-31</t>
        </is>
      </c>
    </row>
    <row r="407">
      <c r="A407" t="inlineStr">
        <is>
          <t>average_intangible_assets__20230831</t>
        </is>
      </c>
      <c r="B407" t="n">
        <v>406</v>
      </c>
      <c r="C407" t="inlineStr">
        <is>
          <t>Average Intangible Assets</t>
        </is>
      </c>
      <c r="D407" t="inlineStr">
        <is>
          <t>Average beginning and ending intangible assets.</t>
        </is>
      </c>
      <c r="E407" t="inlineStr">
        <is>
          <t>goodwill_intangibles.average_intangible_assets.2023-08-31</t>
        </is>
      </c>
      <c r="F407" t="inlineStr">
        <is>
          <t>goodwill_intangibles</t>
        </is>
      </c>
      <c r="G407" t="inlineStr">
        <is>
          <t>ALT DuPont</t>
        </is>
      </c>
      <c r="H407" t="inlineStr">
        <is>
          <t>D94</t>
        </is>
      </c>
      <c r="I407">
        <f>(C91+D91)/2</f>
        <v/>
      </c>
      <c r="J407" t="n">
        <v>81960.5</v>
      </c>
      <c r="K407" t="n">
        <v>0.01</v>
      </c>
      <c r="M407" t="inlineStr">
        <is>
          <t>Average Intangible Assets = (Prior + Current) / 2.</t>
        </is>
      </c>
      <c r="O407" t="inlineStr">
        <is>
          <t>pending</t>
        </is>
      </c>
      <c r="P407" t="inlineStr">
        <is>
          <t>average_intangible_assets</t>
        </is>
      </c>
      <c r="Q407" t="n">
        <v>104</v>
      </c>
      <c r="R407" t="n">
        <v>2</v>
      </c>
      <c r="S407" t="inlineStr">
        <is>
          <t>2023-08-31</t>
        </is>
      </c>
    </row>
    <row r="408">
      <c r="A408" t="inlineStr">
        <is>
          <t>average_intangible_assets__20240831</t>
        </is>
      </c>
      <c r="B408" t="n">
        <v>407</v>
      </c>
      <c r="C408" t="inlineStr">
        <is>
          <t>Average Intangible Assets</t>
        </is>
      </c>
      <c r="D408" t="inlineStr">
        <is>
          <t>Average beginning and ending intangible assets.</t>
        </is>
      </c>
      <c r="E408" t="inlineStr">
        <is>
          <t>goodwill_intangibles.average_intangible_assets.2024-08-31</t>
        </is>
      </c>
      <c r="F408" t="inlineStr">
        <is>
          <t>goodwill_intangibles</t>
        </is>
      </c>
      <c r="G408" t="inlineStr">
        <is>
          <t>ALT DuPont</t>
        </is>
      </c>
      <c r="H408" t="inlineStr">
        <is>
          <t>E94</t>
        </is>
      </c>
      <c r="I408">
        <f>(D91+E91)/2</f>
        <v/>
      </c>
      <c r="J408" t="n">
        <v>89934</v>
      </c>
      <c r="K408" t="n">
        <v>0.01</v>
      </c>
      <c r="M408" t="inlineStr">
        <is>
          <t>Average Intangible Assets = (Prior + Current) / 2.</t>
        </is>
      </c>
      <c r="O408" t="inlineStr">
        <is>
          <t>pending</t>
        </is>
      </c>
      <c r="P408" t="inlineStr">
        <is>
          <t>average_intangible_assets</t>
        </is>
      </c>
      <c r="Q408" t="n">
        <v>104</v>
      </c>
      <c r="R408" t="n">
        <v>3</v>
      </c>
      <c r="S408" t="inlineStr">
        <is>
          <t>2024-08-31</t>
        </is>
      </c>
    </row>
    <row r="409">
      <c r="A409" t="inlineStr">
        <is>
          <t>average_intangible_assets__20250831</t>
        </is>
      </c>
      <c r="B409" t="n">
        <v>408</v>
      </c>
      <c r="C409" t="inlineStr">
        <is>
          <t>Average Intangible Assets</t>
        </is>
      </c>
      <c r="D409" t="inlineStr">
        <is>
          <t>Average beginning and ending intangible assets.</t>
        </is>
      </c>
      <c r="E409" t="inlineStr">
        <is>
          <t>goodwill_intangibles.average_intangible_assets.2025-08-31</t>
        </is>
      </c>
      <c r="F409" t="inlineStr">
        <is>
          <t>goodwill_intangibles</t>
        </is>
      </c>
      <c r="G409" t="inlineStr">
        <is>
          <t>ALT DuPont</t>
        </is>
      </c>
      <c r="H409" t="inlineStr">
        <is>
          <t>F94</t>
        </is>
      </c>
      <c r="I409">
        <f>(E91+F91)/2</f>
        <v/>
      </c>
      <c r="J409" t="n">
        <v>92087</v>
      </c>
      <c r="K409" t="n">
        <v>0.01</v>
      </c>
      <c r="M409" t="inlineStr">
        <is>
          <t>Average Intangible Assets = (Prior + Current) / 2.</t>
        </is>
      </c>
      <c r="O409" t="inlineStr">
        <is>
          <t>pending</t>
        </is>
      </c>
      <c r="P409" t="inlineStr">
        <is>
          <t>average_intangible_assets</t>
        </is>
      </c>
      <c r="Q409" t="n">
        <v>104</v>
      </c>
      <c r="R409" t="n">
        <v>4</v>
      </c>
      <c r="S409" t="inlineStr">
        <is>
          <t>2025-08-31</t>
        </is>
      </c>
    </row>
    <row r="410">
      <c r="A410" t="inlineStr">
        <is>
          <t>intangible_assets_to_revenue__20220831</t>
        </is>
      </c>
      <c r="B410" t="n">
        <v>409</v>
      </c>
      <c r="C410" t="inlineStr">
        <is>
          <t>Average Intangible Assets / Revenue</t>
        </is>
      </c>
      <c r="D410" t="inlineStr">
        <is>
          <t>Average intangible assets divided by Revenue (average-balance intensity).</t>
        </is>
      </c>
      <c r="E410" t="inlineStr">
        <is>
          <t>goodwill_intangibles.intangible_assets_to_revenue.2022-08-31</t>
        </is>
      </c>
      <c r="F410" t="inlineStr">
        <is>
          <t>goodwill_intangibles</t>
        </is>
      </c>
      <c r="G410" t="inlineStr">
        <is>
          <t>ALT DuPont</t>
        </is>
      </c>
      <c r="H410" t="inlineStr">
        <is>
          <t>C95</t>
        </is>
      </c>
      <c r="I410">
        <f>IF('Condensed Financials'!C44=0,NA(),C94/'Condensed Financials'!C44)</f>
        <v/>
      </c>
      <c r="J410" t="n">
        <v>0.03119347865954087</v>
      </c>
      <c r="K410" t="n">
        <v>0.01</v>
      </c>
      <c r="L410" t="inlineStr">
        <is>
          <t>average_intangible_assets__20220831,revenue_link__20220831</t>
        </is>
      </c>
      <c r="M410" t="inlineStr">
        <is>
          <t>Average Intangible Assets / Revenue uses the average balance.|A zero Revenue denominator makes the ratio undefined (#N/A).</t>
        </is>
      </c>
      <c r="O410" t="inlineStr">
        <is>
          <t>pending</t>
        </is>
      </c>
      <c r="P410" t="inlineStr">
        <is>
          <t>intangible_assets_to_revenue</t>
        </is>
      </c>
      <c r="Q410" t="n">
        <v>105</v>
      </c>
      <c r="R410" t="n">
        <v>1</v>
      </c>
      <c r="S410" t="inlineStr">
        <is>
          <t>2022-08-31</t>
        </is>
      </c>
    </row>
    <row r="411">
      <c r="A411" t="inlineStr">
        <is>
          <t>intangible_assets_to_revenue__20230831</t>
        </is>
      </c>
      <c r="B411" t="n">
        <v>410</v>
      </c>
      <c r="C411" t="inlineStr">
        <is>
          <t>Average Intangible Assets / Revenue</t>
        </is>
      </c>
      <c r="D411" t="inlineStr">
        <is>
          <t>Average intangible assets divided by Revenue (average-balance intensity).</t>
        </is>
      </c>
      <c r="E411" t="inlineStr">
        <is>
          <t>goodwill_intangibles.intangible_assets_to_revenue.2023-08-31</t>
        </is>
      </c>
      <c r="F411" t="inlineStr">
        <is>
          <t>goodwill_intangibles</t>
        </is>
      </c>
      <c r="G411" t="inlineStr">
        <is>
          <t>ALT DuPont</t>
        </is>
      </c>
      <c r="H411" t="inlineStr">
        <is>
          <t>D95</t>
        </is>
      </c>
      <c r="I411">
        <f>IF('Condensed Financials'!D44=0,NA(),D94/'Condensed Financials'!D44)</f>
        <v/>
      </c>
      <c r="J411" t="n">
        <v>0.02962545141849598</v>
      </c>
      <c r="K411" t="n">
        <v>0.01</v>
      </c>
      <c r="L411" t="inlineStr">
        <is>
          <t>average_intangible_assets__20230831,revenue_link__20230831</t>
        </is>
      </c>
      <c r="M411" t="inlineStr">
        <is>
          <t>Average Intangible Assets / Revenue uses the average balance.|A zero Revenue denominator makes the ratio undefined (#N/A).</t>
        </is>
      </c>
      <c r="O411" t="inlineStr">
        <is>
          <t>pending</t>
        </is>
      </c>
      <c r="P411" t="inlineStr">
        <is>
          <t>intangible_assets_to_revenue</t>
        </is>
      </c>
      <c r="Q411" t="n">
        <v>105</v>
      </c>
      <c r="R411" t="n">
        <v>2</v>
      </c>
      <c r="S411" t="inlineStr">
        <is>
          <t>2023-08-31</t>
        </is>
      </c>
    </row>
    <row r="412">
      <c r="A412" t="inlineStr">
        <is>
          <t>intangible_assets_to_revenue__20240831</t>
        </is>
      </c>
      <c r="B412" t="n">
        <v>411</v>
      </c>
      <c r="C412" t="inlineStr">
        <is>
          <t>Average Intangible Assets / Revenue</t>
        </is>
      </c>
      <c r="D412" t="inlineStr">
        <is>
          <t>Average intangible assets divided by Revenue (average-balance intensity).</t>
        </is>
      </c>
      <c r="E412" t="inlineStr">
        <is>
          <t>goodwill_intangibles.intangible_assets_to_revenue.2024-08-31</t>
        </is>
      </c>
      <c r="F412" t="inlineStr">
        <is>
          <t>goodwill_intangibles</t>
        </is>
      </c>
      <c r="G412" t="inlineStr">
        <is>
          <t>ALT DuPont</t>
        </is>
      </c>
      <c r="H412" t="inlineStr">
        <is>
          <t>E95</t>
        </is>
      </c>
      <c r="I412">
        <f>IF('Condensed Financials'!E44=0,NA(),E94/'Condensed Financials'!E44)</f>
        <v/>
      </c>
      <c r="J412" t="n">
        <v>0.02897511337583558</v>
      </c>
      <c r="K412" t="n">
        <v>0.01</v>
      </c>
      <c r="L412" t="inlineStr">
        <is>
          <t>average_intangible_assets__20240831,revenue_link__20240831</t>
        </is>
      </c>
      <c r="M412" t="inlineStr">
        <is>
          <t>Average Intangible Assets / Revenue uses the average balance.|A zero Revenue denominator makes the ratio undefined (#N/A).</t>
        </is>
      </c>
      <c r="O412" t="inlineStr">
        <is>
          <t>pending</t>
        </is>
      </c>
      <c r="P412" t="inlineStr">
        <is>
          <t>intangible_assets_to_revenue</t>
        </is>
      </c>
      <c r="Q412" t="n">
        <v>105</v>
      </c>
      <c r="R412" t="n">
        <v>3</v>
      </c>
      <c r="S412" t="inlineStr">
        <is>
          <t>2024-08-31</t>
        </is>
      </c>
    </row>
    <row r="413">
      <c r="A413" t="inlineStr">
        <is>
          <t>intangible_assets_to_revenue__20250831</t>
        </is>
      </c>
      <c r="B413" t="n">
        <v>412</v>
      </c>
      <c r="C413" t="inlineStr">
        <is>
          <t>Average Intangible Assets / Revenue</t>
        </is>
      </c>
      <c r="D413" t="inlineStr">
        <is>
          <t>Average intangible assets divided by Revenue (average-balance intensity).</t>
        </is>
      </c>
      <c r="E413" t="inlineStr">
        <is>
          <t>goodwill_intangibles.intangible_assets_to_revenue.2025-08-31</t>
        </is>
      </c>
      <c r="F413" t="inlineStr">
        <is>
          <t>goodwill_intangibles</t>
        </is>
      </c>
      <c r="G413" t="inlineStr">
        <is>
          <t>ALT DuPont</t>
        </is>
      </c>
      <c r="H413" t="inlineStr">
        <is>
          <t>F95</t>
        </is>
      </c>
      <c r="I413">
        <f>IF('Condensed Financials'!F44=0,NA(),F94/'Condensed Financials'!F44)</f>
        <v/>
      </c>
      <c r="J413" t="n">
        <v>0.02708011876940685</v>
      </c>
      <c r="K413" t="n">
        <v>0.01</v>
      </c>
      <c r="L413" t="inlineStr">
        <is>
          <t>average_intangible_assets__20250831,revenue_link__20250831</t>
        </is>
      </c>
      <c r="M413" t="inlineStr">
        <is>
          <t>Average Intangible Assets / Revenue uses the average balance.|A zero Revenue denominator makes the ratio undefined (#N/A).</t>
        </is>
      </c>
      <c r="O413" t="inlineStr">
        <is>
          <t>pending</t>
        </is>
      </c>
      <c r="P413" t="inlineStr">
        <is>
          <t>intangible_assets_to_revenue</t>
        </is>
      </c>
      <c r="Q413" t="n">
        <v>105</v>
      </c>
      <c r="R413" t="n">
        <v>4</v>
      </c>
      <c r="S413" t="inlineStr">
        <is>
          <t>2025-08-31</t>
        </is>
      </c>
    </row>
    <row r="414">
      <c r="A414" t="inlineStr">
        <is>
          <t>goodwill_and_intangibles_change__20220831</t>
        </is>
      </c>
      <c r="B414" t="n">
        <v>413</v>
      </c>
      <c r="C414" t="inlineStr">
        <is>
          <t>Change in Goodwill &amp; Intangibles</t>
        </is>
      </c>
      <c r="D414" t="inlineStr">
        <is>
          <t>Current combined total − prior combined total.</t>
        </is>
      </c>
      <c r="E414" t="inlineStr">
        <is>
          <t>goodwill_intangibles.goodwill_and_intangibles_change.2022-08-31</t>
        </is>
      </c>
      <c r="F414" t="inlineStr">
        <is>
          <t>goodwill_intangibles</t>
        </is>
      </c>
      <c r="G414" t="inlineStr">
        <is>
          <t>ALT DuPont</t>
        </is>
      </c>
      <c r="H414" t="inlineStr">
        <is>
          <t>C97</t>
        </is>
      </c>
      <c r="I414">
        <f>C96-B96</f>
        <v/>
      </c>
      <c r="J414" t="n">
        <v>9682</v>
      </c>
      <c r="K414" t="n">
        <v>0.01</v>
      </c>
      <c r="M414" t="inlineStr">
        <is>
          <t>Combined total is the sum of uniquely resolved goodwill and intangible assets only.</t>
        </is>
      </c>
      <c r="O414" t="inlineStr">
        <is>
          <t>pending</t>
        </is>
      </c>
      <c r="P414" t="inlineStr">
        <is>
          <t>goodwill_and_intangibles_change</t>
        </is>
      </c>
      <c r="Q414" t="n">
        <v>106</v>
      </c>
      <c r="R414" t="n">
        <v>1</v>
      </c>
      <c r="S414" t="inlineStr">
        <is>
          <t>2022-08-31</t>
        </is>
      </c>
    </row>
    <row r="415">
      <c r="A415" t="inlineStr">
        <is>
          <t>goodwill_and_intangibles_change__20230831</t>
        </is>
      </c>
      <c r="B415" t="n">
        <v>414</v>
      </c>
      <c r="C415" t="inlineStr">
        <is>
          <t>Change in Goodwill &amp; Intangibles</t>
        </is>
      </c>
      <c r="D415" t="inlineStr">
        <is>
          <t>Current combined total − prior combined total.</t>
        </is>
      </c>
      <c r="E415" t="inlineStr">
        <is>
          <t>goodwill_intangibles.goodwill_and_intangibles_change.2023-08-31</t>
        </is>
      </c>
      <c r="F415" t="inlineStr">
        <is>
          <t>goodwill_intangibles</t>
        </is>
      </c>
      <c r="G415" t="inlineStr">
        <is>
          <t>ALT DuPont</t>
        </is>
      </c>
      <c r="H415" t="inlineStr">
        <is>
          <t>D97</t>
        </is>
      </c>
      <c r="I415">
        <f>D96-C96</f>
        <v/>
      </c>
      <c r="J415" t="n">
        <v>10679</v>
      </c>
      <c r="K415" t="n">
        <v>0.01</v>
      </c>
      <c r="M415" t="inlineStr">
        <is>
          <t>Combined total is the sum of uniquely resolved goodwill and intangible assets only.</t>
        </is>
      </c>
      <c r="O415" t="inlineStr">
        <is>
          <t>pending</t>
        </is>
      </c>
      <c r="P415" t="inlineStr">
        <is>
          <t>goodwill_and_intangibles_change</t>
        </is>
      </c>
      <c r="Q415" t="n">
        <v>106</v>
      </c>
      <c r="R415" t="n">
        <v>2</v>
      </c>
      <c r="S415" t="inlineStr">
        <is>
          <t>2023-08-31</t>
        </is>
      </c>
    </row>
    <row r="416">
      <c r="A416" t="inlineStr">
        <is>
          <t>goodwill_and_intangibles_change__20240831</t>
        </is>
      </c>
      <c r="B416" t="n">
        <v>415</v>
      </c>
      <c r="C416" t="inlineStr">
        <is>
          <t>Change in Goodwill &amp; Intangibles</t>
        </is>
      </c>
      <c r="D416" t="inlineStr">
        <is>
          <t>Current combined total − prior combined total.</t>
        </is>
      </c>
      <c r="E416" t="inlineStr">
        <is>
          <t>goodwill_intangibles.goodwill_and_intangibles_change.2024-08-31</t>
        </is>
      </c>
      <c r="F416" t="inlineStr">
        <is>
          <t>goodwill_intangibles</t>
        </is>
      </c>
      <c r="G416" t="inlineStr">
        <is>
          <t>ALT DuPont</t>
        </is>
      </c>
      <c r="H416" t="inlineStr">
        <is>
          <t>E97</t>
        </is>
      </c>
      <c r="I416">
        <f>E96-D96</f>
        <v/>
      </c>
      <c r="J416" t="n">
        <v>5268</v>
      </c>
      <c r="K416" t="n">
        <v>0.01</v>
      </c>
      <c r="M416" t="inlineStr">
        <is>
          <t>Combined total is the sum of uniquely resolved goodwill and intangible assets only.</t>
        </is>
      </c>
      <c r="O416" t="inlineStr">
        <is>
          <t>pending</t>
        </is>
      </c>
      <c r="P416" t="inlineStr">
        <is>
          <t>goodwill_and_intangibles_change</t>
        </is>
      </c>
      <c r="Q416" t="n">
        <v>106</v>
      </c>
      <c r="R416" t="n">
        <v>3</v>
      </c>
      <c r="S416" t="inlineStr">
        <is>
          <t>2024-08-31</t>
        </is>
      </c>
    </row>
    <row r="417">
      <c r="A417" t="inlineStr">
        <is>
          <t>goodwill_and_intangibles_change__20250831</t>
        </is>
      </c>
      <c r="B417" t="n">
        <v>416</v>
      </c>
      <c r="C417" t="inlineStr">
        <is>
          <t>Change in Goodwill &amp; Intangibles</t>
        </is>
      </c>
      <c r="D417" t="inlineStr">
        <is>
          <t>Current combined total − prior combined total.</t>
        </is>
      </c>
      <c r="E417" t="inlineStr">
        <is>
          <t>goodwill_intangibles.goodwill_and_intangibles_change.2025-08-31</t>
        </is>
      </c>
      <c r="F417" t="inlineStr">
        <is>
          <t>goodwill_intangibles</t>
        </is>
      </c>
      <c r="G417" t="inlineStr">
        <is>
          <t>ALT DuPont</t>
        </is>
      </c>
      <c r="H417" t="inlineStr">
        <is>
          <t>F97</t>
        </is>
      </c>
      <c r="I417">
        <f>F96-E96</f>
        <v/>
      </c>
      <c r="J417" t="n">
        <v>-962</v>
      </c>
      <c r="K417" t="n">
        <v>0.01</v>
      </c>
      <c r="M417" t="inlineStr">
        <is>
          <t>Combined total is the sum of uniquely resolved goodwill and intangible assets only.</t>
        </is>
      </c>
      <c r="O417" t="inlineStr">
        <is>
          <t>pending</t>
        </is>
      </c>
      <c r="P417" t="inlineStr">
        <is>
          <t>goodwill_and_intangibles_change</t>
        </is>
      </c>
      <c r="Q417" t="n">
        <v>106</v>
      </c>
      <c r="R417" t="n">
        <v>4</v>
      </c>
      <c r="S417" t="inlineStr">
        <is>
          <t>2025-08-31</t>
        </is>
      </c>
    </row>
    <row r="418">
      <c r="A418" t="inlineStr">
        <is>
          <t>goodwill_and_intangibles_growth__20220831</t>
        </is>
      </c>
      <c r="B418" t="n">
        <v>417</v>
      </c>
      <c r="C418" t="inlineStr">
        <is>
          <t>Goodwill &amp; Intangibles Growth</t>
        </is>
      </c>
      <c r="D418" t="inlineStr">
        <is>
          <t>Percentage change in the combined goodwill and intangibles total.</t>
        </is>
      </c>
      <c r="E418" t="inlineStr">
        <is>
          <t>goodwill_intangibles.goodwill_and_intangibles_growth.2022-08-31</t>
        </is>
      </c>
      <c r="F418" t="inlineStr">
        <is>
          <t>goodwill_intangibles</t>
        </is>
      </c>
      <c r="G418" t="inlineStr">
        <is>
          <t>ALT DuPont</t>
        </is>
      </c>
      <c r="H418" t="inlineStr">
        <is>
          <t>C98</t>
        </is>
      </c>
      <c r="I418">
        <f>IF(B96=0,NA(),C96/B96-1)</f>
        <v/>
      </c>
      <c r="J418" t="n">
        <v>0.1290399968013221</v>
      </c>
      <c r="K418" t="n">
        <v>0.01</v>
      </c>
      <c r="L418" t="inlineStr">
        <is>
          <t>goodwill_and_intangibles_change__20220831</t>
        </is>
      </c>
      <c r="M418" t="inlineStr">
        <is>
          <t>Growth = Change / Prior combined total.|A zero prior combined total makes percentage growth undefined (#N/A).</t>
        </is>
      </c>
      <c r="O418" t="inlineStr">
        <is>
          <t>pending</t>
        </is>
      </c>
      <c r="P418" t="inlineStr">
        <is>
          <t>goodwill_and_intangibles_growth</t>
        </is>
      </c>
      <c r="Q418" t="n">
        <v>107</v>
      </c>
      <c r="R418" t="n">
        <v>1</v>
      </c>
      <c r="S418" t="inlineStr">
        <is>
          <t>2022-08-31</t>
        </is>
      </c>
    </row>
    <row r="419">
      <c r="A419" t="inlineStr">
        <is>
          <t>goodwill_and_intangibles_growth__20230831</t>
        </is>
      </c>
      <c r="B419" t="n">
        <v>418</v>
      </c>
      <c r="C419" t="inlineStr">
        <is>
          <t>Goodwill &amp; Intangibles Growth</t>
        </is>
      </c>
      <c r="D419" t="inlineStr">
        <is>
          <t>Percentage change in the combined goodwill and intangibles total.</t>
        </is>
      </c>
      <c r="E419" t="inlineStr">
        <is>
          <t>goodwill_intangibles.goodwill_and_intangibles_growth.2023-08-31</t>
        </is>
      </c>
      <c r="F419" t="inlineStr">
        <is>
          <t>goodwill_intangibles</t>
        </is>
      </c>
      <c r="G419" t="inlineStr">
        <is>
          <t>ALT DuPont</t>
        </is>
      </c>
      <c r="H419" t="inlineStr">
        <is>
          <t>D98</t>
        </is>
      </c>
      <c r="I419">
        <f>IF(C96=0,NA(),D96/C96-1)</f>
        <v/>
      </c>
      <c r="J419" t="n">
        <v>0.1260609351575319</v>
      </c>
      <c r="K419" t="n">
        <v>0.01</v>
      </c>
      <c r="L419" t="inlineStr">
        <is>
          <t>goodwill_and_intangibles_change__20230831</t>
        </is>
      </c>
      <c r="M419" t="inlineStr">
        <is>
          <t>Growth = Change / Prior combined total.|A zero prior combined total makes percentage growth undefined (#N/A).</t>
        </is>
      </c>
      <c r="O419" t="inlineStr">
        <is>
          <t>pending</t>
        </is>
      </c>
      <c r="P419" t="inlineStr">
        <is>
          <t>goodwill_and_intangibles_growth</t>
        </is>
      </c>
      <c r="Q419" t="n">
        <v>107</v>
      </c>
      <c r="R419" t="n">
        <v>2</v>
      </c>
      <c r="S419" t="inlineStr">
        <is>
          <t>2023-08-31</t>
        </is>
      </c>
    </row>
    <row r="420">
      <c r="A420" t="inlineStr">
        <is>
          <t>goodwill_and_intangibles_growth__20240831</t>
        </is>
      </c>
      <c r="B420" t="n">
        <v>419</v>
      </c>
      <c r="C420" t="inlineStr">
        <is>
          <t>Goodwill &amp; Intangibles Growth</t>
        </is>
      </c>
      <c r="D420" t="inlineStr">
        <is>
          <t>Percentage change in the combined goodwill and intangibles total.</t>
        </is>
      </c>
      <c r="E420" t="inlineStr">
        <is>
          <t>goodwill_intangibles.goodwill_and_intangibles_growth.2024-08-31</t>
        </is>
      </c>
      <c r="F420" t="inlineStr">
        <is>
          <t>goodwill_intangibles</t>
        </is>
      </c>
      <c r="G420" t="inlineStr">
        <is>
          <t>ALT DuPont</t>
        </is>
      </c>
      <c r="H420" t="inlineStr">
        <is>
          <t>E98</t>
        </is>
      </c>
      <c r="I420">
        <f>IF(D96=0,NA(),E96/D96-1)</f>
        <v/>
      </c>
      <c r="J420" t="n">
        <v>0.05522475679302247</v>
      </c>
      <c r="K420" t="n">
        <v>0.01</v>
      </c>
      <c r="L420" t="inlineStr">
        <is>
          <t>goodwill_and_intangibles_change__20240831</t>
        </is>
      </c>
      <c r="M420" t="inlineStr">
        <is>
          <t>Growth = Change / Prior combined total.|A zero prior combined total makes percentage growth undefined (#N/A).</t>
        </is>
      </c>
      <c r="O420" t="inlineStr">
        <is>
          <t>pending</t>
        </is>
      </c>
      <c r="P420" t="inlineStr">
        <is>
          <t>goodwill_and_intangibles_growth</t>
        </is>
      </c>
      <c r="Q420" t="n">
        <v>107</v>
      </c>
      <c r="R420" t="n">
        <v>3</v>
      </c>
      <c r="S420" t="inlineStr">
        <is>
          <t>2024-08-31</t>
        </is>
      </c>
    </row>
    <row r="421">
      <c r="A421" t="inlineStr">
        <is>
          <t>goodwill_and_intangibles_growth__20250831</t>
        </is>
      </c>
      <c r="B421" t="n">
        <v>420</v>
      </c>
      <c r="C421" t="inlineStr">
        <is>
          <t>Goodwill &amp; Intangibles Growth</t>
        </is>
      </c>
      <c r="D421" t="inlineStr">
        <is>
          <t>Percentage change in the combined goodwill and intangibles total.</t>
        </is>
      </c>
      <c r="E421" t="inlineStr">
        <is>
          <t>goodwill_intangibles.goodwill_and_intangibles_growth.2025-08-31</t>
        </is>
      </c>
      <c r="F421" t="inlineStr">
        <is>
          <t>goodwill_intangibles</t>
        </is>
      </c>
      <c r="G421" t="inlineStr">
        <is>
          <t>ALT DuPont</t>
        </is>
      </c>
      <c r="H421" t="inlineStr">
        <is>
          <t>F98</t>
        </is>
      </c>
      <c r="I421">
        <f>IF(E96=0,NA(),F96/E96-1)</f>
        <v/>
      </c>
      <c r="J421" t="n">
        <v>-0.009556924299622491</v>
      </c>
      <c r="K421" t="n">
        <v>0.01</v>
      </c>
      <c r="L421" t="inlineStr">
        <is>
          <t>goodwill_and_intangibles_change__20250831</t>
        </is>
      </c>
      <c r="M421" t="inlineStr">
        <is>
          <t>Growth = Change / Prior combined total.|A zero prior combined total makes percentage growth undefined (#N/A).</t>
        </is>
      </c>
      <c r="O421" t="inlineStr">
        <is>
          <t>pending</t>
        </is>
      </c>
      <c r="P421" t="inlineStr">
        <is>
          <t>goodwill_and_intangibles_growth</t>
        </is>
      </c>
      <c r="Q421" t="n">
        <v>107</v>
      </c>
      <c r="R421" t="n">
        <v>4</v>
      </c>
      <c r="S421" t="inlineStr">
        <is>
          <t>2025-08-31</t>
        </is>
      </c>
    </row>
    <row r="422">
      <c r="A422" t="inlineStr">
        <is>
          <t>average_goodwill_and_intangibles__20220831</t>
        </is>
      </c>
      <c r="B422" t="n">
        <v>421</v>
      </c>
      <c r="C422" t="inlineStr">
        <is>
          <t>Average Goodwill &amp; Intangibles</t>
        </is>
      </c>
      <c r="D422" t="inlineStr">
        <is>
          <t>Average beginning and ending combined goodwill and intangibles.</t>
        </is>
      </c>
      <c r="E422" t="inlineStr">
        <is>
          <t>goodwill_intangibles.average_goodwill_and_intangibles.2022-08-31</t>
        </is>
      </c>
      <c r="F422" t="inlineStr">
        <is>
          <t>goodwill_intangibles</t>
        </is>
      </c>
      <c r="G422" t="inlineStr">
        <is>
          <t>ALT DuPont</t>
        </is>
      </c>
      <c r="H422" t="inlineStr">
        <is>
          <t>C99</t>
        </is>
      </c>
      <c r="I422">
        <f>(B96+C96)/2</f>
        <v/>
      </c>
      <c r="J422" t="n">
        <v>79872</v>
      </c>
      <c r="K422" t="n">
        <v>0.01</v>
      </c>
      <c r="M422" t="inlineStr">
        <is>
          <t>Average = (Prior combined + Current combined) / 2.</t>
        </is>
      </c>
      <c r="O422" t="inlineStr">
        <is>
          <t>pending</t>
        </is>
      </c>
      <c r="P422" t="inlineStr">
        <is>
          <t>average_goodwill_and_intangibles</t>
        </is>
      </c>
      <c r="Q422" t="n">
        <v>108</v>
      </c>
      <c r="R422" t="n">
        <v>1</v>
      </c>
      <c r="S422" t="inlineStr">
        <is>
          <t>2022-08-31</t>
        </is>
      </c>
    </row>
    <row r="423">
      <c r="A423" t="inlineStr">
        <is>
          <t>average_goodwill_and_intangibles__20230831</t>
        </is>
      </c>
      <c r="B423" t="n">
        <v>422</v>
      </c>
      <c r="C423" t="inlineStr">
        <is>
          <t>Average Goodwill &amp; Intangibles</t>
        </is>
      </c>
      <c r="D423" t="inlineStr">
        <is>
          <t>Average beginning and ending combined goodwill and intangibles.</t>
        </is>
      </c>
      <c r="E423" t="inlineStr">
        <is>
          <t>goodwill_intangibles.average_goodwill_and_intangibles.2023-08-31</t>
        </is>
      </c>
      <c r="F423" t="inlineStr">
        <is>
          <t>goodwill_intangibles</t>
        </is>
      </c>
      <c r="G423" t="inlineStr">
        <is>
          <t>ALT DuPont</t>
        </is>
      </c>
      <c r="H423" t="inlineStr">
        <is>
          <t>D99</t>
        </is>
      </c>
      <c r="I423">
        <f>(C96+D96)/2</f>
        <v/>
      </c>
      <c r="J423" t="n">
        <v>90052.5</v>
      </c>
      <c r="K423" t="n">
        <v>0.01</v>
      </c>
      <c r="M423" t="inlineStr">
        <is>
          <t>Average = (Prior combined + Current combined) / 2.</t>
        </is>
      </c>
      <c r="O423" t="inlineStr">
        <is>
          <t>pending</t>
        </is>
      </c>
      <c r="P423" t="inlineStr">
        <is>
          <t>average_goodwill_and_intangibles</t>
        </is>
      </c>
      <c r="Q423" t="n">
        <v>108</v>
      </c>
      <c r="R423" t="n">
        <v>2</v>
      </c>
      <c r="S423" t="inlineStr">
        <is>
          <t>2023-08-31</t>
        </is>
      </c>
    </row>
    <row r="424">
      <c r="A424" t="inlineStr">
        <is>
          <t>average_goodwill_and_intangibles__20240831</t>
        </is>
      </c>
      <c r="B424" t="n">
        <v>423</v>
      </c>
      <c r="C424" t="inlineStr">
        <is>
          <t>Average Goodwill &amp; Intangibles</t>
        </is>
      </c>
      <c r="D424" t="inlineStr">
        <is>
          <t>Average beginning and ending combined goodwill and intangibles.</t>
        </is>
      </c>
      <c r="E424" t="inlineStr">
        <is>
          <t>goodwill_intangibles.average_goodwill_and_intangibles.2024-08-31</t>
        </is>
      </c>
      <c r="F424" t="inlineStr">
        <is>
          <t>goodwill_intangibles</t>
        </is>
      </c>
      <c r="G424" t="inlineStr">
        <is>
          <t>ALT DuPont</t>
        </is>
      </c>
      <c r="H424" t="inlineStr">
        <is>
          <t>E99</t>
        </is>
      </c>
      <c r="I424">
        <f>(D96+E96)/2</f>
        <v/>
      </c>
      <c r="J424" t="n">
        <v>98026</v>
      </c>
      <c r="K424" t="n">
        <v>0.01</v>
      </c>
      <c r="M424" t="inlineStr">
        <is>
          <t>Average = (Prior combined + Current combined) / 2.</t>
        </is>
      </c>
      <c r="O424" t="inlineStr">
        <is>
          <t>pending</t>
        </is>
      </c>
      <c r="P424" t="inlineStr">
        <is>
          <t>average_goodwill_and_intangibles</t>
        </is>
      </c>
      <c r="Q424" t="n">
        <v>108</v>
      </c>
      <c r="R424" t="n">
        <v>3</v>
      </c>
      <c r="S424" t="inlineStr">
        <is>
          <t>2024-08-31</t>
        </is>
      </c>
    </row>
    <row r="425">
      <c r="A425" t="inlineStr">
        <is>
          <t>average_goodwill_and_intangibles__20250831</t>
        </is>
      </c>
      <c r="B425" t="n">
        <v>424</v>
      </c>
      <c r="C425" t="inlineStr">
        <is>
          <t>Average Goodwill &amp; Intangibles</t>
        </is>
      </c>
      <c r="D425" t="inlineStr">
        <is>
          <t>Average beginning and ending combined goodwill and intangibles.</t>
        </is>
      </c>
      <c r="E425" t="inlineStr">
        <is>
          <t>goodwill_intangibles.average_goodwill_and_intangibles.2025-08-31</t>
        </is>
      </c>
      <c r="F425" t="inlineStr">
        <is>
          <t>goodwill_intangibles</t>
        </is>
      </c>
      <c r="G425" t="inlineStr">
        <is>
          <t>ALT DuPont</t>
        </is>
      </c>
      <c r="H425" t="inlineStr">
        <is>
          <t>F99</t>
        </is>
      </c>
      <c r="I425">
        <f>(E96+F96)/2</f>
        <v/>
      </c>
      <c r="J425" t="n">
        <v>100179</v>
      </c>
      <c r="K425" t="n">
        <v>0.01</v>
      </c>
      <c r="M425" t="inlineStr">
        <is>
          <t>Average = (Prior combined + Current combined) / 2.</t>
        </is>
      </c>
      <c r="O425" t="inlineStr">
        <is>
          <t>pending</t>
        </is>
      </c>
      <c r="P425" t="inlineStr">
        <is>
          <t>average_goodwill_and_intangibles</t>
        </is>
      </c>
      <c r="Q425" t="n">
        <v>108</v>
      </c>
      <c r="R425" t="n">
        <v>4</v>
      </c>
      <c r="S425" t="inlineStr">
        <is>
          <t>2025-08-31</t>
        </is>
      </c>
    </row>
    <row r="426">
      <c r="A426" t="inlineStr">
        <is>
          <t>goodwill_and_intangibles_to_revenue__20220831</t>
        </is>
      </c>
      <c r="B426" t="n">
        <v>425</v>
      </c>
      <c r="C426" t="inlineStr">
        <is>
          <t>Average Goodwill &amp; Intangibles / Revenue</t>
        </is>
      </c>
      <c r="D426" t="inlineStr">
        <is>
          <t>Average combined goodwill and intangibles divided by Revenue.</t>
        </is>
      </c>
      <c r="E426" t="inlineStr">
        <is>
          <t>goodwill_intangibles.goodwill_and_intangibles_to_revenue.2022-08-31</t>
        </is>
      </c>
      <c r="F426" t="inlineStr">
        <is>
          <t>goodwill_intangibles</t>
        </is>
      </c>
      <c r="G426" t="inlineStr">
        <is>
          <t>ALT DuPont</t>
        </is>
      </c>
      <c r="H426" t="inlineStr">
        <is>
          <t>C100</t>
        </is>
      </c>
      <c r="I426">
        <f>IF('Condensed Financials'!C44=0,NA(),C99/'Condensed Financials'!C44)</f>
        <v/>
      </c>
      <c r="J426" t="n">
        <v>0.03471002406652059</v>
      </c>
      <c r="K426" t="n">
        <v>0.01</v>
      </c>
      <c r="L426" t="inlineStr">
        <is>
          <t>average_goodwill_and_intangibles__20220831,revenue_link__20220831</t>
        </is>
      </c>
      <c r="M426" t="inlineStr">
        <is>
          <t>Uses the average combined balance (average-balance intensity).|A zero Revenue denominator makes the ratio undefined (#N/A).</t>
        </is>
      </c>
      <c r="O426" t="inlineStr">
        <is>
          <t>pending</t>
        </is>
      </c>
      <c r="P426" t="inlineStr">
        <is>
          <t>goodwill_and_intangibles_to_revenue</t>
        </is>
      </c>
      <c r="Q426" t="n">
        <v>109</v>
      </c>
      <c r="R426" t="n">
        <v>1</v>
      </c>
      <c r="S426" t="inlineStr">
        <is>
          <t>2022-08-31</t>
        </is>
      </c>
    </row>
    <row r="427">
      <c r="A427" t="inlineStr">
        <is>
          <t>goodwill_and_intangibles_to_revenue__20230831</t>
        </is>
      </c>
      <c r="B427" t="n">
        <v>426</v>
      </c>
      <c r="C427" t="inlineStr">
        <is>
          <t>Average Goodwill &amp; Intangibles / Revenue</t>
        </is>
      </c>
      <c r="D427" t="inlineStr">
        <is>
          <t>Average combined goodwill and intangibles divided by Revenue.</t>
        </is>
      </c>
      <c r="E427" t="inlineStr">
        <is>
          <t>goodwill_intangibles.goodwill_and_intangibles_to_revenue.2023-08-31</t>
        </is>
      </c>
      <c r="F427" t="inlineStr">
        <is>
          <t>goodwill_intangibles</t>
        </is>
      </c>
      <c r="G427" t="inlineStr">
        <is>
          <t>ALT DuPont</t>
        </is>
      </c>
      <c r="H427" t="inlineStr">
        <is>
          <t>D100</t>
        </is>
      </c>
      <c r="I427">
        <f>IF('Condensed Financials'!D44=0,NA(),D99/'Condensed Financials'!D44)</f>
        <v/>
      </c>
      <c r="J427" t="n">
        <v>0.03255038663580762</v>
      </c>
      <c r="K427" t="n">
        <v>0.01</v>
      </c>
      <c r="L427" t="inlineStr">
        <is>
          <t>average_goodwill_and_intangibles__20230831,revenue_link__20230831</t>
        </is>
      </c>
      <c r="M427" t="inlineStr">
        <is>
          <t>Uses the average combined balance (average-balance intensity).|A zero Revenue denominator makes the ratio undefined (#N/A).</t>
        </is>
      </c>
      <c r="O427" t="inlineStr">
        <is>
          <t>pending</t>
        </is>
      </c>
      <c r="P427" t="inlineStr">
        <is>
          <t>goodwill_and_intangibles_to_revenue</t>
        </is>
      </c>
      <c r="Q427" t="n">
        <v>109</v>
      </c>
      <c r="R427" t="n">
        <v>2</v>
      </c>
      <c r="S427" t="inlineStr">
        <is>
          <t>2023-08-31</t>
        </is>
      </c>
    </row>
    <row r="428">
      <c r="A428" t="inlineStr">
        <is>
          <t>goodwill_and_intangibles_to_revenue__20240831</t>
        </is>
      </c>
      <c r="B428" t="n">
        <v>427</v>
      </c>
      <c r="C428" t="inlineStr">
        <is>
          <t>Average Goodwill &amp; Intangibles / Revenue</t>
        </is>
      </c>
      <c r="D428" t="inlineStr">
        <is>
          <t>Average combined goodwill and intangibles divided by Revenue.</t>
        </is>
      </c>
      <c r="E428" t="inlineStr">
        <is>
          <t>goodwill_intangibles.goodwill_and_intangibles_to_revenue.2024-08-31</t>
        </is>
      </c>
      <c r="F428" t="inlineStr">
        <is>
          <t>goodwill_intangibles</t>
        </is>
      </c>
      <c r="G428" t="inlineStr">
        <is>
          <t>ALT DuPont</t>
        </is>
      </c>
      <c r="H428" t="inlineStr">
        <is>
          <t>E100</t>
        </is>
      </c>
      <c r="I428">
        <f>IF('Condensed Financials'!E44=0,NA(),E99/'Condensed Financials'!E44)</f>
        <v/>
      </c>
      <c r="J428" t="n">
        <v>0.03158220988480061</v>
      </c>
      <c r="K428" t="n">
        <v>0.01</v>
      </c>
      <c r="L428" t="inlineStr">
        <is>
          <t>average_goodwill_and_intangibles__20240831,revenue_link__20240831</t>
        </is>
      </c>
      <c r="M428" t="inlineStr">
        <is>
          <t>Uses the average combined balance (average-balance intensity).|A zero Revenue denominator makes the ratio undefined (#N/A).</t>
        </is>
      </c>
      <c r="O428" t="inlineStr">
        <is>
          <t>pending</t>
        </is>
      </c>
      <c r="P428" t="inlineStr">
        <is>
          <t>goodwill_and_intangibles_to_revenue</t>
        </is>
      </c>
      <c r="Q428" t="n">
        <v>109</v>
      </c>
      <c r="R428" t="n">
        <v>3</v>
      </c>
      <c r="S428" t="inlineStr">
        <is>
          <t>2024-08-31</t>
        </is>
      </c>
    </row>
    <row r="429">
      <c r="A429" t="inlineStr">
        <is>
          <t>goodwill_and_intangibles_to_revenue__20250831</t>
        </is>
      </c>
      <c r="B429" t="n">
        <v>428</v>
      </c>
      <c r="C429" t="inlineStr">
        <is>
          <t>Average Goodwill &amp; Intangibles / Revenue</t>
        </is>
      </c>
      <c r="D429" t="inlineStr">
        <is>
          <t>Average combined goodwill and intangibles divided by Revenue.</t>
        </is>
      </c>
      <c r="E429" t="inlineStr">
        <is>
          <t>goodwill_intangibles.goodwill_and_intangibles_to_revenue.2025-08-31</t>
        </is>
      </c>
      <c r="F429" t="inlineStr">
        <is>
          <t>goodwill_intangibles</t>
        </is>
      </c>
      <c r="G429" t="inlineStr">
        <is>
          <t>ALT DuPont</t>
        </is>
      </c>
      <c r="H429" t="inlineStr">
        <is>
          <t>F100</t>
        </is>
      </c>
      <c r="I429">
        <f>IF('Condensed Financials'!F44=0,NA(),F99/'Condensed Financials'!F44)</f>
        <v/>
      </c>
      <c r="J429" t="n">
        <v>0.02945974152921052</v>
      </c>
      <c r="K429" t="n">
        <v>0.01</v>
      </c>
      <c r="L429" t="inlineStr">
        <is>
          <t>average_goodwill_and_intangibles__20250831,revenue_link__20250831</t>
        </is>
      </c>
      <c r="M429" t="inlineStr">
        <is>
          <t>Uses the average combined balance (average-balance intensity).|A zero Revenue denominator makes the ratio undefined (#N/A).</t>
        </is>
      </c>
      <c r="O429" t="inlineStr">
        <is>
          <t>pending</t>
        </is>
      </c>
      <c r="P429" t="inlineStr">
        <is>
          <t>goodwill_and_intangibles_to_revenue</t>
        </is>
      </c>
      <c r="Q429" t="n">
        <v>109</v>
      </c>
      <c r="R429" t="n">
        <v>4</v>
      </c>
      <c r="S429" t="inlineStr">
        <is>
          <t>2025-08-31</t>
        </is>
      </c>
    </row>
    <row r="430">
      <c r="A430" t="inlineStr">
        <is>
          <t>intangible_payments__20210831</t>
        </is>
      </c>
      <c r="B430" t="n">
        <v>429</v>
      </c>
      <c r="C430" t="inlineStr">
        <is>
          <t>Intangible Payments</t>
        </is>
      </c>
      <c r="D430" t="inlineStr">
        <is>
          <t>Presented as −reported payments for intangible assets. Intangible payments are not business acquisitions.</t>
        </is>
      </c>
      <c r="E430" t="inlineStr">
        <is>
          <t>goodwill_intangibles.intangible_payments.2021-08-31</t>
        </is>
      </c>
      <c r="F430" t="inlineStr">
        <is>
          <t>goodwill_intangibles</t>
        </is>
      </c>
      <c r="G430" t="inlineStr">
        <is>
          <t>ALT DuPont</t>
        </is>
      </c>
      <c r="H430" t="inlineStr">
        <is>
          <t>B102</t>
        </is>
      </c>
      <c r="I430">
        <f>-B101</f>
        <v/>
      </c>
      <c r="J430" t="n">
        <v>19624</v>
      </c>
      <c r="K430" t="n">
        <v>0.01</v>
      </c>
      <c r="M430" t="inlineStr">
        <is>
          <t>Intangible Payments = −(reported payments for intangible assets).|Do not apply absolute value; keep the −reported sign convention consistently.|Intangible payments are not business acquisitions.</t>
        </is>
      </c>
      <c r="O430" t="inlineStr">
        <is>
          <t>pending</t>
        </is>
      </c>
      <c r="P430" t="inlineStr">
        <is>
          <t>intangible_payments</t>
        </is>
      </c>
      <c r="Q430" t="n">
        <v>110</v>
      </c>
      <c r="R430" t="n">
        <v>0</v>
      </c>
      <c r="S430" t="inlineStr">
        <is>
          <t>2021-08-31</t>
        </is>
      </c>
    </row>
    <row r="431">
      <c r="A431" t="inlineStr">
        <is>
          <t>intangible_payments__20220831</t>
        </is>
      </c>
      <c r="B431" t="n">
        <v>430</v>
      </c>
      <c r="C431" t="inlineStr">
        <is>
          <t>Intangible Payments</t>
        </is>
      </c>
      <c r="D431" t="inlineStr">
        <is>
          <t>Presented as −reported payments for intangible assets. Intangible payments are not business acquisitions.</t>
        </is>
      </c>
      <c r="E431" t="inlineStr">
        <is>
          <t>goodwill_intangibles.intangible_payments.2022-08-31</t>
        </is>
      </c>
      <c r="F431" t="inlineStr">
        <is>
          <t>goodwill_intangibles</t>
        </is>
      </c>
      <c r="G431" t="inlineStr">
        <is>
          <t>ALT DuPont</t>
        </is>
      </c>
      <c r="H431" t="inlineStr">
        <is>
          <t>C102</t>
        </is>
      </c>
      <c r="I431">
        <f>-C101</f>
        <v/>
      </c>
      <c r="J431" t="n">
        <v>28335</v>
      </c>
      <c r="K431" t="n">
        <v>0.01</v>
      </c>
      <c r="M431" t="inlineStr">
        <is>
          <t>Intangible Payments = −(reported payments for intangible assets).|Do not apply absolute value; keep the −reported sign convention consistently.|Intangible payments are not business acquisitions.</t>
        </is>
      </c>
      <c r="O431" t="inlineStr">
        <is>
          <t>pending</t>
        </is>
      </c>
      <c r="P431" t="inlineStr">
        <is>
          <t>intangible_payments</t>
        </is>
      </c>
      <c r="Q431" t="n">
        <v>110</v>
      </c>
      <c r="R431" t="n">
        <v>1</v>
      </c>
      <c r="S431" t="inlineStr">
        <is>
          <t>2022-08-31</t>
        </is>
      </c>
    </row>
    <row r="432">
      <c r="A432" t="inlineStr">
        <is>
          <t>intangible_payments__20230831</t>
        </is>
      </c>
      <c r="B432" t="n">
        <v>431</v>
      </c>
      <c r="C432" t="inlineStr">
        <is>
          <t>Intangible Payments</t>
        </is>
      </c>
      <c r="D432" t="inlineStr">
        <is>
          <t>Presented as −reported payments for intangible assets. Intangible payments are not business acquisitions.</t>
        </is>
      </c>
      <c r="E432" t="inlineStr">
        <is>
          <t>goodwill_intangibles.intangible_payments.2023-08-31</t>
        </is>
      </c>
      <c r="F432" t="inlineStr">
        <is>
          <t>goodwill_intangibles</t>
        </is>
      </c>
      <c r="G432" t="inlineStr">
        <is>
          <t>ALT DuPont</t>
        </is>
      </c>
      <c r="H432" t="inlineStr">
        <is>
          <t>D102</t>
        </is>
      </c>
      <c r="I432">
        <f>-D101</f>
        <v/>
      </c>
      <c r="J432" t="n">
        <v>33542</v>
      </c>
      <c r="K432" t="n">
        <v>0.01</v>
      </c>
      <c r="M432" t="inlineStr">
        <is>
          <t>Intangible Payments = −(reported payments for intangible assets).|Do not apply absolute value; keep the −reported sign convention consistently.|Intangible payments are not business acquisitions.</t>
        </is>
      </c>
      <c r="O432" t="inlineStr">
        <is>
          <t>pending</t>
        </is>
      </c>
      <c r="P432" t="inlineStr">
        <is>
          <t>intangible_payments</t>
        </is>
      </c>
      <c r="Q432" t="n">
        <v>110</v>
      </c>
      <c r="R432" t="n">
        <v>2</v>
      </c>
      <c r="S432" t="inlineStr">
        <is>
          <t>2023-08-31</t>
        </is>
      </c>
    </row>
    <row r="433">
      <c r="A433" t="inlineStr">
        <is>
          <t>intangible_payments__20240831</t>
        </is>
      </c>
      <c r="B433" t="n">
        <v>432</v>
      </c>
      <c r="C433" t="inlineStr">
        <is>
          <t>Intangible Payments</t>
        </is>
      </c>
      <c r="D433" t="inlineStr">
        <is>
          <t>Presented as −reported payments for intangible assets. Intangible payments are not business acquisitions.</t>
        </is>
      </c>
      <c r="E433" t="inlineStr">
        <is>
          <t>goodwill_intangibles.intangible_payments.2024-08-31</t>
        </is>
      </c>
      <c r="F433" t="inlineStr">
        <is>
          <t>goodwill_intangibles</t>
        </is>
      </c>
      <c r="G433" t="inlineStr">
        <is>
          <t>ALT DuPont</t>
        </is>
      </c>
      <c r="H433" t="inlineStr">
        <is>
          <t>E102</t>
        </is>
      </c>
      <c r="I433">
        <f>-E101</f>
        <v/>
      </c>
      <c r="J433" t="n">
        <v>30260</v>
      </c>
      <c r="K433" t="n">
        <v>0.01</v>
      </c>
      <c r="M433" t="inlineStr">
        <is>
          <t>Intangible Payments = −(reported payments for intangible assets).|Do not apply absolute value; keep the −reported sign convention consistently.|Intangible payments are not business acquisitions.</t>
        </is>
      </c>
      <c r="O433" t="inlineStr">
        <is>
          <t>pending</t>
        </is>
      </c>
      <c r="P433" t="inlineStr">
        <is>
          <t>intangible_payments</t>
        </is>
      </c>
      <c r="Q433" t="n">
        <v>110</v>
      </c>
      <c r="R433" t="n">
        <v>3</v>
      </c>
      <c r="S433" t="inlineStr">
        <is>
          <t>2024-08-31</t>
        </is>
      </c>
    </row>
    <row r="434">
      <c r="A434" t="inlineStr">
        <is>
          <t>intangible_payments__20250831</t>
        </is>
      </c>
      <c r="B434" t="n">
        <v>433</v>
      </c>
      <c r="C434" t="inlineStr">
        <is>
          <t>Intangible Payments</t>
        </is>
      </c>
      <c r="D434" t="inlineStr">
        <is>
          <t>Presented as −reported payments for intangible assets. Intangible payments are not business acquisitions.</t>
        </is>
      </c>
      <c r="E434" t="inlineStr">
        <is>
          <t>goodwill_intangibles.intangible_payments.2025-08-31</t>
        </is>
      </c>
      <c r="F434" t="inlineStr">
        <is>
          <t>goodwill_intangibles</t>
        </is>
      </c>
      <c r="G434" t="inlineStr">
        <is>
          <t>ALT DuPont</t>
        </is>
      </c>
      <c r="H434" t="inlineStr">
        <is>
          <t>F102</t>
        </is>
      </c>
      <c r="I434">
        <f>-F101</f>
        <v/>
      </c>
      <c r="J434" t="n">
        <v>27329</v>
      </c>
      <c r="K434" t="n">
        <v>0.01</v>
      </c>
      <c r="M434" t="inlineStr">
        <is>
          <t>Intangible Payments = −(reported payments for intangible assets).|Do not apply absolute value; keep the −reported sign convention consistently.|Intangible payments are not business acquisitions.</t>
        </is>
      </c>
      <c r="O434" t="inlineStr">
        <is>
          <t>pending</t>
        </is>
      </c>
      <c r="P434" t="inlineStr">
        <is>
          <t>intangible_payments</t>
        </is>
      </c>
      <c r="Q434" t="n">
        <v>110</v>
      </c>
      <c r="R434" t="n">
        <v>4</v>
      </c>
      <c r="S434" t="inlineStr">
        <is>
          <t>2025-08-31</t>
        </is>
      </c>
    </row>
    <row r="435">
      <c r="A435" t="inlineStr">
        <is>
          <t>intangible_payments_to_revenue__20210831</t>
        </is>
      </c>
      <c r="B435" t="n">
        <v>434</v>
      </c>
      <c r="C435" t="inlineStr">
        <is>
          <t>Intangible Payments / Revenue</t>
        </is>
      </c>
      <c r="D435" t="inlineStr">
        <is>
          <t>Presented intangible payments divided by Revenue. Intangible payments are not business acquisitions.</t>
        </is>
      </c>
      <c r="E435" t="inlineStr">
        <is>
          <t>goodwill_intangibles.intangible_payments_to_revenue.2021-08-31</t>
        </is>
      </c>
      <c r="F435" t="inlineStr">
        <is>
          <t>goodwill_intangibles</t>
        </is>
      </c>
      <c r="G435" t="inlineStr">
        <is>
          <t>ALT DuPont</t>
        </is>
      </c>
      <c r="H435" t="inlineStr">
        <is>
          <t>B103</t>
        </is>
      </c>
      <c r="I435">
        <f>IF('Condensed Financials'!B44=0,NA(),B102/'Condensed Financials'!B44)</f>
        <v/>
      </c>
      <c r="J435" t="n">
        <v>0.009200222035525684</v>
      </c>
      <c r="K435" t="n">
        <v>0.01</v>
      </c>
      <c r="L435" t="inlineStr">
        <is>
          <t>intangible_payments__20210831,revenue_link__20210831</t>
        </is>
      </c>
      <c r="M435" t="inlineStr">
        <is>
          <t>Intangible Payments / Revenue uses the −reported payment presentation.|A zero Revenue denominator makes the ratio undefined (#N/A).|Intangible payments are not business acquisitions.</t>
        </is>
      </c>
      <c r="O435" t="inlineStr">
        <is>
          <t>pending</t>
        </is>
      </c>
      <c r="P435" t="inlineStr">
        <is>
          <t>intangible_payments_to_revenue</t>
        </is>
      </c>
      <c r="Q435" t="n">
        <v>111</v>
      </c>
      <c r="R435" t="n">
        <v>0</v>
      </c>
      <c r="S435" t="inlineStr">
        <is>
          <t>2021-08-31</t>
        </is>
      </c>
    </row>
    <row r="436">
      <c r="A436" t="inlineStr">
        <is>
          <t>intangible_payments_to_revenue__20220831</t>
        </is>
      </c>
      <c r="B436" t="n">
        <v>435</v>
      </c>
      <c r="C436" t="inlineStr">
        <is>
          <t>Intangible Payments / Revenue</t>
        </is>
      </c>
      <c r="D436" t="inlineStr">
        <is>
          <t>Presented intangible payments divided by Revenue. Intangible payments are not business acquisitions.</t>
        </is>
      </c>
      <c r="E436" t="inlineStr">
        <is>
          <t>goodwill_intangibles.intangible_payments_to_revenue.2022-08-31</t>
        </is>
      </c>
      <c r="F436" t="inlineStr">
        <is>
          <t>goodwill_intangibles</t>
        </is>
      </c>
      <c r="G436" t="inlineStr">
        <is>
          <t>ALT DuPont</t>
        </is>
      </c>
      <c r="H436" t="inlineStr">
        <is>
          <t>C103</t>
        </is>
      </c>
      <c r="I436">
        <f>IF('Condensed Financials'!C44=0,NA(),C102/'Condensed Financials'!C44)</f>
        <v/>
      </c>
      <c r="J436" t="n">
        <v>0.01231355834240862</v>
      </c>
      <c r="K436" t="n">
        <v>0.01</v>
      </c>
      <c r="L436" t="inlineStr">
        <is>
          <t>intangible_payments__20220831,revenue_link__20220831</t>
        </is>
      </c>
      <c r="M436" t="inlineStr">
        <is>
          <t>Intangible Payments / Revenue uses the −reported payment presentation.|A zero Revenue denominator makes the ratio undefined (#N/A).|Intangible payments are not business acquisitions.</t>
        </is>
      </c>
      <c r="O436" t="inlineStr">
        <is>
          <t>pending</t>
        </is>
      </c>
      <c r="P436" t="inlineStr">
        <is>
          <t>intangible_payments_to_revenue</t>
        </is>
      </c>
      <c r="Q436" t="n">
        <v>111</v>
      </c>
      <c r="R436" t="n">
        <v>1</v>
      </c>
      <c r="S436" t="inlineStr">
        <is>
          <t>2022-08-31</t>
        </is>
      </c>
    </row>
    <row r="437">
      <c r="A437" t="inlineStr">
        <is>
          <t>intangible_payments_to_revenue__20230831</t>
        </is>
      </c>
      <c r="B437" t="n">
        <v>436</v>
      </c>
      <c r="C437" t="inlineStr">
        <is>
          <t>Intangible Payments / Revenue</t>
        </is>
      </c>
      <c r="D437" t="inlineStr">
        <is>
          <t>Presented intangible payments divided by Revenue. Intangible payments are not business acquisitions.</t>
        </is>
      </c>
      <c r="E437" t="inlineStr">
        <is>
          <t>goodwill_intangibles.intangible_payments_to_revenue.2023-08-31</t>
        </is>
      </c>
      <c r="F437" t="inlineStr">
        <is>
          <t>goodwill_intangibles</t>
        </is>
      </c>
      <c r="G437" t="inlineStr">
        <is>
          <t>ALT DuPont</t>
        </is>
      </c>
      <c r="H437" t="inlineStr">
        <is>
          <t>D103</t>
        </is>
      </c>
      <c r="I437">
        <f>IF('Condensed Financials'!D44=0,NA(),D102/'Condensed Financials'!D44)</f>
        <v/>
      </c>
      <c r="J437" t="n">
        <v>0.01212409503942988</v>
      </c>
      <c r="K437" t="n">
        <v>0.01</v>
      </c>
      <c r="L437" t="inlineStr">
        <is>
          <t>intangible_payments__20230831,revenue_link__20230831</t>
        </is>
      </c>
      <c r="M437" t="inlineStr">
        <is>
          <t>Intangible Payments / Revenue uses the −reported payment presentation.|A zero Revenue denominator makes the ratio undefined (#N/A).|Intangible payments are not business acquisitions.</t>
        </is>
      </c>
      <c r="O437" t="inlineStr">
        <is>
          <t>pending</t>
        </is>
      </c>
      <c r="P437" t="inlineStr">
        <is>
          <t>intangible_payments_to_revenue</t>
        </is>
      </c>
      <c r="Q437" t="n">
        <v>111</v>
      </c>
      <c r="R437" t="n">
        <v>2</v>
      </c>
      <c r="S437" t="inlineStr">
        <is>
          <t>2023-08-31</t>
        </is>
      </c>
    </row>
    <row r="438">
      <c r="A438" t="inlineStr">
        <is>
          <t>intangible_payments_to_revenue__20240831</t>
        </is>
      </c>
      <c r="B438" t="n">
        <v>437</v>
      </c>
      <c r="C438" t="inlineStr">
        <is>
          <t>Intangible Payments / Revenue</t>
        </is>
      </c>
      <c r="D438" t="inlineStr">
        <is>
          <t>Presented intangible payments divided by Revenue. Intangible payments are not business acquisitions.</t>
        </is>
      </c>
      <c r="E438" t="inlineStr">
        <is>
          <t>goodwill_intangibles.intangible_payments_to_revenue.2024-08-31</t>
        </is>
      </c>
      <c r="F438" t="inlineStr">
        <is>
          <t>goodwill_intangibles</t>
        </is>
      </c>
      <c r="G438" t="inlineStr">
        <is>
          <t>ALT DuPont</t>
        </is>
      </c>
      <c r="H438" t="inlineStr">
        <is>
          <t>E103</t>
        </is>
      </c>
      <c r="I438">
        <f>IF('Condensed Financials'!E44=0,NA(),E102/'Condensed Financials'!E44)</f>
        <v/>
      </c>
      <c r="J438" t="n">
        <v>0.009749226441087737</v>
      </c>
      <c r="K438" t="n">
        <v>0.01</v>
      </c>
      <c r="L438" t="inlineStr">
        <is>
          <t>intangible_payments__20240831,revenue_link__20240831</t>
        </is>
      </c>
      <c r="M438" t="inlineStr">
        <is>
          <t>Intangible Payments / Revenue uses the −reported payment presentation.|A zero Revenue denominator makes the ratio undefined (#N/A).|Intangible payments are not business acquisitions.</t>
        </is>
      </c>
      <c r="O438" t="inlineStr">
        <is>
          <t>pending</t>
        </is>
      </c>
      <c r="P438" t="inlineStr">
        <is>
          <t>intangible_payments_to_revenue</t>
        </is>
      </c>
      <c r="Q438" t="n">
        <v>111</v>
      </c>
      <c r="R438" t="n">
        <v>3</v>
      </c>
      <c r="S438" t="inlineStr">
        <is>
          <t>2024-08-31</t>
        </is>
      </c>
    </row>
    <row r="439">
      <c r="A439" t="inlineStr">
        <is>
          <t>intangible_payments_to_revenue__20250831</t>
        </is>
      </c>
      <c r="B439" t="n">
        <v>438</v>
      </c>
      <c r="C439" t="inlineStr">
        <is>
          <t>Intangible Payments / Revenue</t>
        </is>
      </c>
      <c r="D439" t="inlineStr">
        <is>
          <t>Presented intangible payments divided by Revenue. Intangible payments are not business acquisitions.</t>
        </is>
      </c>
      <c r="E439" t="inlineStr">
        <is>
          <t>goodwill_intangibles.intangible_payments_to_revenue.2025-08-31</t>
        </is>
      </c>
      <c r="F439" t="inlineStr">
        <is>
          <t>goodwill_intangibles</t>
        </is>
      </c>
      <c r="G439" t="inlineStr">
        <is>
          <t>ALT DuPont</t>
        </is>
      </c>
      <c r="H439" t="inlineStr">
        <is>
          <t>F103</t>
        </is>
      </c>
      <c r="I439">
        <f>IF('Condensed Financials'!F44=0,NA(),F102/'Condensed Financials'!F44)</f>
        <v/>
      </c>
      <c r="J439" t="n">
        <v>0.008036667128358181</v>
      </c>
      <c r="K439" t="n">
        <v>0.01</v>
      </c>
      <c r="L439" t="inlineStr">
        <is>
          <t>intangible_payments__20250831,revenue_link__20250831</t>
        </is>
      </c>
      <c r="M439" t="inlineStr">
        <is>
          <t>Intangible Payments / Revenue uses the −reported payment presentation.|A zero Revenue denominator makes the ratio undefined (#N/A).|Intangible payments are not business acquisitions.</t>
        </is>
      </c>
      <c r="O439" t="inlineStr">
        <is>
          <t>pending</t>
        </is>
      </c>
      <c r="P439" t="inlineStr">
        <is>
          <t>intangible_payments_to_revenue</t>
        </is>
      </c>
      <c r="Q439" t="n">
        <v>111</v>
      </c>
      <c r="R439" t="n">
        <v>4</v>
      </c>
      <c r="S439" t="inlineStr">
        <is>
          <t>2025-08-31</t>
        </is>
      </c>
    </row>
    <row r="440">
      <c r="A440" t="inlineStr">
        <is>
          <t>rou_assets_change__20220831</t>
        </is>
      </c>
      <c r="B440" t="n">
        <v>439</v>
      </c>
      <c r="C440" t="inlineStr">
        <is>
          <t>Change in Right-of-use Assets</t>
        </is>
      </c>
      <c r="D440" t="inlineStr">
        <is>
          <t>Current ROU assets − prior ROU assets.</t>
        </is>
      </c>
      <c r="E440" t="inlineStr">
        <is>
          <t>lease_rou.rou_assets_change.2022-08-31</t>
        </is>
      </c>
      <c r="F440" t="inlineStr">
        <is>
          <t>lease_rou</t>
        </is>
      </c>
      <c r="G440" t="inlineStr">
        <is>
          <t>ALT DuPont</t>
        </is>
      </c>
      <c r="H440" t="inlineStr">
        <is>
          <t>C62</t>
        </is>
      </c>
      <c r="I440">
        <f>C61-B61</f>
        <v/>
      </c>
      <c r="J440" t="n">
        <v>5097</v>
      </c>
      <c r="K440" t="n">
        <v>0.01</v>
      </c>
      <c r="M440" t="inlineStr">
        <is>
          <t>Change in Right-of-use Assets = Current − Prior reported ROU assets.|Balance change is not lease cash payments, amortization, or liability change.</t>
        </is>
      </c>
      <c r="O440" t="inlineStr">
        <is>
          <t>pending</t>
        </is>
      </c>
      <c r="P440" t="inlineStr">
        <is>
          <t>rou_assets_change</t>
        </is>
      </c>
      <c r="Q440" t="n">
        <v>112</v>
      </c>
      <c r="R440" t="n">
        <v>1</v>
      </c>
      <c r="S440" t="inlineStr">
        <is>
          <t>2022-08-31</t>
        </is>
      </c>
    </row>
    <row r="441">
      <c r="A441" t="inlineStr">
        <is>
          <t>rou_assets_change__20230831</t>
        </is>
      </c>
      <c r="B441" t="n">
        <v>440</v>
      </c>
      <c r="C441" t="inlineStr">
        <is>
          <t>Change in Right-of-use Assets</t>
        </is>
      </c>
      <c r="D441" t="inlineStr">
        <is>
          <t>Current ROU assets − prior ROU assets.</t>
        </is>
      </c>
      <c r="E441" t="inlineStr">
        <is>
          <t>lease_rou.rou_assets_change.2023-08-31</t>
        </is>
      </c>
      <c r="F441" t="inlineStr">
        <is>
          <t>lease_rou</t>
        </is>
      </c>
      <c r="G441" t="inlineStr">
        <is>
          <t>ALT DuPont</t>
        </is>
      </c>
      <c r="H441" t="inlineStr">
        <is>
          <t>D62</t>
        </is>
      </c>
      <c r="I441">
        <f>D61-C61</f>
        <v/>
      </c>
      <c r="J441" t="n">
        <v>-6451</v>
      </c>
      <c r="K441" t="n">
        <v>0.01</v>
      </c>
      <c r="M441" t="inlineStr">
        <is>
          <t>Change in Right-of-use Assets = Current − Prior reported ROU assets.|Balance change is not lease cash payments, amortization, or liability change.</t>
        </is>
      </c>
      <c r="O441" t="inlineStr">
        <is>
          <t>pending</t>
        </is>
      </c>
      <c r="P441" t="inlineStr">
        <is>
          <t>rou_assets_change</t>
        </is>
      </c>
      <c r="Q441" t="n">
        <v>112</v>
      </c>
      <c r="R441" t="n">
        <v>2</v>
      </c>
      <c r="S441" t="inlineStr">
        <is>
          <t>2023-08-31</t>
        </is>
      </c>
    </row>
    <row r="442">
      <c r="A442" t="inlineStr">
        <is>
          <t>rou_assets_change__20240831</t>
        </is>
      </c>
      <c r="B442" t="n">
        <v>441</v>
      </c>
      <c r="C442" t="inlineStr">
        <is>
          <t>Change in Right-of-use Assets</t>
        </is>
      </c>
      <c r="D442" t="inlineStr">
        <is>
          <t>Current ROU assets − prior ROU assets.</t>
        </is>
      </c>
      <c r="E442" t="inlineStr">
        <is>
          <t>lease_rou.rou_assets_change.2024-08-31</t>
        </is>
      </c>
      <c r="F442" t="inlineStr">
        <is>
          <t>lease_rou</t>
        </is>
      </c>
      <c r="G442" t="inlineStr">
        <is>
          <t>ALT DuPont</t>
        </is>
      </c>
      <c r="H442" t="inlineStr">
        <is>
          <t>E62</t>
        </is>
      </c>
      <c r="I442">
        <f>E61-D61</f>
        <v/>
      </c>
      <c r="J442" t="n">
        <v>27529</v>
      </c>
      <c r="K442" t="n">
        <v>0.01</v>
      </c>
      <c r="M442" t="inlineStr">
        <is>
          <t>Change in Right-of-use Assets = Current − Prior reported ROU assets.|Balance change is not lease cash payments, amortization, or liability change.</t>
        </is>
      </c>
      <c r="O442" t="inlineStr">
        <is>
          <t>pending</t>
        </is>
      </c>
      <c r="P442" t="inlineStr">
        <is>
          <t>rou_assets_change</t>
        </is>
      </c>
      <c r="Q442" t="n">
        <v>112</v>
      </c>
      <c r="R442" t="n">
        <v>3</v>
      </c>
      <c r="S442" t="inlineStr">
        <is>
          <t>2024-08-31</t>
        </is>
      </c>
    </row>
    <row r="443">
      <c r="A443" t="inlineStr">
        <is>
          <t>rou_assets_change__20250831</t>
        </is>
      </c>
      <c r="B443" t="n">
        <v>442</v>
      </c>
      <c r="C443" t="inlineStr">
        <is>
          <t>Change in Right-of-use Assets</t>
        </is>
      </c>
      <c r="D443" t="inlineStr">
        <is>
          <t>Current ROU assets − prior ROU assets.</t>
        </is>
      </c>
      <c r="E443" t="inlineStr">
        <is>
          <t>lease_rou.rou_assets_change.2025-08-31</t>
        </is>
      </c>
      <c r="F443" t="inlineStr">
        <is>
          <t>lease_rou</t>
        </is>
      </c>
      <c r="G443" t="inlineStr">
        <is>
          <t>ALT DuPont</t>
        </is>
      </c>
      <c r="H443" t="inlineStr">
        <is>
          <t>F62</t>
        </is>
      </c>
      <c r="I443">
        <f>F61-E61</f>
        <v/>
      </c>
      <c r="J443" t="n">
        <v>60399</v>
      </c>
      <c r="K443" t="n">
        <v>0.01</v>
      </c>
      <c r="M443" t="inlineStr">
        <is>
          <t>Change in Right-of-use Assets = Current − Prior reported ROU assets.|Balance change is not lease cash payments, amortization, or liability change.</t>
        </is>
      </c>
      <c r="O443" t="inlineStr">
        <is>
          <t>pending</t>
        </is>
      </c>
      <c r="P443" t="inlineStr">
        <is>
          <t>rou_assets_change</t>
        </is>
      </c>
      <c r="Q443" t="n">
        <v>112</v>
      </c>
      <c r="R443" t="n">
        <v>4</v>
      </c>
      <c r="S443" t="inlineStr">
        <is>
          <t>2025-08-31</t>
        </is>
      </c>
    </row>
    <row r="444">
      <c r="A444" t="inlineStr">
        <is>
          <t>rou_assets_growth__20220831</t>
        </is>
      </c>
      <c r="B444" t="n">
        <v>443</v>
      </c>
      <c r="C444" t="inlineStr">
        <is>
          <t>Right-of-use Assets Growth</t>
        </is>
      </c>
      <c r="D444" t="inlineStr">
        <is>
          <t>Percentage change in reported ROU assets.</t>
        </is>
      </c>
      <c r="E444" t="inlineStr">
        <is>
          <t>lease_rou.rou_assets_growth.2022-08-31</t>
        </is>
      </c>
      <c r="F444" t="inlineStr">
        <is>
          <t>lease_rou</t>
        </is>
      </c>
      <c r="G444" t="inlineStr">
        <is>
          <t>ALT DuPont</t>
        </is>
      </c>
      <c r="H444" t="inlineStr">
        <is>
          <t>C63</t>
        </is>
      </c>
      <c r="I444">
        <f>IF(B61=0,NA(),C61/B61-1)</f>
        <v/>
      </c>
      <c r="J444" t="n">
        <v>0.01305126018789513</v>
      </c>
      <c r="K444" t="n">
        <v>0.01</v>
      </c>
      <c r="L444" t="inlineStr">
        <is>
          <t>rou_assets_change__20220831</t>
        </is>
      </c>
      <c r="M444" t="inlineStr">
        <is>
          <t>Right-of-use Assets Growth = Change in ROU assets / Prior ROU assets.|A zero prior ROU-asset balance makes percentage growth undefined (#N/A).|Balance growth is not rent growth, lease cash payments, or liability growth.</t>
        </is>
      </c>
      <c r="O444" t="inlineStr">
        <is>
          <t>pending</t>
        </is>
      </c>
      <c r="P444" t="inlineStr">
        <is>
          <t>rou_assets_growth</t>
        </is>
      </c>
      <c r="Q444" t="n">
        <v>113</v>
      </c>
      <c r="R444" t="n">
        <v>1</v>
      </c>
      <c r="S444" t="inlineStr">
        <is>
          <t>2022-08-31</t>
        </is>
      </c>
    </row>
    <row r="445">
      <c r="A445" t="inlineStr">
        <is>
          <t>rou_assets_growth__20230831</t>
        </is>
      </c>
      <c r="B445" t="n">
        <v>444</v>
      </c>
      <c r="C445" t="inlineStr">
        <is>
          <t>Right-of-use Assets Growth</t>
        </is>
      </c>
      <c r="D445" t="inlineStr">
        <is>
          <t>Percentage change in reported ROU assets.</t>
        </is>
      </c>
      <c r="E445" t="inlineStr">
        <is>
          <t>lease_rou.rou_assets_growth.2023-08-31</t>
        </is>
      </c>
      <c r="F445" t="inlineStr">
        <is>
          <t>lease_rou</t>
        </is>
      </c>
      <c r="G445" t="inlineStr">
        <is>
          <t>ALT DuPont</t>
        </is>
      </c>
      <c r="H445" t="inlineStr">
        <is>
          <t>D63</t>
        </is>
      </c>
      <c r="I445">
        <f>IF(C61=0,NA(),D61/C61-1)</f>
        <v/>
      </c>
      <c r="J445" t="n">
        <v>-0.01630547425145463</v>
      </c>
      <c r="K445" t="n">
        <v>0.01</v>
      </c>
      <c r="L445" t="inlineStr">
        <is>
          <t>rou_assets_change__20230831</t>
        </is>
      </c>
      <c r="M445" t="inlineStr">
        <is>
          <t>Right-of-use Assets Growth = Change in ROU assets / Prior ROU assets.|A zero prior ROU-asset balance makes percentage growth undefined (#N/A).|Balance growth is not rent growth, lease cash payments, or liability growth.</t>
        </is>
      </c>
      <c r="O445" t="inlineStr">
        <is>
          <t>pending</t>
        </is>
      </c>
      <c r="P445" t="inlineStr">
        <is>
          <t>rou_assets_growth</t>
        </is>
      </c>
      <c r="Q445" t="n">
        <v>113</v>
      </c>
      <c r="R445" t="n">
        <v>2</v>
      </c>
      <c r="S445" t="inlineStr">
        <is>
          <t>2023-08-31</t>
        </is>
      </c>
    </row>
    <row r="446">
      <c r="A446" t="inlineStr">
        <is>
          <t>rou_assets_growth__20240831</t>
        </is>
      </c>
      <c r="B446" t="n">
        <v>445</v>
      </c>
      <c r="C446" t="inlineStr">
        <is>
          <t>Right-of-use Assets Growth</t>
        </is>
      </c>
      <c r="D446" t="inlineStr">
        <is>
          <t>Percentage change in reported ROU assets.</t>
        </is>
      </c>
      <c r="E446" t="inlineStr">
        <is>
          <t>lease_rou.rou_assets_growth.2024-08-31</t>
        </is>
      </c>
      <c r="F446" t="inlineStr">
        <is>
          <t>lease_rou</t>
        </is>
      </c>
      <c r="G446" t="inlineStr">
        <is>
          <t>ALT DuPont</t>
        </is>
      </c>
      <c r="H446" t="inlineStr">
        <is>
          <t>E63</t>
        </is>
      </c>
      <c r="I446">
        <f>IF(D61=0,NA(),E61/D61-1)</f>
        <v/>
      </c>
      <c r="J446" t="n">
        <v>0.07073536099983813</v>
      </c>
      <c r="K446" t="n">
        <v>0.01</v>
      </c>
      <c r="L446" t="inlineStr">
        <is>
          <t>rou_assets_change__20240831</t>
        </is>
      </c>
      <c r="M446" t="inlineStr">
        <is>
          <t>Right-of-use Assets Growth = Change in ROU assets / Prior ROU assets.|A zero prior ROU-asset balance makes percentage growth undefined (#N/A).|Balance growth is not rent growth, lease cash payments, or liability growth.</t>
        </is>
      </c>
      <c r="O446" t="inlineStr">
        <is>
          <t>pending</t>
        </is>
      </c>
      <c r="P446" t="inlineStr">
        <is>
          <t>rou_assets_growth</t>
        </is>
      </c>
      <c r="Q446" t="n">
        <v>113</v>
      </c>
      <c r="R446" t="n">
        <v>3</v>
      </c>
      <c r="S446" t="inlineStr">
        <is>
          <t>2024-08-31</t>
        </is>
      </c>
    </row>
    <row r="447">
      <c r="A447" t="inlineStr">
        <is>
          <t>rou_assets_growth__20250831</t>
        </is>
      </c>
      <c r="B447" t="n">
        <v>446</v>
      </c>
      <c r="C447" t="inlineStr">
        <is>
          <t>Right-of-use Assets Growth</t>
        </is>
      </c>
      <c r="D447" t="inlineStr">
        <is>
          <t>Percentage change in reported ROU assets.</t>
        </is>
      </c>
      <c r="E447" t="inlineStr">
        <is>
          <t>lease_rou.rou_assets_growth.2025-08-31</t>
        </is>
      </c>
      <c r="F447" t="inlineStr">
        <is>
          <t>lease_rou</t>
        </is>
      </c>
      <c r="G447" t="inlineStr">
        <is>
          <t>ALT DuPont</t>
        </is>
      </c>
      <c r="H447" t="inlineStr">
        <is>
          <t>F63</t>
        </is>
      </c>
      <c r="I447">
        <f>IF(E61=0,NA(),F61/E61-1)</f>
        <v/>
      </c>
      <c r="J447" t="n">
        <v>0.1449418303288602</v>
      </c>
      <c r="K447" t="n">
        <v>0.01</v>
      </c>
      <c r="L447" t="inlineStr">
        <is>
          <t>rou_assets_change__20250831</t>
        </is>
      </c>
      <c r="M447" t="inlineStr">
        <is>
          <t>Right-of-use Assets Growth = Change in ROU assets / Prior ROU assets.|A zero prior ROU-asset balance makes percentage growth undefined (#N/A).|Balance growth is not rent growth, lease cash payments, or liability growth.</t>
        </is>
      </c>
      <c r="O447" t="inlineStr">
        <is>
          <t>pending</t>
        </is>
      </c>
      <c r="P447" t="inlineStr">
        <is>
          <t>rou_assets_growth</t>
        </is>
      </c>
      <c r="Q447" t="n">
        <v>113</v>
      </c>
      <c r="R447" t="n">
        <v>4</v>
      </c>
      <c r="S447" t="inlineStr">
        <is>
          <t>2025-08-31</t>
        </is>
      </c>
    </row>
    <row r="448">
      <c r="A448" t="inlineStr">
        <is>
          <t>average_rou_assets__20220831</t>
        </is>
      </c>
      <c r="B448" t="n">
        <v>447</v>
      </c>
      <c r="C448" t="inlineStr">
        <is>
          <t>Average Right-of-use Assets</t>
        </is>
      </c>
      <c r="D448" t="inlineStr">
        <is>
          <t>Average beginning and ending ROU assets.</t>
        </is>
      </c>
      <c r="E448" t="inlineStr">
        <is>
          <t>lease_rou.average_rou_assets.2022-08-31</t>
        </is>
      </c>
      <c r="F448" t="inlineStr">
        <is>
          <t>lease_rou</t>
        </is>
      </c>
      <c r="G448" t="inlineStr">
        <is>
          <t>ALT DuPont</t>
        </is>
      </c>
      <c r="H448" t="inlineStr">
        <is>
          <t>C64</t>
        </is>
      </c>
      <c r="I448">
        <f>(B61+C61)/2</f>
        <v/>
      </c>
      <c r="J448" t="n">
        <v>393085.5</v>
      </c>
      <c r="K448" t="n">
        <v>0.01</v>
      </c>
      <c r="M448" t="inlineStr">
        <is>
          <t>Average Right-of-use Assets = (Prior ROU assets + Current ROU assets) / 2.</t>
        </is>
      </c>
      <c r="O448" t="inlineStr">
        <is>
          <t>pending</t>
        </is>
      </c>
      <c r="P448" t="inlineStr">
        <is>
          <t>average_rou_assets</t>
        </is>
      </c>
      <c r="Q448" t="n">
        <v>114</v>
      </c>
      <c r="R448" t="n">
        <v>1</v>
      </c>
      <c r="S448" t="inlineStr">
        <is>
          <t>2022-08-31</t>
        </is>
      </c>
    </row>
    <row r="449">
      <c r="A449" t="inlineStr">
        <is>
          <t>average_rou_assets__20230831</t>
        </is>
      </c>
      <c r="B449" t="n">
        <v>448</v>
      </c>
      <c r="C449" t="inlineStr">
        <is>
          <t>Average Right-of-use Assets</t>
        </is>
      </c>
      <c r="D449" t="inlineStr">
        <is>
          <t>Average beginning and ending ROU assets.</t>
        </is>
      </c>
      <c r="E449" t="inlineStr">
        <is>
          <t>lease_rou.average_rou_assets.2023-08-31</t>
        </is>
      </c>
      <c r="F449" t="inlineStr">
        <is>
          <t>lease_rou</t>
        </is>
      </c>
      <c r="G449" t="inlineStr">
        <is>
          <t>ALT DuPont</t>
        </is>
      </c>
      <c r="H449" t="inlineStr">
        <is>
          <t>D64</t>
        </is>
      </c>
      <c r="I449">
        <f>(C61+D61)/2</f>
        <v/>
      </c>
      <c r="J449" t="n">
        <v>392408.5</v>
      </c>
      <c r="K449" t="n">
        <v>0.01</v>
      </c>
      <c r="M449" t="inlineStr">
        <is>
          <t>Average Right-of-use Assets = (Prior ROU assets + Current ROU assets) / 2.</t>
        </is>
      </c>
      <c r="O449" t="inlineStr">
        <is>
          <t>pending</t>
        </is>
      </c>
      <c r="P449" t="inlineStr">
        <is>
          <t>average_rou_assets</t>
        </is>
      </c>
      <c r="Q449" t="n">
        <v>114</v>
      </c>
      <c r="R449" t="n">
        <v>2</v>
      </c>
      <c r="S449" t="inlineStr">
        <is>
          <t>2023-08-31</t>
        </is>
      </c>
    </row>
    <row r="450">
      <c r="A450" t="inlineStr">
        <is>
          <t>average_rou_assets__20240831</t>
        </is>
      </c>
      <c r="B450" t="n">
        <v>449</v>
      </c>
      <c r="C450" t="inlineStr">
        <is>
          <t>Average Right-of-use Assets</t>
        </is>
      </c>
      <c r="D450" t="inlineStr">
        <is>
          <t>Average beginning and ending ROU assets.</t>
        </is>
      </c>
      <c r="E450" t="inlineStr">
        <is>
          <t>lease_rou.average_rou_assets.2024-08-31</t>
        </is>
      </c>
      <c r="F450" t="inlineStr">
        <is>
          <t>lease_rou</t>
        </is>
      </c>
      <c r="G450" t="inlineStr">
        <is>
          <t>ALT DuPont</t>
        </is>
      </c>
      <c r="H450" t="inlineStr">
        <is>
          <t>E64</t>
        </is>
      </c>
      <c r="I450">
        <f>(D61+E61)/2</f>
        <v/>
      </c>
      <c r="J450" t="n">
        <v>402947.5</v>
      </c>
      <c r="K450" t="n">
        <v>0.01</v>
      </c>
      <c r="M450" t="inlineStr">
        <is>
          <t>Average Right-of-use Assets = (Prior ROU assets + Current ROU assets) / 2.</t>
        </is>
      </c>
      <c r="O450" t="inlineStr">
        <is>
          <t>pending</t>
        </is>
      </c>
      <c r="P450" t="inlineStr">
        <is>
          <t>average_rou_assets</t>
        </is>
      </c>
      <c r="Q450" t="n">
        <v>114</v>
      </c>
      <c r="R450" t="n">
        <v>3</v>
      </c>
      <c r="S450" t="inlineStr">
        <is>
          <t>2024-08-31</t>
        </is>
      </c>
    </row>
    <row r="451">
      <c r="A451" t="inlineStr">
        <is>
          <t>average_rou_assets__20250831</t>
        </is>
      </c>
      <c r="B451" t="n">
        <v>450</v>
      </c>
      <c r="C451" t="inlineStr">
        <is>
          <t>Average Right-of-use Assets</t>
        </is>
      </c>
      <c r="D451" t="inlineStr">
        <is>
          <t>Average beginning and ending ROU assets.</t>
        </is>
      </c>
      <c r="E451" t="inlineStr">
        <is>
          <t>lease_rou.average_rou_assets.2025-08-31</t>
        </is>
      </c>
      <c r="F451" t="inlineStr">
        <is>
          <t>lease_rou</t>
        </is>
      </c>
      <c r="G451" t="inlineStr">
        <is>
          <t>ALT DuPont</t>
        </is>
      </c>
      <c r="H451" t="inlineStr">
        <is>
          <t>F64</t>
        </is>
      </c>
      <c r="I451">
        <f>(E61+F61)/2</f>
        <v/>
      </c>
      <c r="J451" t="n">
        <v>446911.5</v>
      </c>
      <c r="K451" t="n">
        <v>0.01</v>
      </c>
      <c r="M451" t="inlineStr">
        <is>
          <t>Average Right-of-use Assets = (Prior ROU assets + Current ROU assets) / 2.</t>
        </is>
      </c>
      <c r="O451" t="inlineStr">
        <is>
          <t>pending</t>
        </is>
      </c>
      <c r="P451" t="inlineStr">
        <is>
          <t>average_rou_assets</t>
        </is>
      </c>
      <c r="Q451" t="n">
        <v>114</v>
      </c>
      <c r="R451" t="n">
        <v>4</v>
      </c>
      <c r="S451" t="inlineStr">
        <is>
          <t>2025-08-31</t>
        </is>
      </c>
    </row>
    <row r="452">
      <c r="A452" t="inlineStr">
        <is>
          <t>rou_assets_to_revenue__20220831</t>
        </is>
      </c>
      <c r="B452" t="n">
        <v>451</v>
      </c>
      <c r="C452" t="inlineStr">
        <is>
          <t>Average Right-of-use Assets / Revenue</t>
        </is>
      </c>
      <c r="D452" t="inlineStr">
        <is>
          <t>Average ROU assets divided by current Revenue (balance intensity).</t>
        </is>
      </c>
      <c r="E452" t="inlineStr">
        <is>
          <t>lease_rou.rou_assets_to_revenue.2022-08-31</t>
        </is>
      </c>
      <c r="F452" t="inlineStr">
        <is>
          <t>lease_rou</t>
        </is>
      </c>
      <c r="G452" t="inlineStr">
        <is>
          <t>ALT DuPont</t>
        </is>
      </c>
      <c r="H452" t="inlineStr">
        <is>
          <t>C65</t>
        </is>
      </c>
      <c r="I452">
        <f>IF('Condensed Financials'!C44=0,NA(),C64/'Condensed Financials'!C44)</f>
        <v/>
      </c>
      <c r="J452" t="n">
        <v>0.1708234070162295</v>
      </c>
      <c r="K452" t="n">
        <v>0.01</v>
      </c>
      <c r="L452" t="inlineStr">
        <is>
          <t>average_rou_assets__20220831,revenue_link__20220831</t>
        </is>
      </c>
      <c r="M452" t="inlineStr">
        <is>
          <t>Average Right-of-use Assets / Revenue uses the average balance, not the ending level alone.|Intensity is balance context only — not lease payments, discount rates, amortization, or liability reconciliation.|A zero Revenue denominator makes the ratio undefined (#N/A).</t>
        </is>
      </c>
      <c r="O452" t="inlineStr">
        <is>
          <t>pending</t>
        </is>
      </c>
      <c r="P452" t="inlineStr">
        <is>
          <t>rou_assets_to_revenue</t>
        </is>
      </c>
      <c r="Q452" t="n">
        <v>115</v>
      </c>
      <c r="R452" t="n">
        <v>1</v>
      </c>
      <c r="S452" t="inlineStr">
        <is>
          <t>2022-08-31</t>
        </is>
      </c>
    </row>
    <row r="453">
      <c r="A453" t="inlineStr">
        <is>
          <t>rou_assets_to_revenue__20230831</t>
        </is>
      </c>
      <c r="B453" t="n">
        <v>452</v>
      </c>
      <c r="C453" t="inlineStr">
        <is>
          <t>Average Right-of-use Assets / Revenue</t>
        </is>
      </c>
      <c r="D453" t="inlineStr">
        <is>
          <t>Average ROU assets divided by current Revenue (balance intensity).</t>
        </is>
      </c>
      <c r="E453" t="inlineStr">
        <is>
          <t>lease_rou.rou_assets_to_revenue.2023-08-31</t>
        </is>
      </c>
      <c r="F453" t="inlineStr">
        <is>
          <t>lease_rou</t>
        </is>
      </c>
      <c r="G453" t="inlineStr">
        <is>
          <t>ALT DuPont</t>
        </is>
      </c>
      <c r="H453" t="inlineStr">
        <is>
          <t>D65</t>
        </is>
      </c>
      <c r="I453">
        <f>IF('Condensed Financials'!D44=0,NA(),D64/'Condensed Financials'!D44)</f>
        <v/>
      </c>
      <c r="J453" t="n">
        <v>0.1418400199236813</v>
      </c>
      <c r="K453" t="n">
        <v>0.01</v>
      </c>
      <c r="L453" t="inlineStr">
        <is>
          <t>average_rou_assets__20230831,revenue_link__20230831</t>
        </is>
      </c>
      <c r="M453" t="inlineStr">
        <is>
          <t>Average Right-of-use Assets / Revenue uses the average balance, not the ending level alone.|Intensity is balance context only — not lease payments, discount rates, amortization, or liability reconciliation.|A zero Revenue denominator makes the ratio undefined (#N/A).</t>
        </is>
      </c>
      <c r="O453" t="inlineStr">
        <is>
          <t>pending</t>
        </is>
      </c>
      <c r="P453" t="inlineStr">
        <is>
          <t>rou_assets_to_revenue</t>
        </is>
      </c>
      <c r="Q453" t="n">
        <v>115</v>
      </c>
      <c r="R453" t="n">
        <v>2</v>
      </c>
      <c r="S453" t="inlineStr">
        <is>
          <t>2023-08-31</t>
        </is>
      </c>
    </row>
    <row r="454">
      <c r="A454" t="inlineStr">
        <is>
          <t>rou_assets_to_revenue__20240831</t>
        </is>
      </c>
      <c r="B454" t="n">
        <v>453</v>
      </c>
      <c r="C454" t="inlineStr">
        <is>
          <t>Average Right-of-use Assets / Revenue</t>
        </is>
      </c>
      <c r="D454" t="inlineStr">
        <is>
          <t>Average ROU assets divided by current Revenue (balance intensity).</t>
        </is>
      </c>
      <c r="E454" t="inlineStr">
        <is>
          <t>lease_rou.rou_assets_to_revenue.2024-08-31</t>
        </is>
      </c>
      <c r="F454" t="inlineStr">
        <is>
          <t>lease_rou</t>
        </is>
      </c>
      <c r="G454" t="inlineStr">
        <is>
          <t>ALT DuPont</t>
        </is>
      </c>
      <c r="H454" t="inlineStr">
        <is>
          <t>E65</t>
        </is>
      </c>
      <c r="I454">
        <f>IF('Condensed Financials'!E44=0,NA(),E64/'Condensed Financials'!E44)</f>
        <v/>
      </c>
      <c r="J454" t="n">
        <v>0.1298224197412492</v>
      </c>
      <c r="K454" t="n">
        <v>0.01</v>
      </c>
      <c r="L454" t="inlineStr">
        <is>
          <t>average_rou_assets__20240831,revenue_link__20240831</t>
        </is>
      </c>
      <c r="M454" t="inlineStr">
        <is>
          <t>Average Right-of-use Assets / Revenue uses the average balance, not the ending level alone.|Intensity is balance context only — not lease payments, discount rates, amortization, or liability reconciliation.|A zero Revenue denominator makes the ratio undefined (#N/A).</t>
        </is>
      </c>
      <c r="O454" t="inlineStr">
        <is>
          <t>pending</t>
        </is>
      </c>
      <c r="P454" t="inlineStr">
        <is>
          <t>rou_assets_to_revenue</t>
        </is>
      </c>
      <c r="Q454" t="n">
        <v>115</v>
      </c>
      <c r="R454" t="n">
        <v>3</v>
      </c>
      <c r="S454" t="inlineStr">
        <is>
          <t>2024-08-31</t>
        </is>
      </c>
    </row>
    <row r="455">
      <c r="A455" t="inlineStr">
        <is>
          <t>rou_assets_to_revenue__20250831</t>
        </is>
      </c>
      <c r="B455" t="n">
        <v>454</v>
      </c>
      <c r="C455" t="inlineStr">
        <is>
          <t>Average Right-of-use Assets / Revenue</t>
        </is>
      </c>
      <c r="D455" t="inlineStr">
        <is>
          <t>Average ROU assets divided by current Revenue (balance intensity).</t>
        </is>
      </c>
      <c r="E455" t="inlineStr">
        <is>
          <t>lease_rou.rou_assets_to_revenue.2025-08-31</t>
        </is>
      </c>
      <c r="F455" t="inlineStr">
        <is>
          <t>lease_rou</t>
        </is>
      </c>
      <c r="G455" t="inlineStr">
        <is>
          <t>ALT DuPont</t>
        </is>
      </c>
      <c r="H455" t="inlineStr">
        <is>
          <t>F65</t>
        </is>
      </c>
      <c r="I455">
        <f>IF('Condensed Financials'!F44=0,NA(),F64/'Condensed Financials'!F44)</f>
        <v/>
      </c>
      <c r="J455" t="n">
        <v>0.1314237242978246</v>
      </c>
      <c r="K455" t="n">
        <v>0.01</v>
      </c>
      <c r="L455" t="inlineStr">
        <is>
          <t>average_rou_assets__20250831,revenue_link__20250831</t>
        </is>
      </c>
      <c r="M455" t="inlineStr">
        <is>
          <t>Average Right-of-use Assets / Revenue uses the average balance, not the ending level alone.|Intensity is balance context only — not lease payments, discount rates, amortization, or liability reconciliation.|A zero Revenue denominator makes the ratio undefined (#N/A).</t>
        </is>
      </c>
      <c r="O455" t="inlineStr">
        <is>
          <t>pending</t>
        </is>
      </c>
      <c r="P455" t="inlineStr">
        <is>
          <t>rou_assets_to_revenue</t>
        </is>
      </c>
      <c r="Q455" t="n">
        <v>115</v>
      </c>
      <c r="R455" t="n">
        <v>4</v>
      </c>
      <c r="S455" t="inlineStr">
        <is>
          <t>2025-08-31</t>
        </is>
      </c>
    </row>
    <row r="456">
      <c r="A456" t="inlineStr">
        <is>
          <t>net_deferred_tax_position__20210831</t>
        </is>
      </c>
      <c r="B456" t="n">
        <v>455</v>
      </c>
      <c r="C456" t="inlineStr">
        <is>
          <t>Net Deferred-Tax Asset Position (DTA − DTL)</t>
        </is>
      </c>
      <c r="D456" t="inlineStr">
        <is>
          <t>Analytical net position = Deferred tax assets − Deferred tax liabilities.</t>
        </is>
      </c>
      <c r="E456" t="inlineStr">
        <is>
          <t>deferred_tax.net_deferred_tax_position.2021-08-31</t>
        </is>
      </c>
      <c r="F456" t="inlineStr">
        <is>
          <t>deferred_tax</t>
        </is>
      </c>
      <c r="G456" t="inlineStr">
        <is>
          <t>ALT DuPont</t>
        </is>
      </c>
      <c r="H456" t="inlineStr">
        <is>
          <t>B70</t>
        </is>
      </c>
      <c r="I456">
        <f>B68-B69</f>
        <v/>
      </c>
      <c r="J456" t="n">
        <v>27265</v>
      </c>
      <c r="K456" t="n">
        <v>0.01</v>
      </c>
      <c r="M456" t="inlineStr">
        <is>
          <t>Net Deferred-Tax Asset Position = Deferred tax assets − Deferred tax liabilities (same period).|Analytical DTA less DTL only — not deferred-tax expense, cash taxes, recoverability, or legal offset eligibility.</t>
        </is>
      </c>
      <c r="O456" t="inlineStr">
        <is>
          <t>pending</t>
        </is>
      </c>
      <c r="P456" t="inlineStr">
        <is>
          <t>net_deferred_tax_position</t>
        </is>
      </c>
      <c r="Q456" t="n">
        <v>116</v>
      </c>
      <c r="R456" t="n">
        <v>0</v>
      </c>
      <c r="S456" t="inlineStr">
        <is>
          <t>2021-08-31</t>
        </is>
      </c>
    </row>
    <row r="457">
      <c r="A457" t="inlineStr">
        <is>
          <t>net_deferred_tax_position__20220831</t>
        </is>
      </c>
      <c r="B457" t="n">
        <v>456</v>
      </c>
      <c r="C457" t="inlineStr">
        <is>
          <t>Net Deferred-Tax Asset Position (DTA − DTL)</t>
        </is>
      </c>
      <c r="D457" t="inlineStr">
        <is>
          <t>Analytical net position = Deferred tax assets − Deferred tax liabilities.</t>
        </is>
      </c>
      <c r="E457" t="inlineStr">
        <is>
          <t>deferred_tax.net_deferred_tax_position.2022-08-31</t>
        </is>
      </c>
      <c r="F457" t="inlineStr">
        <is>
          <t>deferred_tax</t>
        </is>
      </c>
      <c r="G457" t="inlineStr">
        <is>
          <t>ALT DuPont</t>
        </is>
      </c>
      <c r="H457" t="inlineStr">
        <is>
          <t>C70</t>
        </is>
      </c>
      <c r="I457">
        <f>C68-C69</f>
        <v/>
      </c>
      <c r="J457" t="n">
        <v>-35752</v>
      </c>
      <c r="K457" t="n">
        <v>0.01</v>
      </c>
      <c r="M457" t="inlineStr">
        <is>
          <t>Net Deferred-Tax Asset Position = Deferred tax assets − Deferred tax liabilities (same period).|Analytical DTA less DTL only — not deferred-tax expense, cash taxes, recoverability, or legal offset eligibility.</t>
        </is>
      </c>
      <c r="O457" t="inlineStr">
        <is>
          <t>pending</t>
        </is>
      </c>
      <c r="P457" t="inlineStr">
        <is>
          <t>net_deferred_tax_position</t>
        </is>
      </c>
      <c r="Q457" t="n">
        <v>116</v>
      </c>
      <c r="R457" t="n">
        <v>1</v>
      </c>
      <c r="S457" t="inlineStr">
        <is>
          <t>2022-08-31</t>
        </is>
      </c>
    </row>
    <row r="458">
      <c r="A458" t="inlineStr">
        <is>
          <t>net_deferred_tax_position__20230831</t>
        </is>
      </c>
      <c r="B458" t="n">
        <v>457</v>
      </c>
      <c r="C458" t="inlineStr">
        <is>
          <t>Net Deferred-Tax Asset Position (DTA − DTL)</t>
        </is>
      </c>
      <c r="D458" t="inlineStr">
        <is>
          <t>Analytical net position = Deferred tax assets − Deferred tax liabilities.</t>
        </is>
      </c>
      <c r="E458" t="inlineStr">
        <is>
          <t>deferred_tax.net_deferred_tax_position.2023-08-31</t>
        </is>
      </c>
      <c r="F458" t="inlineStr">
        <is>
          <t>deferred_tax</t>
        </is>
      </c>
      <c r="G458" t="inlineStr">
        <is>
          <t>ALT DuPont</t>
        </is>
      </c>
      <c r="H458" t="inlineStr">
        <is>
          <t>D70</t>
        </is>
      </c>
      <c r="I458">
        <f>D68-D69</f>
        <v/>
      </c>
      <c r="J458" t="n">
        <v>-28831</v>
      </c>
      <c r="K458" t="n">
        <v>0.01</v>
      </c>
      <c r="M458" t="inlineStr">
        <is>
          <t>Net Deferred-Tax Asset Position = Deferred tax assets − Deferred tax liabilities (same period).|Analytical DTA less DTL only — not deferred-tax expense, cash taxes, recoverability, or legal offset eligibility.</t>
        </is>
      </c>
      <c r="O458" t="inlineStr">
        <is>
          <t>pending</t>
        </is>
      </c>
      <c r="P458" t="inlineStr">
        <is>
          <t>net_deferred_tax_position</t>
        </is>
      </c>
      <c r="Q458" t="n">
        <v>116</v>
      </c>
      <c r="R458" t="n">
        <v>2</v>
      </c>
      <c r="S458" t="inlineStr">
        <is>
          <t>2023-08-31</t>
        </is>
      </c>
    </row>
    <row r="459">
      <c r="A459" t="inlineStr">
        <is>
          <t>net_deferred_tax_position__20240831</t>
        </is>
      </c>
      <c r="B459" t="n">
        <v>458</v>
      </c>
      <c r="C459" t="inlineStr">
        <is>
          <t>Net Deferred-Tax Asset Position (DTA − DTL)</t>
        </is>
      </c>
      <c r="D459" t="inlineStr">
        <is>
          <t>Analytical net position = Deferred tax assets − Deferred tax liabilities.</t>
        </is>
      </c>
      <c r="E459" t="inlineStr">
        <is>
          <t>deferred_tax.net_deferred_tax_position.2024-08-31</t>
        </is>
      </c>
      <c r="F459" t="inlineStr">
        <is>
          <t>deferred_tax</t>
        </is>
      </c>
      <c r="G459" t="inlineStr">
        <is>
          <t>ALT DuPont</t>
        </is>
      </c>
      <c r="H459" t="inlineStr">
        <is>
          <t>E70</t>
        </is>
      </c>
      <c r="I459">
        <f>E68-E69</f>
        <v/>
      </c>
      <c r="J459" t="n">
        <v>536</v>
      </c>
      <c r="K459" t="n">
        <v>0.01</v>
      </c>
      <c r="M459" t="inlineStr">
        <is>
          <t>Net Deferred-Tax Asset Position = Deferred tax assets − Deferred tax liabilities (same period).|Analytical DTA less DTL only — not deferred-tax expense, cash taxes, recoverability, or legal offset eligibility.</t>
        </is>
      </c>
      <c r="O459" t="inlineStr">
        <is>
          <t>pending</t>
        </is>
      </c>
      <c r="P459" t="inlineStr">
        <is>
          <t>net_deferred_tax_position</t>
        </is>
      </c>
      <c r="Q459" t="n">
        <v>116</v>
      </c>
      <c r="R459" t="n">
        <v>3</v>
      </c>
      <c r="S459" t="inlineStr">
        <is>
          <t>2024-08-31</t>
        </is>
      </c>
    </row>
    <row r="460">
      <c r="A460" t="inlineStr">
        <is>
          <t>net_deferred_tax_position__20250831</t>
        </is>
      </c>
      <c r="B460" t="n">
        <v>459</v>
      </c>
      <c r="C460" t="inlineStr">
        <is>
          <t>Net Deferred-Tax Asset Position (DTA − DTL)</t>
        </is>
      </c>
      <c r="D460" t="inlineStr">
        <is>
          <t>Analytical net position = Deferred tax assets − Deferred tax liabilities.</t>
        </is>
      </c>
      <c r="E460" t="inlineStr">
        <is>
          <t>deferred_tax.net_deferred_tax_position.2025-08-31</t>
        </is>
      </c>
      <c r="F460" t="inlineStr">
        <is>
          <t>deferred_tax</t>
        </is>
      </c>
      <c r="G460" t="inlineStr">
        <is>
          <t>ALT DuPont</t>
        </is>
      </c>
      <c r="H460" t="inlineStr">
        <is>
          <t>F70</t>
        </is>
      </c>
      <c r="I460">
        <f>F68-F69</f>
        <v/>
      </c>
      <c r="J460" t="n">
        <v>18350</v>
      </c>
      <c r="K460" t="n">
        <v>0.01</v>
      </c>
      <c r="M460" t="inlineStr">
        <is>
          <t>Net Deferred-Tax Asset Position = Deferred tax assets − Deferred tax liabilities (same period).|Analytical DTA less DTL only — not deferred-tax expense, cash taxes, recoverability, or legal offset eligibility.</t>
        </is>
      </c>
      <c r="O460" t="inlineStr">
        <is>
          <t>pending</t>
        </is>
      </c>
      <c r="P460" t="inlineStr">
        <is>
          <t>net_deferred_tax_position</t>
        </is>
      </c>
      <c r="Q460" t="n">
        <v>116</v>
      </c>
      <c r="R460" t="n">
        <v>4</v>
      </c>
      <c r="S460" t="inlineStr">
        <is>
          <t>2025-08-31</t>
        </is>
      </c>
    </row>
    <row r="461">
      <c r="A461" t="inlineStr">
        <is>
          <t>deferred_tax_assets_change__20220831</t>
        </is>
      </c>
      <c r="B461" t="n">
        <v>460</v>
      </c>
      <c r="C461" t="inlineStr">
        <is>
          <t>Change in Deferred Tax Assets</t>
        </is>
      </c>
      <c r="D461" t="inlineStr">
        <is>
          <t>Current DTA − prior DTA.</t>
        </is>
      </c>
      <c r="E461" t="inlineStr">
        <is>
          <t>deferred_tax.deferred_tax_assets_change.2022-08-31</t>
        </is>
      </c>
      <c r="F461" t="inlineStr">
        <is>
          <t>deferred_tax</t>
        </is>
      </c>
      <c r="G461" t="inlineStr">
        <is>
          <t>ALT DuPont</t>
        </is>
      </c>
      <c r="H461" t="inlineStr">
        <is>
          <t>C71</t>
        </is>
      </c>
      <c r="I461">
        <f>C68-B68</f>
        <v/>
      </c>
      <c r="J461" t="n">
        <v>-28619</v>
      </c>
      <c r="K461" t="n">
        <v>0.01</v>
      </c>
      <c r="M461" t="inlineStr">
        <is>
          <t>Change in Deferred Tax Assets = Current DTA − Prior DTA.|Balance movement only — not deferred-tax expense or cash taxes.</t>
        </is>
      </c>
      <c r="O461" t="inlineStr">
        <is>
          <t>pending</t>
        </is>
      </c>
      <c r="P461" t="inlineStr">
        <is>
          <t>deferred_tax_assets_change</t>
        </is>
      </c>
      <c r="Q461" t="n">
        <v>117</v>
      </c>
      <c r="R461" t="n">
        <v>1</v>
      </c>
      <c r="S461" t="inlineStr">
        <is>
          <t>2022-08-31</t>
        </is>
      </c>
    </row>
    <row r="462">
      <c r="A462" t="inlineStr">
        <is>
          <t>deferred_tax_assets_change__20230831</t>
        </is>
      </c>
      <c r="B462" t="n">
        <v>461</v>
      </c>
      <c r="C462" t="inlineStr">
        <is>
          <t>Change in Deferred Tax Assets</t>
        </is>
      </c>
      <c r="D462" t="inlineStr">
        <is>
          <t>Current DTA − prior DTA.</t>
        </is>
      </c>
      <c r="E462" t="inlineStr">
        <is>
          <t>deferred_tax.deferred_tax_assets_change.2023-08-31</t>
        </is>
      </c>
      <c r="F462" t="inlineStr">
        <is>
          <t>deferred_tax</t>
        </is>
      </c>
      <c r="G462" t="inlineStr">
        <is>
          <t>ALT DuPont</t>
        </is>
      </c>
      <c r="H462" t="inlineStr">
        <is>
          <t>D71</t>
        </is>
      </c>
      <c r="I462">
        <f>D68-C68</f>
        <v/>
      </c>
      <c r="J462" t="n">
        <v>29702</v>
      </c>
      <c r="K462" t="n">
        <v>0.01</v>
      </c>
      <c r="M462" t="inlineStr">
        <is>
          <t>Change in Deferred Tax Assets = Current DTA − Prior DTA.|Balance movement only — not deferred-tax expense or cash taxes.</t>
        </is>
      </c>
      <c r="O462" t="inlineStr">
        <is>
          <t>pending</t>
        </is>
      </c>
      <c r="P462" t="inlineStr">
        <is>
          <t>deferred_tax_assets_change</t>
        </is>
      </c>
      <c r="Q462" t="n">
        <v>117</v>
      </c>
      <c r="R462" t="n">
        <v>2</v>
      </c>
      <c r="S462" t="inlineStr">
        <is>
          <t>2023-08-31</t>
        </is>
      </c>
    </row>
    <row r="463">
      <c r="A463" t="inlineStr">
        <is>
          <t>deferred_tax_assets_change__20240831</t>
        </is>
      </c>
      <c r="B463" t="n">
        <v>462</v>
      </c>
      <c r="C463" t="inlineStr">
        <is>
          <t>Change in Deferred Tax Assets</t>
        </is>
      </c>
      <c r="D463" t="inlineStr">
        <is>
          <t>Current DTA − prior DTA.</t>
        </is>
      </c>
      <c r="E463" t="inlineStr">
        <is>
          <t>deferred_tax.deferred_tax_assets_change.2024-08-31</t>
        </is>
      </c>
      <c r="F463" t="inlineStr">
        <is>
          <t>deferred_tax</t>
        </is>
      </c>
      <c r="G463" t="inlineStr">
        <is>
          <t>ALT DuPont</t>
        </is>
      </c>
      <c r="H463" t="inlineStr">
        <is>
          <t>E71</t>
        </is>
      </c>
      <c r="I463">
        <f>E68-D68</f>
        <v/>
      </c>
      <c r="J463" t="n">
        <v>-5776</v>
      </c>
      <c r="K463" t="n">
        <v>0.01</v>
      </c>
      <c r="M463" t="inlineStr">
        <is>
          <t>Change in Deferred Tax Assets = Current DTA − Prior DTA.|Balance movement only — not deferred-tax expense or cash taxes.</t>
        </is>
      </c>
      <c r="O463" t="inlineStr">
        <is>
          <t>pending</t>
        </is>
      </c>
      <c r="P463" t="inlineStr">
        <is>
          <t>deferred_tax_assets_change</t>
        </is>
      </c>
      <c r="Q463" t="n">
        <v>117</v>
      </c>
      <c r="R463" t="n">
        <v>3</v>
      </c>
      <c r="S463" t="inlineStr">
        <is>
          <t>2024-08-31</t>
        </is>
      </c>
    </row>
    <row r="464">
      <c r="A464" t="inlineStr">
        <is>
          <t>deferred_tax_assets_change__20250831</t>
        </is>
      </c>
      <c r="B464" t="n">
        <v>463</v>
      </c>
      <c r="C464" t="inlineStr">
        <is>
          <t>Change in Deferred Tax Assets</t>
        </is>
      </c>
      <c r="D464" t="inlineStr">
        <is>
          <t>Current DTA − prior DTA.</t>
        </is>
      </c>
      <c r="E464" t="inlineStr">
        <is>
          <t>deferred_tax.deferred_tax_assets_change.2025-08-31</t>
        </is>
      </c>
      <c r="F464" t="inlineStr">
        <is>
          <t>deferred_tax</t>
        </is>
      </c>
      <c r="G464" t="inlineStr">
        <is>
          <t>ALT DuPont</t>
        </is>
      </c>
      <c r="H464" t="inlineStr">
        <is>
          <t>F71</t>
        </is>
      </c>
      <c r="I464">
        <f>F68-E68</f>
        <v/>
      </c>
      <c r="J464" t="n">
        <v>8457</v>
      </c>
      <c r="K464" t="n">
        <v>0.01</v>
      </c>
      <c r="M464" t="inlineStr">
        <is>
          <t>Change in Deferred Tax Assets = Current DTA − Prior DTA.|Balance movement only — not deferred-tax expense or cash taxes.</t>
        </is>
      </c>
      <c r="O464" t="inlineStr">
        <is>
          <t>pending</t>
        </is>
      </c>
      <c r="P464" t="inlineStr">
        <is>
          <t>deferred_tax_assets_change</t>
        </is>
      </c>
      <c r="Q464" t="n">
        <v>117</v>
      </c>
      <c r="R464" t="n">
        <v>4</v>
      </c>
      <c r="S464" t="inlineStr">
        <is>
          <t>2025-08-31</t>
        </is>
      </c>
    </row>
    <row r="465">
      <c r="A465" t="inlineStr">
        <is>
          <t>deferred_tax_liabilities_change__20220831</t>
        </is>
      </c>
      <c r="B465" t="n">
        <v>464</v>
      </c>
      <c r="C465" t="inlineStr">
        <is>
          <t>Change in Deferred Tax Liabilities</t>
        </is>
      </c>
      <c r="D465" t="inlineStr">
        <is>
          <t>Current DTL − prior DTL.</t>
        </is>
      </c>
      <c r="E465" t="inlineStr">
        <is>
          <t>deferred_tax.deferred_tax_liabilities_change.2022-08-31</t>
        </is>
      </c>
      <c r="F465" t="inlineStr">
        <is>
          <t>deferred_tax</t>
        </is>
      </c>
      <c r="G465" t="inlineStr">
        <is>
          <t>ALT DuPont</t>
        </is>
      </c>
      <c r="H465" t="inlineStr">
        <is>
          <t>C72</t>
        </is>
      </c>
      <c r="I465">
        <f>C69-B69</f>
        <v/>
      </c>
      <c r="J465" t="n">
        <v>34398</v>
      </c>
      <c r="K465" t="n">
        <v>0.01</v>
      </c>
      <c r="M465" t="inlineStr">
        <is>
          <t>Change in Deferred Tax Liabilities = Current DTL − Prior DTL.|Balance movement only — not deferred-tax expense or cash taxes.</t>
        </is>
      </c>
      <c r="O465" t="inlineStr">
        <is>
          <t>pending</t>
        </is>
      </c>
      <c r="P465" t="inlineStr">
        <is>
          <t>deferred_tax_liabilities_change</t>
        </is>
      </c>
      <c r="Q465" t="n">
        <v>118</v>
      </c>
      <c r="R465" t="n">
        <v>1</v>
      </c>
      <c r="S465" t="inlineStr">
        <is>
          <t>2022-08-31</t>
        </is>
      </c>
    </row>
    <row r="466">
      <c r="A466" t="inlineStr">
        <is>
          <t>deferred_tax_liabilities_change__20230831</t>
        </is>
      </c>
      <c r="B466" t="n">
        <v>465</v>
      </c>
      <c r="C466" t="inlineStr">
        <is>
          <t>Change in Deferred Tax Liabilities</t>
        </is>
      </c>
      <c r="D466" t="inlineStr">
        <is>
          <t>Current DTL − prior DTL.</t>
        </is>
      </c>
      <c r="E466" t="inlineStr">
        <is>
          <t>deferred_tax.deferred_tax_liabilities_change.2023-08-31</t>
        </is>
      </c>
      <c r="F466" t="inlineStr">
        <is>
          <t>deferred_tax</t>
        </is>
      </c>
      <c r="G466" t="inlineStr">
        <is>
          <t>ALT DuPont</t>
        </is>
      </c>
      <c r="H466" t="inlineStr">
        <is>
          <t>D72</t>
        </is>
      </c>
      <c r="I466">
        <f>D69-C69</f>
        <v/>
      </c>
      <c r="J466" t="n">
        <v>22781</v>
      </c>
      <c r="K466" t="n">
        <v>0.01</v>
      </c>
      <c r="M466" t="inlineStr">
        <is>
          <t>Change in Deferred Tax Liabilities = Current DTL − Prior DTL.|Balance movement only — not deferred-tax expense or cash taxes.</t>
        </is>
      </c>
      <c r="O466" t="inlineStr">
        <is>
          <t>pending</t>
        </is>
      </c>
      <c r="P466" t="inlineStr">
        <is>
          <t>deferred_tax_liabilities_change</t>
        </is>
      </c>
      <c r="Q466" t="n">
        <v>118</v>
      </c>
      <c r="R466" t="n">
        <v>2</v>
      </c>
      <c r="S466" t="inlineStr">
        <is>
          <t>2023-08-31</t>
        </is>
      </c>
    </row>
    <row r="467">
      <c r="A467" t="inlineStr">
        <is>
          <t>deferred_tax_liabilities_change__20240831</t>
        </is>
      </c>
      <c r="B467" t="n">
        <v>466</v>
      </c>
      <c r="C467" t="inlineStr">
        <is>
          <t>Change in Deferred Tax Liabilities</t>
        </is>
      </c>
      <c r="D467" t="inlineStr">
        <is>
          <t>Current DTL − prior DTL.</t>
        </is>
      </c>
      <c r="E467" t="inlineStr">
        <is>
          <t>deferred_tax.deferred_tax_liabilities_change.2024-08-31</t>
        </is>
      </c>
      <c r="F467" t="inlineStr">
        <is>
          <t>deferred_tax</t>
        </is>
      </c>
      <c r="G467" t="inlineStr">
        <is>
          <t>ALT DuPont</t>
        </is>
      </c>
      <c r="H467" t="inlineStr">
        <is>
          <t>E72</t>
        </is>
      </c>
      <c r="I467">
        <f>E69-D69</f>
        <v/>
      </c>
      <c r="J467" t="n">
        <v>-35143</v>
      </c>
      <c r="K467" t="n">
        <v>0.01</v>
      </c>
      <c r="M467" t="inlineStr">
        <is>
          <t>Change in Deferred Tax Liabilities = Current DTL − Prior DTL.|Balance movement only — not deferred-tax expense or cash taxes.</t>
        </is>
      </c>
      <c r="O467" t="inlineStr">
        <is>
          <t>pending</t>
        </is>
      </c>
      <c r="P467" t="inlineStr">
        <is>
          <t>deferred_tax_liabilities_change</t>
        </is>
      </c>
      <c r="Q467" t="n">
        <v>118</v>
      </c>
      <c r="R467" t="n">
        <v>3</v>
      </c>
      <c r="S467" t="inlineStr">
        <is>
          <t>2024-08-31</t>
        </is>
      </c>
    </row>
    <row r="468">
      <c r="A468" t="inlineStr">
        <is>
          <t>deferred_tax_liabilities_change__20250831</t>
        </is>
      </c>
      <c r="B468" t="n">
        <v>467</v>
      </c>
      <c r="C468" t="inlineStr">
        <is>
          <t>Change in Deferred Tax Liabilities</t>
        </is>
      </c>
      <c r="D468" t="inlineStr">
        <is>
          <t>Current DTL − prior DTL.</t>
        </is>
      </c>
      <c r="E468" t="inlineStr">
        <is>
          <t>deferred_tax.deferred_tax_liabilities_change.2025-08-31</t>
        </is>
      </c>
      <c r="F468" t="inlineStr">
        <is>
          <t>deferred_tax</t>
        </is>
      </c>
      <c r="G468" t="inlineStr">
        <is>
          <t>ALT DuPont</t>
        </is>
      </c>
      <c r="H468" t="inlineStr">
        <is>
          <t>F72</t>
        </is>
      </c>
      <c r="I468">
        <f>F69-E69</f>
        <v/>
      </c>
      <c r="J468" t="n">
        <v>-9357</v>
      </c>
      <c r="K468" t="n">
        <v>0.01</v>
      </c>
      <c r="M468" t="inlineStr">
        <is>
          <t>Change in Deferred Tax Liabilities = Current DTL − Prior DTL.|Balance movement only — not deferred-tax expense or cash taxes.</t>
        </is>
      </c>
      <c r="O468" t="inlineStr">
        <is>
          <t>pending</t>
        </is>
      </c>
      <c r="P468" t="inlineStr">
        <is>
          <t>deferred_tax_liabilities_change</t>
        </is>
      </c>
      <c r="Q468" t="n">
        <v>118</v>
      </c>
      <c r="R468" t="n">
        <v>4</v>
      </c>
      <c r="S468" t="inlineStr">
        <is>
          <t>2025-08-31</t>
        </is>
      </c>
    </row>
    <row r="469">
      <c r="A469" t="inlineStr">
        <is>
          <t>net_deferred_tax_position_change__20220831</t>
        </is>
      </c>
      <c r="B469" t="n">
        <v>468</v>
      </c>
      <c r="C469" t="inlineStr">
        <is>
          <t>Change in Net Deferred-Tax Asset Position</t>
        </is>
      </c>
      <c r="D469" t="inlineStr">
        <is>
          <t>Current net position − prior net position.</t>
        </is>
      </c>
      <c r="E469" t="inlineStr">
        <is>
          <t>deferred_tax.net_deferred_tax_position_change.2022-08-31</t>
        </is>
      </c>
      <c r="F469" t="inlineStr">
        <is>
          <t>deferred_tax</t>
        </is>
      </c>
      <c r="G469" t="inlineStr">
        <is>
          <t>ALT DuPont</t>
        </is>
      </c>
      <c r="H469" t="inlineStr">
        <is>
          <t>C73</t>
        </is>
      </c>
      <c r="I469">
        <f>C70-B70</f>
        <v/>
      </c>
      <c r="J469" t="n">
        <v>-63017</v>
      </c>
      <c r="K469" t="n">
        <v>0.01</v>
      </c>
      <c r="L469" t="inlineStr">
        <is>
          <t>net_deferred_tax_position__20220831,net_deferred_tax_position__20210831</t>
        </is>
      </c>
      <c r="M469" t="inlineStr">
        <is>
          <t>Change in Net Deferred-Tax Asset Position = Current net − Prior net.|Net-position change is a balance movement — not deferred-tax expense or cash taxes.</t>
        </is>
      </c>
      <c r="O469" t="inlineStr">
        <is>
          <t>pending</t>
        </is>
      </c>
      <c r="P469" t="inlineStr">
        <is>
          <t>net_deferred_tax_position_change</t>
        </is>
      </c>
      <c r="Q469" t="n">
        <v>119</v>
      </c>
      <c r="R469" t="n">
        <v>1</v>
      </c>
      <c r="S469" t="inlineStr">
        <is>
          <t>2022-08-31</t>
        </is>
      </c>
    </row>
    <row r="470">
      <c r="A470" t="inlineStr">
        <is>
          <t>net_deferred_tax_position_change__20230831</t>
        </is>
      </c>
      <c r="B470" t="n">
        <v>469</v>
      </c>
      <c r="C470" t="inlineStr">
        <is>
          <t>Change in Net Deferred-Tax Asset Position</t>
        </is>
      </c>
      <c r="D470" t="inlineStr">
        <is>
          <t>Current net position − prior net position.</t>
        </is>
      </c>
      <c r="E470" t="inlineStr">
        <is>
          <t>deferred_tax.net_deferred_tax_position_change.2023-08-31</t>
        </is>
      </c>
      <c r="F470" t="inlineStr">
        <is>
          <t>deferred_tax</t>
        </is>
      </c>
      <c r="G470" t="inlineStr">
        <is>
          <t>ALT DuPont</t>
        </is>
      </c>
      <c r="H470" t="inlineStr">
        <is>
          <t>D73</t>
        </is>
      </c>
      <c r="I470">
        <f>D70-C70</f>
        <v/>
      </c>
      <c r="J470" t="n">
        <v>6921</v>
      </c>
      <c r="K470" t="n">
        <v>0.01</v>
      </c>
      <c r="L470" t="inlineStr">
        <is>
          <t>net_deferred_tax_position__20230831,net_deferred_tax_position__20220831</t>
        </is>
      </c>
      <c r="M470" t="inlineStr">
        <is>
          <t>Change in Net Deferred-Tax Asset Position = Current net − Prior net.|Net-position change is a balance movement — not deferred-tax expense or cash taxes.</t>
        </is>
      </c>
      <c r="O470" t="inlineStr">
        <is>
          <t>pending</t>
        </is>
      </c>
      <c r="P470" t="inlineStr">
        <is>
          <t>net_deferred_tax_position_change</t>
        </is>
      </c>
      <c r="Q470" t="n">
        <v>119</v>
      </c>
      <c r="R470" t="n">
        <v>2</v>
      </c>
      <c r="S470" t="inlineStr">
        <is>
          <t>2023-08-31</t>
        </is>
      </c>
    </row>
    <row r="471">
      <c r="A471" t="inlineStr">
        <is>
          <t>net_deferred_tax_position_change__20240831</t>
        </is>
      </c>
      <c r="B471" t="n">
        <v>470</v>
      </c>
      <c r="C471" t="inlineStr">
        <is>
          <t>Change in Net Deferred-Tax Asset Position</t>
        </is>
      </c>
      <c r="D471" t="inlineStr">
        <is>
          <t>Current net position − prior net position.</t>
        </is>
      </c>
      <c r="E471" t="inlineStr">
        <is>
          <t>deferred_tax.net_deferred_tax_position_change.2024-08-31</t>
        </is>
      </c>
      <c r="F471" t="inlineStr">
        <is>
          <t>deferred_tax</t>
        </is>
      </c>
      <c r="G471" t="inlineStr">
        <is>
          <t>ALT DuPont</t>
        </is>
      </c>
      <c r="H471" t="inlineStr">
        <is>
          <t>E73</t>
        </is>
      </c>
      <c r="I471">
        <f>E70-D70</f>
        <v/>
      </c>
      <c r="J471" t="n">
        <v>29367</v>
      </c>
      <c r="K471" t="n">
        <v>0.01</v>
      </c>
      <c r="L471" t="inlineStr">
        <is>
          <t>net_deferred_tax_position__20240831,net_deferred_tax_position__20230831</t>
        </is>
      </c>
      <c r="M471" t="inlineStr">
        <is>
          <t>Change in Net Deferred-Tax Asset Position = Current net − Prior net.|Net-position change is a balance movement — not deferred-tax expense or cash taxes.</t>
        </is>
      </c>
      <c r="O471" t="inlineStr">
        <is>
          <t>pending</t>
        </is>
      </c>
      <c r="P471" t="inlineStr">
        <is>
          <t>net_deferred_tax_position_change</t>
        </is>
      </c>
      <c r="Q471" t="n">
        <v>119</v>
      </c>
      <c r="R471" t="n">
        <v>3</v>
      </c>
      <c r="S471" t="inlineStr">
        <is>
          <t>2024-08-31</t>
        </is>
      </c>
    </row>
    <row r="472">
      <c r="A472" t="inlineStr">
        <is>
          <t>net_deferred_tax_position_change__20250831</t>
        </is>
      </c>
      <c r="B472" t="n">
        <v>471</v>
      </c>
      <c r="C472" t="inlineStr">
        <is>
          <t>Change in Net Deferred-Tax Asset Position</t>
        </is>
      </c>
      <c r="D472" t="inlineStr">
        <is>
          <t>Current net position − prior net position.</t>
        </is>
      </c>
      <c r="E472" t="inlineStr">
        <is>
          <t>deferred_tax.net_deferred_tax_position_change.2025-08-31</t>
        </is>
      </c>
      <c r="F472" t="inlineStr">
        <is>
          <t>deferred_tax</t>
        </is>
      </c>
      <c r="G472" t="inlineStr">
        <is>
          <t>ALT DuPont</t>
        </is>
      </c>
      <c r="H472" t="inlineStr">
        <is>
          <t>F73</t>
        </is>
      </c>
      <c r="I472">
        <f>F70-E70</f>
        <v/>
      </c>
      <c r="J472" t="n">
        <v>17814</v>
      </c>
      <c r="K472" t="n">
        <v>0.01</v>
      </c>
      <c r="L472" t="inlineStr">
        <is>
          <t>net_deferred_tax_position__20250831,net_deferred_tax_position__20240831</t>
        </is>
      </c>
      <c r="M472" t="inlineStr">
        <is>
          <t>Change in Net Deferred-Tax Asset Position = Current net − Prior net.|Net-position change is a balance movement — not deferred-tax expense or cash taxes.</t>
        </is>
      </c>
      <c r="O472" t="inlineStr">
        <is>
          <t>pending</t>
        </is>
      </c>
      <c r="P472" t="inlineStr">
        <is>
          <t>net_deferred_tax_position_change</t>
        </is>
      </c>
      <c r="Q472" t="n">
        <v>119</v>
      </c>
      <c r="R472" t="n">
        <v>4</v>
      </c>
      <c r="S472" t="inlineStr">
        <is>
          <t>2025-08-31</t>
        </is>
      </c>
    </row>
    <row r="473">
      <c r="A473" t="inlineStr">
        <is>
          <t>ppe_capex__20210831</t>
        </is>
      </c>
      <c r="B473" t="n">
        <v>472</v>
      </c>
      <c r="C473" t="inlineStr">
        <is>
          <t>PP&amp;E Capex (−reported)</t>
        </is>
      </c>
      <c r="D473" t="inlineStr">
        <is>
          <t>Presented as −reported payments for property, plant and equipment.</t>
        </is>
      </c>
      <c r="E473" t="inlineStr">
        <is>
          <t>capex.ppe_capex.2021-08-31</t>
        </is>
      </c>
      <c r="F473" t="inlineStr">
        <is>
          <t>capex</t>
        </is>
      </c>
      <c r="G473" t="inlineStr">
        <is>
          <t>ALT DuPont</t>
        </is>
      </c>
      <c r="H473" t="inlineStr">
        <is>
          <t>B77</t>
        </is>
      </c>
      <c r="I473">
        <f>-B76</f>
        <v/>
      </c>
      <c r="J473" t="n">
        <v>56500</v>
      </c>
      <c r="K473" t="n">
        <v>0.01</v>
      </c>
      <c r="M473" t="inlineStr">
        <is>
          <t>PP&amp;E Capex = −(reported payments for property, plant and equipment).|Do not apply absolute value; keep the −reported sign convention consistently.|Explicit zero reported payments remain valid (zero capex).</t>
        </is>
      </c>
      <c r="O473" t="inlineStr">
        <is>
          <t>pending</t>
        </is>
      </c>
      <c r="P473" t="inlineStr">
        <is>
          <t>ppe_capex</t>
        </is>
      </c>
      <c r="Q473" t="n">
        <v>120</v>
      </c>
      <c r="R473" t="n">
        <v>0</v>
      </c>
      <c r="S473" t="inlineStr">
        <is>
          <t>2021-08-31</t>
        </is>
      </c>
    </row>
    <row r="474">
      <c r="A474" t="inlineStr">
        <is>
          <t>ppe_capex__20220831</t>
        </is>
      </c>
      <c r="B474" t="n">
        <v>473</v>
      </c>
      <c r="C474" t="inlineStr">
        <is>
          <t>PP&amp;E Capex (−reported)</t>
        </is>
      </c>
      <c r="D474" t="inlineStr">
        <is>
          <t>Presented as −reported payments for property, plant and equipment.</t>
        </is>
      </c>
      <c r="E474" t="inlineStr">
        <is>
          <t>capex.ppe_capex.2022-08-31</t>
        </is>
      </c>
      <c r="F474" t="inlineStr">
        <is>
          <t>capex</t>
        </is>
      </c>
      <c r="G474" t="inlineStr">
        <is>
          <t>ALT DuPont</t>
        </is>
      </c>
      <c r="H474" t="inlineStr">
        <is>
          <t>C77</t>
        </is>
      </c>
      <c r="I474">
        <f>-C76</f>
        <v/>
      </c>
      <c r="J474" t="n">
        <v>51271</v>
      </c>
      <c r="K474" t="n">
        <v>0.01</v>
      </c>
      <c r="M474" t="inlineStr">
        <is>
          <t>PP&amp;E Capex = −(reported payments for property, plant and equipment).|Do not apply absolute value; keep the −reported sign convention consistently.|Explicit zero reported payments remain valid (zero capex).</t>
        </is>
      </c>
      <c r="O474" t="inlineStr">
        <is>
          <t>pending</t>
        </is>
      </c>
      <c r="P474" t="inlineStr">
        <is>
          <t>ppe_capex</t>
        </is>
      </c>
      <c r="Q474" t="n">
        <v>120</v>
      </c>
      <c r="R474" t="n">
        <v>1</v>
      </c>
      <c r="S474" t="inlineStr">
        <is>
          <t>2022-08-31</t>
        </is>
      </c>
    </row>
    <row r="475">
      <c r="A475" t="inlineStr">
        <is>
          <t>ppe_capex__20230831</t>
        </is>
      </c>
      <c r="B475" t="n">
        <v>474</v>
      </c>
      <c r="C475" t="inlineStr">
        <is>
          <t>PP&amp;E Capex (−reported)</t>
        </is>
      </c>
      <c r="D475" t="inlineStr">
        <is>
          <t>Presented as −reported payments for property, plant and equipment.</t>
        </is>
      </c>
      <c r="E475" t="inlineStr">
        <is>
          <t>capex.ppe_capex.2023-08-31</t>
        </is>
      </c>
      <c r="F475" t="inlineStr">
        <is>
          <t>capex</t>
        </is>
      </c>
      <c r="G475" t="inlineStr">
        <is>
          <t>ALT DuPont</t>
        </is>
      </c>
      <c r="H475" t="inlineStr">
        <is>
          <t>D77</t>
        </is>
      </c>
      <c r="I475">
        <f>-D76</f>
        <v/>
      </c>
      <c r="J475" t="n">
        <v>61764</v>
      </c>
      <c r="K475" t="n">
        <v>0.01</v>
      </c>
      <c r="M475" t="inlineStr">
        <is>
          <t>PP&amp;E Capex = −(reported payments for property, plant and equipment).|Do not apply absolute value; keep the −reported sign convention consistently.|Explicit zero reported payments remain valid (zero capex).</t>
        </is>
      </c>
      <c r="O475" t="inlineStr">
        <is>
          <t>pending</t>
        </is>
      </c>
      <c r="P475" t="inlineStr">
        <is>
          <t>ppe_capex</t>
        </is>
      </c>
      <c r="Q475" t="n">
        <v>120</v>
      </c>
      <c r="R475" t="n">
        <v>2</v>
      </c>
      <c r="S475" t="inlineStr">
        <is>
          <t>2023-08-31</t>
        </is>
      </c>
    </row>
    <row r="476">
      <c r="A476" t="inlineStr">
        <is>
          <t>ppe_capex__20240831</t>
        </is>
      </c>
      <c r="B476" t="n">
        <v>475</v>
      </c>
      <c r="C476" t="inlineStr">
        <is>
          <t>PP&amp;E Capex (−reported)</t>
        </is>
      </c>
      <c r="D476" t="inlineStr">
        <is>
          <t>Presented as −reported payments for property, plant and equipment.</t>
        </is>
      </c>
      <c r="E476" t="inlineStr">
        <is>
          <t>capex.ppe_capex.2024-08-31</t>
        </is>
      </c>
      <c r="F476" t="inlineStr">
        <is>
          <t>capex</t>
        </is>
      </c>
      <c r="G476" t="inlineStr">
        <is>
          <t>ALT DuPont</t>
        </is>
      </c>
      <c r="H476" t="inlineStr">
        <is>
          <t>E77</t>
        </is>
      </c>
      <c r="I476">
        <f>-E76</f>
        <v/>
      </c>
      <c r="J476" t="n">
        <v>73728</v>
      </c>
      <c r="K476" t="n">
        <v>0.01</v>
      </c>
      <c r="M476" t="inlineStr">
        <is>
          <t>PP&amp;E Capex = −(reported payments for property, plant and equipment).|Do not apply absolute value; keep the −reported sign convention consistently.|Explicit zero reported payments remain valid (zero capex).</t>
        </is>
      </c>
      <c r="O476" t="inlineStr">
        <is>
          <t>pending</t>
        </is>
      </c>
      <c r="P476" t="inlineStr">
        <is>
          <t>ppe_capex</t>
        </is>
      </c>
      <c r="Q476" t="n">
        <v>120</v>
      </c>
      <c r="R476" t="n">
        <v>3</v>
      </c>
      <c r="S476" t="inlineStr">
        <is>
          <t>2024-08-31</t>
        </is>
      </c>
    </row>
    <row r="477">
      <c r="A477" t="inlineStr">
        <is>
          <t>ppe_capex__20250831</t>
        </is>
      </c>
      <c r="B477" t="n">
        <v>476</v>
      </c>
      <c r="C477" t="inlineStr">
        <is>
          <t>PP&amp;E Capex (−reported)</t>
        </is>
      </c>
      <c r="D477" t="inlineStr">
        <is>
          <t>Presented as −reported payments for property, plant and equipment.</t>
        </is>
      </c>
      <c r="E477" t="inlineStr">
        <is>
          <t>capex.ppe_capex.2025-08-31</t>
        </is>
      </c>
      <c r="F477" t="inlineStr">
        <is>
          <t>capex</t>
        </is>
      </c>
      <c r="G477" t="inlineStr">
        <is>
          <t>ALT DuPont</t>
        </is>
      </c>
      <c r="H477" t="inlineStr">
        <is>
          <t>F77</t>
        </is>
      </c>
      <c r="I477">
        <f>-F76</f>
        <v/>
      </c>
      <c r="J477" t="n">
        <v>135535</v>
      </c>
      <c r="K477" t="n">
        <v>0.01</v>
      </c>
      <c r="M477" t="inlineStr">
        <is>
          <t>PP&amp;E Capex = −(reported payments for property, plant and equipment).|Do not apply absolute value; keep the −reported sign convention consistently.|Explicit zero reported payments remain valid (zero capex).</t>
        </is>
      </c>
      <c r="O477" t="inlineStr">
        <is>
          <t>pending</t>
        </is>
      </c>
      <c r="P477" t="inlineStr">
        <is>
          <t>ppe_capex</t>
        </is>
      </c>
      <c r="Q477" t="n">
        <v>120</v>
      </c>
      <c r="R477" t="n">
        <v>4</v>
      </c>
      <c r="S477" t="inlineStr">
        <is>
          <t>2025-08-31</t>
        </is>
      </c>
    </row>
    <row r="478">
      <c r="A478" t="inlineStr">
        <is>
          <t>ppe_capex_to_revenue__20210831</t>
        </is>
      </c>
      <c r="B478" t="n">
        <v>477</v>
      </c>
      <c r="C478" t="inlineStr">
        <is>
          <t>PP&amp;E Capex / Revenue</t>
        </is>
      </c>
      <c r="D478" t="inlineStr">
        <is>
          <t>Presented PP&amp;E capex divided by same-period Revenue.</t>
        </is>
      </c>
      <c r="E478" t="inlineStr">
        <is>
          <t>capex.ppe_capex_to_revenue.2021-08-31</t>
        </is>
      </c>
      <c r="F478" t="inlineStr">
        <is>
          <t>capex</t>
        </is>
      </c>
      <c r="G478" t="inlineStr">
        <is>
          <t>ALT DuPont</t>
        </is>
      </c>
      <c r="H478" t="inlineStr">
        <is>
          <t>B78</t>
        </is>
      </c>
      <c r="I478">
        <f>IF('Condensed Financials'!B44=0,NA(),B77/'Condensed Financials'!B44)</f>
        <v/>
      </c>
      <c r="J478" t="n">
        <v>0.0264886131781085</v>
      </c>
      <c r="K478" t="n">
        <v>0.01</v>
      </c>
      <c r="L478" t="inlineStr">
        <is>
          <t>ppe_capex__20210831,revenue_link__20210831</t>
        </is>
      </c>
      <c r="M478" t="inlineStr">
        <is>
          <t>PP&amp;E Capex / Revenue uses the −reported payment presentation.|A zero Revenue denominator makes the ratio undefined (#N/A).|Revenue intensity only — not a reinvestment bridge or depreciation ratio.</t>
        </is>
      </c>
      <c r="O478" t="inlineStr">
        <is>
          <t>pending</t>
        </is>
      </c>
      <c r="P478" t="inlineStr">
        <is>
          <t>ppe_capex_to_revenue</t>
        </is>
      </c>
      <c r="Q478" t="n">
        <v>121</v>
      </c>
      <c r="R478" t="n">
        <v>0</v>
      </c>
      <c r="S478" t="inlineStr">
        <is>
          <t>2021-08-31</t>
        </is>
      </c>
    </row>
    <row r="479">
      <c r="A479" t="inlineStr">
        <is>
          <t>ppe_capex_to_revenue__20220831</t>
        </is>
      </c>
      <c r="B479" t="n">
        <v>478</v>
      </c>
      <c r="C479" t="inlineStr">
        <is>
          <t>PP&amp;E Capex / Revenue</t>
        </is>
      </c>
      <c r="D479" t="inlineStr">
        <is>
          <t>Presented PP&amp;E capex divided by same-period Revenue.</t>
        </is>
      </c>
      <c r="E479" t="inlineStr">
        <is>
          <t>capex.ppe_capex_to_revenue.2022-08-31</t>
        </is>
      </c>
      <c r="F479" t="inlineStr">
        <is>
          <t>capex</t>
        </is>
      </c>
      <c r="G479" t="inlineStr">
        <is>
          <t>ALT DuPont</t>
        </is>
      </c>
      <c r="H479" t="inlineStr">
        <is>
          <t>C78</t>
        </is>
      </c>
      <c r="I479">
        <f>IF('Condensed Financials'!C44=0,NA(),C77/'Condensed Financials'!C44)</f>
        <v/>
      </c>
      <c r="J479" t="n">
        <v>0.02228086994083756</v>
      </c>
      <c r="K479" t="n">
        <v>0.01</v>
      </c>
      <c r="L479" t="inlineStr">
        <is>
          <t>ppe_capex__20220831,revenue_link__20220831</t>
        </is>
      </c>
      <c r="M479" t="inlineStr">
        <is>
          <t>PP&amp;E Capex / Revenue uses the −reported payment presentation.|A zero Revenue denominator makes the ratio undefined (#N/A).|Revenue intensity only — not a reinvestment bridge or depreciation ratio.</t>
        </is>
      </c>
      <c r="O479" t="inlineStr">
        <is>
          <t>pending</t>
        </is>
      </c>
      <c r="P479" t="inlineStr">
        <is>
          <t>ppe_capex_to_revenue</t>
        </is>
      </c>
      <c r="Q479" t="n">
        <v>121</v>
      </c>
      <c r="R479" t="n">
        <v>1</v>
      </c>
      <c r="S479" t="inlineStr">
        <is>
          <t>2022-08-31</t>
        </is>
      </c>
    </row>
    <row r="480">
      <c r="A480" t="inlineStr">
        <is>
          <t>ppe_capex_to_revenue__20230831</t>
        </is>
      </c>
      <c r="B480" t="n">
        <v>479</v>
      </c>
      <c r="C480" t="inlineStr">
        <is>
          <t>PP&amp;E Capex / Revenue</t>
        </is>
      </c>
      <c r="D480" t="inlineStr">
        <is>
          <t>Presented PP&amp;E capex divided by same-period Revenue.</t>
        </is>
      </c>
      <c r="E480" t="inlineStr">
        <is>
          <t>capex.ppe_capex_to_revenue.2023-08-31</t>
        </is>
      </c>
      <c r="F480" t="inlineStr">
        <is>
          <t>capex</t>
        </is>
      </c>
      <c r="G480" t="inlineStr">
        <is>
          <t>ALT DuPont</t>
        </is>
      </c>
      <c r="H480" t="inlineStr">
        <is>
          <t>D78</t>
        </is>
      </c>
      <c r="I480">
        <f>IF('Condensed Financials'!D44=0,NA(),D77/'Condensed Financials'!D44)</f>
        <v/>
      </c>
      <c r="J480" t="n">
        <v>0.02232522228893169</v>
      </c>
      <c r="K480" t="n">
        <v>0.01</v>
      </c>
      <c r="L480" t="inlineStr">
        <is>
          <t>ppe_capex__20230831,revenue_link__20230831</t>
        </is>
      </c>
      <c r="M480" t="inlineStr">
        <is>
          <t>PP&amp;E Capex / Revenue uses the −reported payment presentation.|A zero Revenue denominator makes the ratio undefined (#N/A).|Revenue intensity only — not a reinvestment bridge or depreciation ratio.</t>
        </is>
      </c>
      <c r="O480" t="inlineStr">
        <is>
          <t>pending</t>
        </is>
      </c>
      <c r="P480" t="inlineStr">
        <is>
          <t>ppe_capex_to_revenue</t>
        </is>
      </c>
      <c r="Q480" t="n">
        <v>121</v>
      </c>
      <c r="R480" t="n">
        <v>2</v>
      </c>
      <c r="S480" t="inlineStr">
        <is>
          <t>2023-08-31</t>
        </is>
      </c>
    </row>
    <row r="481">
      <c r="A481" t="inlineStr">
        <is>
          <t>ppe_capex_to_revenue__20240831</t>
        </is>
      </c>
      <c r="B481" t="n">
        <v>480</v>
      </c>
      <c r="C481" t="inlineStr">
        <is>
          <t>PP&amp;E Capex / Revenue</t>
        </is>
      </c>
      <c r="D481" t="inlineStr">
        <is>
          <t>Presented PP&amp;E capex divided by same-period Revenue.</t>
        </is>
      </c>
      <c r="E481" t="inlineStr">
        <is>
          <t>capex.ppe_capex_to_revenue.2024-08-31</t>
        </is>
      </c>
      <c r="F481" t="inlineStr">
        <is>
          <t>capex</t>
        </is>
      </c>
      <c r="G481" t="inlineStr">
        <is>
          <t>ALT DuPont</t>
        </is>
      </c>
      <c r="H481" t="inlineStr">
        <is>
          <t>E78</t>
        </is>
      </c>
      <c r="I481">
        <f>IF('Condensed Financials'!E44=0,NA(),E77/'Condensed Financials'!E44)</f>
        <v/>
      </c>
      <c r="J481" t="n">
        <v>0.0237538323545445</v>
      </c>
      <c r="K481" t="n">
        <v>0.01</v>
      </c>
      <c r="L481" t="inlineStr">
        <is>
          <t>ppe_capex__20240831,revenue_link__20240831</t>
        </is>
      </c>
      <c r="M481" t="inlineStr">
        <is>
          <t>PP&amp;E Capex / Revenue uses the −reported payment presentation.|A zero Revenue denominator makes the ratio undefined (#N/A).|Revenue intensity only — not a reinvestment bridge or depreciation ratio.</t>
        </is>
      </c>
      <c r="O481" t="inlineStr">
        <is>
          <t>pending</t>
        </is>
      </c>
      <c r="P481" t="inlineStr">
        <is>
          <t>ppe_capex_to_revenue</t>
        </is>
      </c>
      <c r="Q481" t="n">
        <v>121</v>
      </c>
      <c r="R481" t="n">
        <v>3</v>
      </c>
      <c r="S481" t="inlineStr">
        <is>
          <t>2024-08-31</t>
        </is>
      </c>
    </row>
    <row r="482">
      <c r="A482" t="inlineStr">
        <is>
          <t>ppe_capex_to_revenue__20250831</t>
        </is>
      </c>
      <c r="B482" t="n">
        <v>481</v>
      </c>
      <c r="C482" t="inlineStr">
        <is>
          <t>PP&amp;E Capex / Revenue</t>
        </is>
      </c>
      <c r="D482" t="inlineStr">
        <is>
          <t>Presented PP&amp;E capex divided by same-period Revenue.</t>
        </is>
      </c>
      <c r="E482" t="inlineStr">
        <is>
          <t>capex.ppe_capex_to_revenue.2025-08-31</t>
        </is>
      </c>
      <c r="F482" t="inlineStr">
        <is>
          <t>capex</t>
        </is>
      </c>
      <c r="G482" t="inlineStr">
        <is>
          <t>ALT DuPont</t>
        </is>
      </c>
      <c r="H482" t="inlineStr">
        <is>
          <t>F78</t>
        </is>
      </c>
      <c r="I482">
        <f>IF('Condensed Financials'!F44=0,NA(),F77/'Condensed Financials'!F44)</f>
        <v/>
      </c>
      <c r="J482" t="n">
        <v>0.0398569168005425</v>
      </c>
      <c r="K482" t="n">
        <v>0.01</v>
      </c>
      <c r="L482" t="inlineStr">
        <is>
          <t>ppe_capex__20250831,revenue_link__20250831</t>
        </is>
      </c>
      <c r="M482" t="inlineStr">
        <is>
          <t>PP&amp;E Capex / Revenue uses the −reported payment presentation.|A zero Revenue denominator makes the ratio undefined (#N/A).|Revenue intensity only — not a reinvestment bridge or depreciation ratio.</t>
        </is>
      </c>
      <c r="O482" t="inlineStr">
        <is>
          <t>pending</t>
        </is>
      </c>
      <c r="P482" t="inlineStr">
        <is>
          <t>ppe_capex_to_revenue</t>
        </is>
      </c>
      <c r="Q482" t="n">
        <v>121</v>
      </c>
      <c r="R482" t="n">
        <v>4</v>
      </c>
      <c r="S482" t="inlineStr">
        <is>
          <t>2025-08-31</t>
        </is>
      </c>
    </row>
    <row r="483">
      <c r="A483" t="inlineStr">
        <is>
          <t>lease_repayments__20210831</t>
        </is>
      </c>
      <c r="B483" t="n">
        <v>482</v>
      </c>
      <c r="C483" t="inlineStr">
        <is>
          <t>Lease Repayments (−reported)</t>
        </is>
      </c>
      <c r="D483" t="inlineStr">
        <is>
          <t>Presented as −reported cash repayments of lease liabilities. Not total lease cost, ROU amortization, or liability movement.</t>
        </is>
      </c>
      <c r="E483" t="inlineStr">
        <is>
          <t>lease_repayment.lease_repayments.2021-08-31</t>
        </is>
      </c>
      <c r="F483" t="inlineStr">
        <is>
          <t>lease_repayment</t>
        </is>
      </c>
      <c r="G483" t="inlineStr">
        <is>
          <t>ALT DuPont</t>
        </is>
      </c>
      <c r="H483" t="inlineStr">
        <is>
          <t>B82</t>
        </is>
      </c>
      <c r="I483">
        <f>-B81</f>
        <v/>
      </c>
      <c r="J483" t="n">
        <v>148248</v>
      </c>
      <c r="K483" t="n">
        <v>0.01</v>
      </c>
      <c r="M483" t="inlineStr">
        <is>
          <t>Lease Repayments = −(reported repayments of lease liabilities).|Do not apply absolute value; keep the −reported sign convention consistently.|This is reported repayment cash only — not total lease cost, ROU amortization, or the change in lease liability.|Explicit zero reported repayments remain valid (zero repayments).</t>
        </is>
      </c>
      <c r="O483" t="inlineStr">
        <is>
          <t>pending</t>
        </is>
      </c>
      <c r="P483" t="inlineStr">
        <is>
          <t>lease_repayments</t>
        </is>
      </c>
      <c r="Q483" t="n">
        <v>122</v>
      </c>
      <c r="R483" t="n">
        <v>0</v>
      </c>
      <c r="S483" t="inlineStr">
        <is>
          <t>2021-08-31</t>
        </is>
      </c>
    </row>
    <row r="484">
      <c r="A484" t="inlineStr">
        <is>
          <t>lease_repayments__20220831</t>
        </is>
      </c>
      <c r="B484" t="n">
        <v>483</v>
      </c>
      <c r="C484" t="inlineStr">
        <is>
          <t>Lease Repayments (−reported)</t>
        </is>
      </c>
      <c r="D484" t="inlineStr">
        <is>
          <t>Presented as −reported cash repayments of lease liabilities. Not total lease cost, ROU amortization, or liability movement.</t>
        </is>
      </c>
      <c r="E484" t="inlineStr">
        <is>
          <t>lease_repayment.lease_repayments.2022-08-31</t>
        </is>
      </c>
      <c r="F484" t="inlineStr">
        <is>
          <t>lease_repayment</t>
        </is>
      </c>
      <c r="G484" t="inlineStr">
        <is>
          <t>ALT DuPont</t>
        </is>
      </c>
      <c r="H484" t="inlineStr">
        <is>
          <t>C82</t>
        </is>
      </c>
      <c r="I484">
        <f>-C81</f>
        <v/>
      </c>
      <c r="J484" t="n">
        <v>136889</v>
      </c>
      <c r="K484" t="n">
        <v>0.01</v>
      </c>
      <c r="M484" t="inlineStr">
        <is>
          <t>Lease Repayments = −(reported repayments of lease liabilities).|Do not apply absolute value; keep the −reported sign convention consistently.|This is reported repayment cash only — not total lease cost, ROU amortization, or the change in lease liability.|Explicit zero reported repayments remain valid (zero repayments).</t>
        </is>
      </c>
      <c r="O484" t="inlineStr">
        <is>
          <t>pending</t>
        </is>
      </c>
      <c r="P484" t="inlineStr">
        <is>
          <t>lease_repayments</t>
        </is>
      </c>
      <c r="Q484" t="n">
        <v>122</v>
      </c>
      <c r="R484" t="n">
        <v>1</v>
      </c>
      <c r="S484" t="inlineStr">
        <is>
          <t>2022-08-31</t>
        </is>
      </c>
    </row>
    <row r="485">
      <c r="A485" t="inlineStr">
        <is>
          <t>lease_repayments__20230831</t>
        </is>
      </c>
      <c r="B485" t="n">
        <v>484</v>
      </c>
      <c r="C485" t="inlineStr">
        <is>
          <t>Lease Repayments (−reported)</t>
        </is>
      </c>
      <c r="D485" t="inlineStr">
        <is>
          <t>Presented as −reported cash repayments of lease liabilities. Not total lease cost, ROU amortization, or liability movement.</t>
        </is>
      </c>
      <c r="E485" t="inlineStr">
        <is>
          <t>lease_repayment.lease_repayments.2023-08-31</t>
        </is>
      </c>
      <c r="F485" t="inlineStr">
        <is>
          <t>lease_repayment</t>
        </is>
      </c>
      <c r="G485" t="inlineStr">
        <is>
          <t>ALT DuPont</t>
        </is>
      </c>
      <c r="H485" t="inlineStr">
        <is>
          <t>D82</t>
        </is>
      </c>
      <c r="I485">
        <f>-D81</f>
        <v/>
      </c>
      <c r="J485" t="n">
        <v>140646</v>
      </c>
      <c r="K485" t="n">
        <v>0.01</v>
      </c>
      <c r="M485" t="inlineStr">
        <is>
          <t>Lease Repayments = −(reported repayments of lease liabilities).|Do not apply absolute value; keep the −reported sign convention consistently.|This is reported repayment cash only — not total lease cost, ROU amortization, or the change in lease liability.|Explicit zero reported repayments remain valid (zero repayments).</t>
        </is>
      </c>
      <c r="O485" t="inlineStr">
        <is>
          <t>pending</t>
        </is>
      </c>
      <c r="P485" t="inlineStr">
        <is>
          <t>lease_repayments</t>
        </is>
      </c>
      <c r="Q485" t="n">
        <v>122</v>
      </c>
      <c r="R485" t="n">
        <v>2</v>
      </c>
      <c r="S485" t="inlineStr">
        <is>
          <t>2023-08-31</t>
        </is>
      </c>
    </row>
    <row r="486">
      <c r="A486" t="inlineStr">
        <is>
          <t>lease_repayments__20240831</t>
        </is>
      </c>
      <c r="B486" t="n">
        <v>485</v>
      </c>
      <c r="C486" t="inlineStr">
        <is>
          <t>Lease Repayments (−reported)</t>
        </is>
      </c>
      <c r="D486" t="inlineStr">
        <is>
          <t>Presented as −reported cash repayments of lease liabilities. Not total lease cost, ROU amortization, or liability movement.</t>
        </is>
      </c>
      <c r="E486" t="inlineStr">
        <is>
          <t>lease_repayment.lease_repayments.2024-08-31</t>
        </is>
      </c>
      <c r="F486" t="inlineStr">
        <is>
          <t>lease_repayment</t>
        </is>
      </c>
      <c r="G486" t="inlineStr">
        <is>
          <t>ALT DuPont</t>
        </is>
      </c>
      <c r="H486" t="inlineStr">
        <is>
          <t>E82</t>
        </is>
      </c>
      <c r="I486">
        <f>-E81</f>
        <v/>
      </c>
      <c r="J486" t="n">
        <v>146403</v>
      </c>
      <c r="K486" t="n">
        <v>0.01</v>
      </c>
      <c r="M486" t="inlineStr">
        <is>
          <t>Lease Repayments = −(reported repayments of lease liabilities).|Do not apply absolute value; keep the −reported sign convention consistently.|This is reported repayment cash only — not total lease cost, ROU amortization, or the change in lease liability.|Explicit zero reported repayments remain valid (zero repayments).</t>
        </is>
      </c>
      <c r="O486" t="inlineStr">
        <is>
          <t>pending</t>
        </is>
      </c>
      <c r="P486" t="inlineStr">
        <is>
          <t>lease_repayments</t>
        </is>
      </c>
      <c r="Q486" t="n">
        <v>122</v>
      </c>
      <c r="R486" t="n">
        <v>3</v>
      </c>
      <c r="S486" t="inlineStr">
        <is>
          <t>2024-08-31</t>
        </is>
      </c>
    </row>
    <row r="487">
      <c r="A487" t="inlineStr">
        <is>
          <t>lease_repayments__20250831</t>
        </is>
      </c>
      <c r="B487" t="n">
        <v>486</v>
      </c>
      <c r="C487" t="inlineStr">
        <is>
          <t>Lease Repayments (−reported)</t>
        </is>
      </c>
      <c r="D487" t="inlineStr">
        <is>
          <t>Presented as −reported cash repayments of lease liabilities. Not total lease cost, ROU amortization, or liability movement.</t>
        </is>
      </c>
      <c r="E487" t="inlineStr">
        <is>
          <t>lease_repayment.lease_repayments.2025-08-31</t>
        </is>
      </c>
      <c r="F487" t="inlineStr">
        <is>
          <t>lease_repayment</t>
        </is>
      </c>
      <c r="G487" t="inlineStr">
        <is>
          <t>ALT DuPont</t>
        </is>
      </c>
      <c r="H487" t="inlineStr">
        <is>
          <t>F82</t>
        </is>
      </c>
      <c r="I487">
        <f>-F81</f>
        <v/>
      </c>
      <c r="J487" t="n">
        <v>140483</v>
      </c>
      <c r="K487" t="n">
        <v>0.01</v>
      </c>
      <c r="M487" t="inlineStr">
        <is>
          <t>Lease Repayments = −(reported repayments of lease liabilities).|Do not apply absolute value; keep the −reported sign convention consistently.|This is reported repayment cash only — not total lease cost, ROU amortization, or the change in lease liability.|Explicit zero reported repayments remain valid (zero repayments).</t>
        </is>
      </c>
      <c r="O487" t="inlineStr">
        <is>
          <t>pending</t>
        </is>
      </c>
      <c r="P487" t="inlineStr">
        <is>
          <t>lease_repayments</t>
        </is>
      </c>
      <c r="Q487" t="n">
        <v>122</v>
      </c>
      <c r="R487" t="n">
        <v>4</v>
      </c>
      <c r="S487" t="inlineStr">
        <is>
          <t>2025-08-31</t>
        </is>
      </c>
    </row>
    <row r="488">
      <c r="A488" t="inlineStr">
        <is>
          <t>lease_repayments_to_revenue__20210831</t>
        </is>
      </c>
      <c r="B488" t="n">
        <v>487</v>
      </c>
      <c r="C488" t="inlineStr">
        <is>
          <t>Lease Repayments / Revenue</t>
        </is>
      </c>
      <c r="D488" t="inlineStr">
        <is>
          <t>Presented lease repayments divided by same-period Revenue. Cash intensity only — not liability stock or ROU amortization.</t>
        </is>
      </c>
      <c r="E488" t="inlineStr">
        <is>
          <t>lease_repayment.lease_repayments_to_revenue.2021-08-31</t>
        </is>
      </c>
      <c r="F488" t="inlineStr">
        <is>
          <t>lease_repayment</t>
        </is>
      </c>
      <c r="G488" t="inlineStr">
        <is>
          <t>ALT DuPont</t>
        </is>
      </c>
      <c r="H488" t="inlineStr">
        <is>
          <t>B83</t>
        </is>
      </c>
      <c r="I488">
        <f>IF('Condensed Financials'!B44=0,NA(),B82/'Condensed Financials'!B44)</f>
        <v/>
      </c>
      <c r="J488" t="n">
        <v>0.06950237037926069</v>
      </c>
      <c r="K488" t="n">
        <v>0.01</v>
      </c>
      <c r="L488" t="inlineStr">
        <is>
          <t>lease_repayments__20210831,revenue_link__20210831</t>
        </is>
      </c>
      <c r="M488" t="inlineStr">
        <is>
          <t>Lease Repayments / Revenue uses the −reported repayment presentation.|A zero Revenue denominator makes the ratio undefined (#N/A).|Revenue intensity of repayment cash only — not total lease cost, ROU amortization, or liability movement.</t>
        </is>
      </c>
      <c r="O488" t="inlineStr">
        <is>
          <t>pending</t>
        </is>
      </c>
      <c r="P488" t="inlineStr">
        <is>
          <t>lease_repayments_to_revenue</t>
        </is>
      </c>
      <c r="Q488" t="n">
        <v>123</v>
      </c>
      <c r="R488" t="n">
        <v>0</v>
      </c>
      <c r="S488" t="inlineStr">
        <is>
          <t>2021-08-31</t>
        </is>
      </c>
    </row>
    <row r="489">
      <c r="A489" t="inlineStr">
        <is>
          <t>lease_repayments_to_revenue__20220831</t>
        </is>
      </c>
      <c r="B489" t="n">
        <v>488</v>
      </c>
      <c r="C489" t="inlineStr">
        <is>
          <t>Lease Repayments / Revenue</t>
        </is>
      </c>
      <c r="D489" t="inlineStr">
        <is>
          <t>Presented lease repayments divided by same-period Revenue. Cash intensity only — not liability stock or ROU amortization.</t>
        </is>
      </c>
      <c r="E489" t="inlineStr">
        <is>
          <t>lease_repayment.lease_repayments_to_revenue.2022-08-31</t>
        </is>
      </c>
      <c r="F489" t="inlineStr">
        <is>
          <t>lease_repayment</t>
        </is>
      </c>
      <c r="G489" t="inlineStr">
        <is>
          <t>ALT DuPont</t>
        </is>
      </c>
      <c r="H489" t="inlineStr">
        <is>
          <t>C83</t>
        </is>
      </c>
      <c r="I489">
        <f>IF('Condensed Financials'!C44=0,NA(),C82/'Condensed Financials'!C44)</f>
        <v/>
      </c>
      <c r="J489" t="n">
        <v>0.05948793675433115</v>
      </c>
      <c r="K489" t="n">
        <v>0.01</v>
      </c>
      <c r="L489" t="inlineStr">
        <is>
          <t>lease_repayments__20220831,revenue_link__20220831</t>
        </is>
      </c>
      <c r="M489" t="inlineStr">
        <is>
          <t>Lease Repayments / Revenue uses the −reported repayment presentation.|A zero Revenue denominator makes the ratio undefined (#N/A).|Revenue intensity of repayment cash only — not total lease cost, ROU amortization, or liability movement.</t>
        </is>
      </c>
      <c r="O489" t="inlineStr">
        <is>
          <t>pending</t>
        </is>
      </c>
      <c r="P489" t="inlineStr">
        <is>
          <t>lease_repayments_to_revenue</t>
        </is>
      </c>
      <c r="Q489" t="n">
        <v>123</v>
      </c>
      <c r="R489" t="n">
        <v>1</v>
      </c>
      <c r="S489" t="inlineStr">
        <is>
          <t>2022-08-31</t>
        </is>
      </c>
    </row>
    <row r="490">
      <c r="A490" t="inlineStr">
        <is>
          <t>lease_repayments_to_revenue__20230831</t>
        </is>
      </c>
      <c r="B490" t="n">
        <v>489</v>
      </c>
      <c r="C490" t="inlineStr">
        <is>
          <t>Lease Repayments / Revenue</t>
        </is>
      </c>
      <c r="D490" t="inlineStr">
        <is>
          <t>Presented lease repayments divided by same-period Revenue. Cash intensity only — not liability stock or ROU amortization.</t>
        </is>
      </c>
      <c r="E490" t="inlineStr">
        <is>
          <t>lease_repayment.lease_repayments_to_revenue.2023-08-31</t>
        </is>
      </c>
      <c r="F490" t="inlineStr">
        <is>
          <t>lease_repayment</t>
        </is>
      </c>
      <c r="G490" t="inlineStr">
        <is>
          <t>ALT DuPont</t>
        </is>
      </c>
      <c r="H490" t="inlineStr">
        <is>
          <t>D83</t>
        </is>
      </c>
      <c r="I490">
        <f>IF('Condensed Financials'!D44=0,NA(),D82/'Condensed Financials'!D44)</f>
        <v/>
      </c>
      <c r="J490" t="n">
        <v>0.05083791875605671</v>
      </c>
      <c r="K490" t="n">
        <v>0.01</v>
      </c>
      <c r="L490" t="inlineStr">
        <is>
          <t>lease_repayments__20230831,revenue_link__20230831</t>
        </is>
      </c>
      <c r="M490" t="inlineStr">
        <is>
          <t>Lease Repayments / Revenue uses the −reported repayment presentation.|A zero Revenue denominator makes the ratio undefined (#N/A).|Revenue intensity of repayment cash only — not total lease cost, ROU amortization, or liability movement.</t>
        </is>
      </c>
      <c r="O490" t="inlineStr">
        <is>
          <t>pending</t>
        </is>
      </c>
      <c r="P490" t="inlineStr">
        <is>
          <t>lease_repayments_to_revenue</t>
        </is>
      </c>
      <c r="Q490" t="n">
        <v>123</v>
      </c>
      <c r="R490" t="n">
        <v>2</v>
      </c>
      <c r="S490" t="inlineStr">
        <is>
          <t>2023-08-31</t>
        </is>
      </c>
    </row>
    <row r="491">
      <c r="A491" t="inlineStr">
        <is>
          <t>lease_repayments_to_revenue__20240831</t>
        </is>
      </c>
      <c r="B491" t="n">
        <v>490</v>
      </c>
      <c r="C491" t="inlineStr">
        <is>
          <t>Lease Repayments / Revenue</t>
        </is>
      </c>
      <c r="D491" t="inlineStr">
        <is>
          <t>Presented lease repayments divided by same-period Revenue. Cash intensity only — not liability stock or ROU amortization.</t>
        </is>
      </c>
      <c r="E491" t="inlineStr">
        <is>
          <t>lease_repayment.lease_repayments_to_revenue.2024-08-31</t>
        </is>
      </c>
      <c r="F491" t="inlineStr">
        <is>
          <t>lease_repayment</t>
        </is>
      </c>
      <c r="G491" t="inlineStr">
        <is>
          <t>ALT DuPont</t>
        </is>
      </c>
      <c r="H491" t="inlineStr">
        <is>
          <t>E83</t>
        </is>
      </c>
      <c r="I491">
        <f>IF('Condensed Financials'!E44=0,NA(),E82/'Condensed Financials'!E44)</f>
        <v/>
      </c>
      <c r="J491" t="n">
        <v>0.04716840709367377</v>
      </c>
      <c r="K491" t="n">
        <v>0.01</v>
      </c>
      <c r="L491" t="inlineStr">
        <is>
          <t>lease_repayments__20240831,revenue_link__20240831</t>
        </is>
      </c>
      <c r="M491" t="inlineStr">
        <is>
          <t>Lease Repayments / Revenue uses the −reported repayment presentation.|A zero Revenue denominator makes the ratio undefined (#N/A).|Revenue intensity of repayment cash only — not total lease cost, ROU amortization, or liability movement.</t>
        </is>
      </c>
      <c r="O491" t="inlineStr">
        <is>
          <t>pending</t>
        </is>
      </c>
      <c r="P491" t="inlineStr">
        <is>
          <t>lease_repayments_to_revenue</t>
        </is>
      </c>
      <c r="Q491" t="n">
        <v>123</v>
      </c>
      <c r="R491" t="n">
        <v>3</v>
      </c>
      <c r="S491" t="inlineStr">
        <is>
          <t>2024-08-31</t>
        </is>
      </c>
    </row>
    <row r="492">
      <c r="A492" t="inlineStr">
        <is>
          <t>lease_repayments_to_revenue__20250831</t>
        </is>
      </c>
      <c r="B492" t="n">
        <v>491</v>
      </c>
      <c r="C492" t="inlineStr">
        <is>
          <t>Lease Repayments / Revenue</t>
        </is>
      </c>
      <c r="D492" t="inlineStr">
        <is>
          <t>Presented lease repayments divided by same-period Revenue. Cash intensity only — not liability stock or ROU amortization.</t>
        </is>
      </c>
      <c r="E492" t="inlineStr">
        <is>
          <t>lease_repayment.lease_repayments_to_revenue.2025-08-31</t>
        </is>
      </c>
      <c r="F492" t="inlineStr">
        <is>
          <t>lease_repayment</t>
        </is>
      </c>
      <c r="G492" t="inlineStr">
        <is>
          <t>ALT DuPont</t>
        </is>
      </c>
      <c r="H492" t="inlineStr">
        <is>
          <t>F83</t>
        </is>
      </c>
      <c r="I492">
        <f>IF('Condensed Financials'!F44=0,NA(),F82/'Condensed Financials'!F44)</f>
        <v/>
      </c>
      <c r="J492" t="n">
        <v>0.04131198024783718</v>
      </c>
      <c r="K492" t="n">
        <v>0.01</v>
      </c>
      <c r="L492" t="inlineStr">
        <is>
          <t>lease_repayments__20250831,revenue_link__20250831</t>
        </is>
      </c>
      <c r="M492" t="inlineStr">
        <is>
          <t>Lease Repayments / Revenue uses the −reported repayment presentation.|A zero Revenue denominator makes the ratio undefined (#N/A).|Revenue intensity of repayment cash only — not total lease cost, ROU amortization, or liability movement.</t>
        </is>
      </c>
      <c r="O492" t="inlineStr">
        <is>
          <t>pending</t>
        </is>
      </c>
      <c r="P492" t="inlineStr">
        <is>
          <t>lease_repayments_to_revenue</t>
        </is>
      </c>
      <c r="Q492" t="n">
        <v>123</v>
      </c>
      <c r="R492" t="n">
        <v>4</v>
      </c>
      <c r="S492" t="inlineStr">
        <is>
          <t>2025-08-31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BAV_CHECK_CONTEXT_V1</t>
        </is>
      </c>
    </row>
    <row r="2">
      <c r="A2" t="inlineStr">
        <is>
          <t>{"base_classification_overrides":{},"judgment_bindings":[{"allowed_treatments":["Financial Asset","Operating Working Capital Asset"],"case_id":"classification::concept=derivative_financial_assets_current|label=derivative financial assets","line_identity":"concept=derivative_financial_assets_current|label=derivative financial assets","order":1,"override_selector":"identity:concept=derivative_financial_assets_current|label=derivative financial assets","reference_treatment":"Financial Asset","worksheet_row":5},{"allowed_treatments":["Operating Working Capital Asset","Financial Asset"],"case_id":"classification::concept=other_current_assets|label=other assets","line_identity":"concept=other_current_assets|label=other assets","order":2,"override_selector":"identity:concept=other_current_assets|label=other assets","reference_treatment":"Operating Working Capital Asset","worksheet_row":6},{"allowed_treatments":["Financial Asset","Operating Working Capital Asset"],"case_id":"classification::concept=other_financial_assets_current|label=other financial assets","line_identity":"concept=other_financial_assets_current|label=other financial assets","order":3,"override_selector":"identity:concept=other_financial_assets_current|label=other financial assets","reference_treatment":"Financial Asset","worksheet_row":7},{"allowed_treatments":["Financial Liability","Operating Working Capital Liability"],"case_id":"classification::concept=derivative_financial_liabilities_current|label=derivative financial liabilities","line_identity":"concept=derivative_financial_liabilities_current|label=derivative financial liabilities","order":4,"override_selector":"identity:concept=derivative_financial_liabilities_current|label=derivative financial liabilities","reference_treatment":"Financial Liability","worksheet_row":8},{"allowed_treatments":["Operating Long-Term Liability","Financial Liability"],"case_id":"classification::concept=lease_liability_current|label=lease liabilities","line_identity":"concept=lease_liability_current|label=lease liabilities","order":5,"override_selector":"identity:concept=lease_liability_current|label=lease liabilities","reference_treatment":"Operating Long-Term Liability","worksheet_row":9},{"allowed_treatments":["Financial Liability","Operating Working Capital Liability"],"case_id":"classification::concept=other_financial_liabilities_current|label=other financial liabilities","line_identity":"concept=other_financial_liabilities_current|label=other financial liabilities","order":6,"override_selector":"identity:concept=other_financial_liabilities_current|label=other financial liabilities","reference_treatment":"Financial Liability","worksheet_row":10},{"allowed_treatments":["Operating Working Capital Liability","Financial Liability"],"case_id":"classification::concept=other_current_liabilities|label=other liabilities","line_identity":"concept=other_current_liabilities|label=other liabilities","order":7,"override_selector":"identity:concept=other_current_liabilities|label=other liabilities","reference_treatment":"Operating Working Capital Liability","worksheet_row":11},{"allowed_treatments":["Financial Asset","Operating Long-Term Asset"],"case_id":"classification::concept=derivative_financial_assets_noncurrent|label=derivative financial assets","line_identity":"concept=derivative_financial_assets_noncurrent|label=derivative financial assets","order":8,"override_selector":"identity:concept=derivative_financial_assets_noncurrent|label=derivative financial assets","reference_treatment":"Financial Asset","worksheet_row":12},{"allowed_treatments":["Financial Asset","Operating Long-Term Asset"],"case_id":"classification::concept=financial_assets_noncurrent|label=financial assets","line_identity":"concept=financial_assets_noncurrent|label=financial assets","order":9,"override_selector":"identity:concept=financial_assets_noncurrent|label=financial assets","reference_treatment":"Financial Asset","worksheet_row":13},{"allowed_treatments":["Operating Long-Term Asset","Financial Asset"],"case_id":"classification::concept=investments_in_associates|label=investments in associates accounted for using the equity method","line_identity":"concept=investments_in_associates|label=investments in associates accounted for using the equity method","order":10,"override_selector":"identity:concept=investments_in_associates|label=investments in associates accounted for using the equity method","reference_treatment":"Operating Long-Term Asset","worksheet_row":14},{"allowed_treatments":["Operating Long-Term Asset","Financial Asset"],"case_id":"classification::concept=other_noncurrent_assets|label=other assets","line_identity":"concept=other_noncurrent_assets|label=other assets","order":11,"override_selector":"identity:concept=other_noncurrent_assets|label=other assets","reference_treatment":"Operating Long-Term Asset","worksheet_row":15},{"allowed_treatments":["Financial Liability","Operating Long-Term Liability"],"case_id":"classification::concept=derivative_financial_liabilities_noncurrent|label=derivative financial liabilities","line_identity":"concept=derivative_financial_liabilities_noncurrent|label=derivative financial liabilities","order":12,"override_selector":"identity:concept=derivative_financial_liabilities_noncurrent|label=derivative financial liabilities","reference_treatment":"Financial Liability","worksheet_row":16},{"allowed_treatments":["Financial Liability","Operating Long-Term Liability"],"case_id":"classification::concept=financial_liabilities_noncurrent|label=financial liabilities","line_identity":"concept=financial_liabilities_noncurrent|label=financial liabilities","order":13,"override_selector":"identity:concept=financial_liabilities_noncurrent|label=financial liabilities","reference_treatment":"Financial Liability","worksheet_row":17},{"allowed_treatments":["Operating Long-Term Liability","Financial Liability"],"case_id":"classification::concept=lease_liability_noncurrent|label=lease liabilities","line_identity":"concept=lease_liability_noncurrent|label=lease liabilities","order":14,"override_selector":"identity:concept=lease_liability_noncurrent|label=lease liabilities","reference_treatment":"Operating Long-Term Liability","worksheet_row":18},{"allowed_treatments":["Operating Long-Term Liability","Financial Liability"],"case_id":"classification::concept=other_noncurrent_liabilities|label=other liabilities","line_identity":"concept=other_noncurrent_liabilities|label=other liabilities","order":15,"override_selector":"identity:concept=other_noncurrent_liabilities|label=other liabilities","reference_treatment":"Operating Long-Term Liability","worksheet_row":19}],"modeled_periods":["2021-08-31","2022-08-31","2023-08-31","2024-08-31","2025-08-31"],"normalization_bindings":[],"schema_version":2,"source_payload":{"balance_sheet":[{"concept":"total_assets","label":"Total assets","values":{"2021-08-31":2509976.0,"2022-08-31":3183762.0,"2023-08-31":3303694.0,"2024-08-31":3587565.0,"2025-08-31":3859353.0}},{"concept":"cash","label":"Cash and cash equivalents","values":{"2021-08-31":1177736.0,"2022-08-31":1358292.0,"2023-08-31":903280.0,"2024-08-31":1193560.0,"2025-08-31":893239.0}},{"concept":"derivative_financial_assets_current","label":"Derivative financial assets","values":{"2021-08-31":27103.0,"2022-08-31":124551.0,"2023-08-31":132101.0,"2024-08-31":111658.0,"2025-08-31":94803.0}},{"concept":"income_taxes_receivable","label":"Income taxes receivable","values":{"2021-08-31":2992.0,"2022-08-31":2612.0,"2023-08-31":23660.0,"2024-08-31":2210.0,"2025-08-31":8042.0}},{"concept":"inventories","label":"Inventories","values":{"2021-08-31":394868.0,"2022-08-31":485928.0,"2023-08-31":449254.0,"2024-08-31":474460.0,"2025-08-31":510958.0}},{"concept":"other_current_assets","label":"Other assets","values":{"2021-08-31":15270.0,"2022-08-31":23835.0,"2023-08-31":25372.0,"2024-08-31":26897.0,"2025-08-31":24662.0}},{"concept":"other_financial_assets_current","label":"Other financial assets","values":{"2021-08-31":56157.0,"2022-08-31":123446.0,"2023-08-31":576194.0,"2024-08-31":470554.0,"2025-08-31":899701.0}},{"concept":"total_current_assets","label":"Total current assets","values":{"2021-08-31":1724674.0,"2022-08-31":2178851.0,"2023-08-31":2176695.0,"2024-08-31":2363271.0,"2025-08-31":2527815.0}},{"concept":"trade_and_other_receivables","label":"Trade and other receivables","values":{"2021-08-31":50546.0,"2022-08-31":60184.0,"2023-08-31":66831.0,"2024-08-31":83929.0,"2025-08-31":96407.0}},{"concept":"current_tax_liabilities","label":"Current tax liabilities","values":{"2021-08-31":38606.0,"2022-08-31":77162.0,"2023-08-31":65428.0,"2024-08-31":65525.0,"2025-08-31":73072.0}},{"concept":"derivative_financial_liabilities_current","label":"Derivative financial liabilities","values":{"2021-08-31":2493.0,"2022-08-31":1513.0,"2023-08-31":3600.0,"2024-08-31":12716.0,"2025-08-31":19250.0}},{"concept":"lease_liability_current","label":"Lease liabilities","values":{"2021-08-31":117083.0,"2022-08-31":123885.0,"2023-08-31":126992.0,"2024-08-31":130744.0,"2025-08-31":126830.0}},{"concept":"other_financial_liabilities_current","label":"Other financial liabilities","values":{"2021-08-31":104969.0,"2022-08-31":209286.0,"2023-08-31":61913.0,"2024-08-31":104770.0,"2025-08-31":150942.0}},{"concept":"other_current_liabilities","label":"Other liabilities","values":{"2021-08-31":95652.0,"2022-08-31":111519.0,"2023-08-31":129782.0,"2024-08-31":148201.0,"2025-08-31":149394.0}},{"concept":"provisions_current","label":"Provisions","values":{"2021-08-31":2149.0,"2022-08-31":2581.0,"2023-08-31":2642.0,"2024-08-31":1774.0,"2025-08-31":1651.0}},{"concept":"total_current_liabilities","label":"Total current liabilities","values":{"2021-08-31":581012.0,"2022-08-31":876242.0,"2023-08-31":729260.0,"2024-08-31":852390.0,"2025-08-31":911291.0}},{"concept":"trade_and_other_payables","label":"Trade and other payables","values":{"2021-08-31":220057.0,"2022-08-31":350294.0,"2023-08-31":338901.0,"2024-08-31":388656.0,"2025-08-31":390149.0}},{"concept":"capital_stock","label":"Capital stock","values":{"2021-08-31":10273.0,"2022-08-31":10273.0,"2023-08-31":10273.0,"2024-08-31":10273.0,"2025-08-31":10273.0}},{"concept":"capital_surplus","label":"Capital surplus","values":{"2021-08-31":25360.0,"2022-08-31":27834.0,"2023-08-31":28531.0,"2024-08-31":29712.0,"2025-08-31":30998.0}},{"concept":"equity_attributable_to_owners","label":"Equity attributable to owners of the Parent","values":{"2021-08-31":1116484.0,"2022-08-31":1561652.0,"2023-08-31":1821405.0,"2024-08-31":2016535.0,"2025-08-31":2273115.0}},{"concept":"noncontrolling_interests","label":"Non-controlling interests","values":{"2021-08-31":45813.0,"2022-08-31":53750.0,"2023-08-31":51955.0,"2024-08-31":51718.0,"2025-08-31":54385.0}},{"concept":"other_components_of_equity","label":"Other components of equity","values":{"2021-08-31":41031.0,"2022-08-31":263255.0,"2023-08-31":298965.0,"2024-08-31":225104.0,"2025-08-31":189936.0}},{"concept":"retained_earnings","label":"Retained earnings","values":{"2021-08-31":1054791.0,"2022-08-31":1275102.0,"2023-08-31":1498348.0,"2024-08-31":1766073.0,"2025-08-31":2056437.0}},{"concept":"total_equity","label":"Total equity","values":{"2021-08-31":1162298.0,"2022-08-31":1615402.0,"2023-08-31":1873360.0,"2024-08-31":2068254.0,"2025-08-31":2327501.0}},{"concept":"total_liabilities_and_equity","label":"Total liabilities and equity","values":{"2021-08-31":2509976.0,"2022-08-31":3183762.0,"2023-08-31":3303694.0,"2024-08-31":3587565.0,"2025-08-31":3859353.0}},{"concept":"treasury_stock","label":"Treasury stock, at cost","values":{"2021-08-31":-14973.0,"2022-08-31":-14813.0,"2023-08-31":-14714.0,"2024-08-31":-14628.0,"2025-08-31":-14529.0}},{"concept":"total_liabilities","label":"Total liabilities","values":{"2021-08-31":1347678.0,"2022-08-31":1568360.0,"2023-08-31":1430333.0,"2024-08-31":1519310.0,"2025-08-31":1531852.0}},{"concept":"deferred_tax_assets","label":"Deferred tax assets","values":{"2021-08-31":37125.0,"2022-08-31":8506.0,"2023-08-31":38208.0,"2024-08-31":32432.0,"2025-08-31":40889.0}},{"concept":"derivative_financial_assets_noncurrent","label":"Derivative financial assets","values":{"2021-08-31":22552.0,"2022-08-31":134240.0,"2023-08-31":114151.0,"2024-08-31":66995.0,"2025-08-31":33882.0}},{"concept":"financial_assets_noncurrent","label":"Financial assets","values":{"2021-08-31":67122.0,"2022-08-31":164340.0,"2023-08-31":240363.0,"2024-08-31":336302.0,"2025-08-31":312438.0}},{"concept":"goodwill","label":"Goodwill","values":{"2021-08-31":8092.0,"2022-08-31":8092.0,"2023-08-31":8092.0,"2024-08-31":8092.0,"2025-08-31":8092.0}},{"concept":"intangible_assets","label":"Intangible assets","values":{"2021-08-31":66939.0,"2022-08-31":76621.0,"2023-08-31":87300.0,"2024-08-31":92568.0,"2025-08-31":91606.0}},{"concept":"investments_in_associates","label":"Investments in associates accounted for using the equity method","values":{"2021-08-31":18236.0,"2022-08-31":18557.0,"2023-08-31":18974.0,"2024-08-31":19559.0,"2025-08-31":31361.0}},{"concept":"other_noncurrent_assets","label":"Other assets","values":{"2021-08-31":6520.0,"2022-08-31":3690.0,"2023-08-31":8846.0,"2024-08-31":5888.0,"2025-08-31":3803.0}},{"concept":"property_plant_equipment","label":"Property, plant and equipment","values":{"2021-08-31":168177.0,"2022-08-31":195226.0,"2023-08-31":221877.0,"2024-08-31":245742.0,"2025-08-31":332351.0}},{"concept":"right_of_use_assets","label":"Right-of-use assets","values":{"2021-08-31":390537.0,"2022-08-31":395634.0,"2023-08-31":389183.0,"2024-08-31":416712.0,"2025-08-31":477111.0}},{"concept":"total_noncurrent_assets","label":"Total non-current assets","values":{"2021-08-31":785302.0,"2022-08-31":1004911.0,"2023-08-31":1126998.0,"2024-08-31":1224294.0,"2025-08-31":1331538.0}},{"concept":"deferred_tax_liabilities","label":"Deferred tax liabilities","values":{"2021-08-31":9860.0,"2022-08-31":44258.0,"2023-08-31":67039.0,"2024-08-31":31896.0,"2025-08-31":22539.0}},{"concept":"derivative_financial_liabilities_noncurrent","label":"Derivative financial liabilities","values":{"2021-08-31":1042.0,"2022-08-31":44.0,"2023-08-31":1410.0,"2024-08-31":21385.0,"2025-08-31":12110.0}},{"concept":"financial_liabilities_noncurrent","label":"Financial liabilities","values":{"2021-08-31":370799.0,"2022-08-31":241022.0,"2023-08-31":241068.0,"2024-08-31":211147.0,"2025-08-31":141071.0}},{"concept":"lease_liability_noncurrent","label":"Lease liabilities","values":{"2021-08-31":343574.0,"2022-08-31":356840.0,"2023-08-31":338657.0,"2024-08-31":347318.0,"2025-08-31":386670.0}},{"concept":"other_noncurrent_liabilities","label":"Other liabilities","values":{"2021-08-31":2342.0,"2022-08-31":2171.0,"2023-08-31":2007.0,"2024-08-31":2521.0,"2025-08-31":2457.0}},{"concept":"provisions_noncurrent","label":"Provisions","values":{"2021-08-31":39046.0,"2022-08-31":47780.0,"2023-08-31":50888.0,"2024-08-31":52652.0,"2025-08-31":55711.0}},{"concept":"total_noncurrent_liabilities","label":"Total non-current liabilities","values":{"2021-08-31":766665.0,"2022-08-31":692117.0,"2023-08-31":701072.0,"2024-08-31":666920.0,"2025-08-31":620561.0}}],"cash_flow":[{"concept":"change_in_inventories","label":"(Increase)/decrease in inventories","values":{"2021-08-31":36749.0,"2022-08-31":-50896.0,"2023-08-31":46908.0,"2024-08-31":-23540.0,"2025-08-31":-29855.0}},{"concept":"change_in_other_assets","label":"(Increase)/decrease in other assets","values":{"2021-08-31":3494.0,"2022-08-31":-7125.0,"2023-08-31":8354.0,"2024-08-31":-876.0,"2025-08-31":-2479.0}},{"concept":"change_in_trade_and_other_receivables","label":"(Increase)/decrease in trade and other receivables","values":{"2021-08-31":15334.0,"2022-08-31":-2651.0,"2023-08-31":-7535.0,"2024-08-31":-17394.0,"2025-08-31":-12718.0}},{"concept":"bank_deposits_placed","label":"Amounts deposited into bank deposits with original maturities of three months or longer","values":{"2021-08-31":-102307.0,"2022-08-31":-143517.0,"2023-08-31":-387720.0,"2024-08-31":-441156.0,"2025-08-31":-1008113.0}},{"concept":"bank_deposits_withdrawn","label":"Amounts withdrawn from bank deposits with original maturities of three months or longer","values":{"2021-08-31":99943.0,"2022-08-31":126774.0,"2023-08-31":182882.0,"2024-08-31":460241.0,"2025-08-31":798490.0}},{"concept":"cash_beginning","label":"Cash and cash equivalents at the beginning of year","values":{"2021-08-31":1093531.0,"2022-08-31":1177736.0,"2023-08-31":1358292.0,"2024-08-31":903280.0,"2025-08-31":1193560.0}},{"concept":"cash_ending","label":"Cash and cash equivalents at the end of year","values":{"2021-08-31":1177736.0,"2022-08-31":1358292.0,"2023-08-31":903280.0,"2024-08-31":1193560.0,"2025-08-31":893239.0}},{"concept":"cash_generated_from_operations","label":"Cash generated from operations","values":{"2021-08-31":509672.0,"2022-08-31":518010.0,"2023-08-31":610338.0,"2024-08-31":739726.0,"2025-08-31":728879.0}},{"concept":"depreciation_amortization","label":"Depreciation and amortization","values":{"2021-08-31":177910.0,"2022-08-31":180275.0,"2023-08-31":186872.0,"2024-08-31":204388.0,"2025-08-31":216492.0}},{"concept":"dividends_paid_to_nci","label":"Dividends paid to non-controlling interests","values":{"2021-08-31":-2342.0,"2022-08-31":-11623.0,"2023-08-31":-20460.0,"2024-08-31":-18369.0,"2025-08-31":-26428.0}},{"concept":"dividends_paid_to_owners","label":"Dividends paid to owners of the Parent","values":{"2021-08-31":-48993.0,"2022-08-31":-53091.0,"2023-08-31":-73064.0,"2024-08-31":-104263.0,"2025-08-31":-142630.0}},{"concept":"effect_of_exchange_rate_on_cash","label":"Effect of exchange rate changes on the balance of cash held in foreign currencies","values":{"2021-08-31":40818.0,"2022-08-31":175015.0,"2023-08-31":20735.0,"2024-08-31":-10007.0,"2025-08-31":37122.0}},{"concept":"foreign_exchange_losses_gains","label":"Foreign exchange losses/(gains)","values":{"2021-08-31":-19222.0,"2022-08-31":-114324.0,"2023-08-31":-25385.0,"2024-08-31":-621.0,"2025-08-31":-33826.0}},{"concept":"impairment_losses","label":"Impairment losses/(Reversal of impairment losses)","values":{"2021-08-31":16908.0,"2022-08-31":23150.0,"2023-08-31":3958.0,"2024-08-31":-1700.0,"2025-08-31":598.0}},{"concept":"income_taxes_paid","label":"Income taxes paid","values":{"2021-08-31":-80555.0,"2022-08-31":-95867.0,"2023-08-31":-160368.0,"2024-08-31":-156361.0,"2025-08-31":-202242.0}},{"concept":"income_taxes_refunded","label":"Income taxes refunded","values":{"2021-08-31":1818.0,"2022-08-31":7711.0,"2023-08-31":493.0,"2024-08-31":22800.0,"2025-08-31":2225.0}},{"concept":"change_in_other_liabilities","label":"Increase/(decrease) in other liabilities","values":{"2021-08-31":9300.0,"2022-08-31":-9531.0,"2023-08-31":-3700.0,"2024-08-31":31520.0,"2025-08-31":3852.0}},{"concept":"change_in_trade_and_other_payables","label":"Increase/(decrease) in trade and other payables","values":{"2021-08-31":384.0,"2022-08-31":114600.0,"2023-08-31":-15909.0,"2024-08-31":47320.0,"2025-08-31":476.0}},{"concept":"interest_dividends_received","label":"Interest and dividends income received","values":{"2021-08-31":4134.0,"2022-08-31":8520.0,"2023-08-31":22613.0,"2024-08-31":56454.0,"2025-08-31":64625.0}},{"concept":"interest_and_dividends_income","label":"Interest and dividends income","values":{"2021-08-31":-4628.0,"2022-08-31":-9495.0,"2023-08-31":-41330.0,"2024-08-31":-66751.0,"2025-08-31":-65317.0}},{"concept":"interest_expenses_cf","label":"Interest expenses","values":{"2021-08-31":6990.0,"2022-08-31":7560.0,"2023-08-31":9791.0,"2024-08-31":11078.0,"2025-08-31":12834.0}},{"concept":"interest_paid","label":"Interest paid","values":{"2021-08-31":-6101.0,"2022-08-31":-7557.0,"2023-08-31":-9861.0,"2024-08-31":-11099.0,"2025-08-31":-12869.0}},{"concept":"losses_on_disposal_ppe","label":"Losses on disposal of property, plant and equipment","values":{"2021-08-31":985.0,"2022-08-31":1136.0,"2023-08-31":917.0,"2024-08-31":1397.0,"2025-08-31":1342.0}},{"concept":"operating_cash_flow","label":"Net cash generated by operating activities","values":{"2021-08-31":428968.0,"2022-08-31":430817.0,"2023-08-31":463216.0,"2024-08-31":651521.0,"2025-08-31":580618.0}},{"concept":"financing_cash_flow","label":"Net cash used in financing activities","values":{"2021-08-31":-302985.0,"2022-08-31":-213050.0,"2023-08-31":-364562.0,"2024-08-31":-269003.0,"2025-08-31":-339139.0}},{"concept":"investing_cash_flow","label":"Net cash used in investing activities","values":{"2021-08-31":-82597.0,"2022-08-31":-212226.0,"2023-08-31":-574402.0,"2024-08-31":-82231.0,"2025-08-31":-578922.0}},{"concept":"net_change_in_cash","label":"Net increase/(decrease) in cash and cash equivalents","values":{"2021-08-31":84204.0,"2022-08-31":180556.0,"2023-08-31":-455011.0,"2024-08-31":290279.0,"2025-08-31":-300320.0}},{"concept":"others_net_financing","label":"Others, net","values":{"2021-08-31":155.0,"2022-08-31":705.0,"2023-08-31":413.0,"2024-08-31":63.0,"2025-08-31":430.0}},{"concept":"others_net_investing","label":"Others, net","values":{"2021-08-31":407.0,"2022-08-31":3301.0,"2023-08-31":-1381.0,"2024-08-31":171.0,"2025-08-31":7399.0}},{"concept":"others_net_operating","label":"Others, net","values":{"2021-08-31":153.0,"2022-08-31":-27211.0,"2023-08-31":10617.0,"2024-08-31":-878.0,"2025-08-31":-11391.0}},{"concept":"payments_for_rou_assets","label":"Payments for acquisition of right-of-use assets","values":{"2021-08-31":-846.0,"2022-08-31":-796.0,"2023-08-31":-1851.0,"2024-08-31":-2015.0,"2025-08-31":-15924.0}},{"concept":"payments_for_intangible_assets","label":"Payments for intangible assets","values":{"2021-08-31":-19624.0,"2022-08-31":-28335.0,"2023-08-31":-33542.0,"2024-08-31":-30260.0,"2025-08-31":-27329.0}},{"concept":"payments_for_investment_securities","label":"Payments for investment securities","values":{"2021-08-31":0.0,"2022-08-31":-117521.0,"2023-08-31":-481399.0,"2024-08-31":-399523.0,"2025-08-31":-474222.0}},{"concept":"payments_for_lease_guarantee_deposits","label":"Payments for lease and guarantee deposits","values":{"2021-08-31":-3979.0,"2022-08-31":-5973.0,"2023-08-31":-4865.0,"2024-08-31":-6108.0,"2025-08-31":-6113.0}},{"concept":"payments_for_ppe","label":"Payments for property, plant and equipment","values":{"2021-08-31":-56500.0,"2022-08-31":-51271.0,"2023-08-31":-61764.0,"2024-08-31":-73728.0,"2025-08-31":-135535.0}},{"concept":"proceeds_from_lease_guarantee_deposits","label":"Proceeds from collection of lease and guarantee deposits","values":{"2021-08-31":4542.0,"2022-08-31":5112.0,"2023-08-31":5578.0,"2024-08-31":6302.0,"2025-08-31":6364.0}},{"concept":"proceeds_from_short_term_loans","label":"Proceeds from short-term loans payable","values":{"2021-08-31":64247.0,"2022-08-31":14059.0,"2023-08-31":6511.0,"2024-08-31":4835.0,"2025-08-31":566.0}},{"concept":"pretax_income","label":"Profit before income taxes","values":{"2021-08-31":265872.0,"2022-08-31":413584.0,"2023-08-31":437918.0,"2024-08-31":557201.0,"2025-08-31":650574.0}},{"concept":"repayment_of_bonds","label":"Repayment of redemption of corporate bonds","values":{"2021-08-31":-100000.0,"2022-08-31":0.0,"2023-08-31":-130000.0,"2024-08-31":0.0,"2025-08-31":-30000.0}},{"concept":"repayment_of_short_term_loans","label":"Repayment of short-term loans payable","values":{"2021-08-31":-67804.0,"2022-08-31":-26210.0,"2023-08-31":-7314.0,"2024-08-31":-4887.0,"2025-08-31":-226.0}},{"concept":"repayments_of_lease_liabilities","label":"Repayments of lease liabilities","values":{"2021-08-31":-148248.0,"2022-08-31":-136889.0,"2023-08-31":-140646.0,"2024-08-31":-146403.0,"2025-08-31":-140483.0}},{"concept":"share_of_associates_cf","label":"Share of (profit)/loss of associates accounted for using the equity method","values":{"2021-08-31":-561.0,"2022-08-31":-1059.0,"2023-08-31":-1139.0,"2024-08-31":-1417.0,"2025-08-31":-1704.0}}],"company_name":"FAST RETAILING CO., LTD.","currency":"JPY","historical_lease":{"lease_interest_expense":{"2021-08-31":4847.0,"2022-08-31":4757.0,"2023-08-31":5187.0,"2024-08-31":6507.0,"2025-08-31":8464.0}},"historical_shares":{"adjustment_factors":{"2021-08-31":3.0,"2022-08-31":1.0,"2023-08-31":1.0,"2024-08-31":1.0,"2025-08-31":1.0},"basis":"split_adjusted","diluted_weighted_average":{"2021-08-31":306.871785,"2022-08-31":306.969624,"2023-08-31":307.13887,"2024-08-31":307.231804,"2025-08-31":307.247804},"scale_basis":"financial_statement_units"},"income_statement":[{"concept":"basic_eps","label":"Basic (yen, dollar)","values":{"2021-08-31":1663.12,"2022-08-31":891.77,"2023-08-31":966.09,"2024-08-31":1212.88,"2025-08-31":1411.44}},{"concept":"cost_of_sales","label":"Cost of sales","values":{"2021-08-31":-1059036.0,"2022-08-31":-1094263.0,"2023-08-31":-1330196.0,"2024-08-31":-1430764.0,"2025-08-31":-1571681.0}},{"concept":"diluted_eps","label":"Diluted (yen, dollar)","values":{"2021-08-31":1660.44,"2022-08-31":890.43,"2023-08-31":964.48,"2024-08-31":1210.81,"2025-08-31":1409.32}},{"concept":"interest_expense","label":"Finance costs","values":{"2021-08-31":-6998.0,"2022-08-31":-7560.0,"2023-08-31":-9888.0,"2024-08-31":-11101.0,"2025-08-31":-12834.0}},{"concept":"interest_income","label":"Finance income","values":{"2021-08-31":23859.0,"2022-08-31":123820.0,"2023-08-31":66716.0,"2024-08-31":67399.0,"2025-08-31":99143.0}},{"concept":"gross_profit","label":"Gross profit","values":{"2021-08-31":1073955.0,"2022-08-31":1206859.0,"2023-08-31":1436360.0,"2024-08-31":1673071.0,"2025-08-31":1828858.0}},{"concept":"tax_expense","label":"Income tax expense","values":{"2021-08-31":-90188.0,"2022-08-31":-128834.0,"2023-08-31":-122746.0,"2024-08-31":-163596.0,"2025-08-31":-191421.0}},{"concept":"profit_attributable_to_nci","label":"Non-controlling interests","values":{"2021-08-31":5836.0,"2022-08-31":11415.0,"2023-08-31":18941.0,"2024-08-31":21605.0,"2025-08-31":26143.0}},{"concept":"operating_profit","label":"Operating profit","values":{"2021-08-31":249011.0,"2022-08-31":297325.0,"2023-08-31":381090.0,"2024-08-31":500904.0,"2025-08-31":564265.0}},{"concept":"other_expenses","label":"Other expenses","values":{"2021-08-31":-25315.0,"2022-08-31":-27391.0,"2023-08-31":-14238.0,"2024-08-31":-6256.0,"2025-08-31":-8087.0}},{"concept":"other_income","label":"Other income","values":{"2021-08-31":18238.0,"2022-08-31":16951.0,"2023-08-31":12197.0,"2024-08-31":20384.0,"2025-08-31":19491.0}},{"concept":"profit_attributable_to_owners","label":"Owners of the Parent","values":{"2021-08-31":169847.0,"2022-08-31":273335.0,"2023-08-31":296229.0,"2024-08-31":371999.0,"2025-08-31":433009.0}},{"concept":"pretax_income","label":"Profit before income taxes","values":{"2021-08-31":265872.0,"2022-08-31":413584.0,"2023-08-31":437918.0,"2024-08-31":557201.0,"2025-08-31":650574.0}},{"concept":"net_income","label":"Profit for the year","values":{"2021-08-31":175684.0,"2022-08-31":284750.0,"2023-08-31":315171.0,"2024-08-31":393605.0,"2025-08-31":459153.0}},{"concept":"revenue","label":"Revenue","values":{"2021-08-31":2132992.0,"2022-08-31":2301122.0,"2023-08-31":2766557.0,"2024-08-31":3103836.0,"2025-08-31":3400539.0}},{"concept":"selling_general_administrative","label":"Selling, general and administrative expenses","values":{"2021-08-31":-818427.0,"2022-08-31":-900154.0,"2023-08-31":-1054368.0,"2024-08-31":-1187713.0,"2025-08-31":-1277701.0}},{"concept":"share_of_profit_of_associates","label":"Share of profit of associates accounted for using the equity method","values":{"2021-08-31":561.0,"2022-08-31":1059.0,"2023-08-31":1139.0,"2024-08-31":1417.0,"2025-08-31":1704.0}}],"jurisdiction":"JP","periods":[{"end_date":"2021-08-31","is_interim":false,"label":"FY2021"},{"end_date":"2022-08-31","is_interim":false,"label":"FY2022"},{"end_date":"2023-08-31","is_interim":false,"label":"FY2023"},{"end_date":"2024-08-31","is_interim":false,"label":"FY2024"},{"end_date":"2025-08-31","is_interim":false,"label":"FY2025"}],"stock_code":"6288.HK","ticker":"6288.HK","units":"JPY in Millions"}}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2026-09-14T19:55:43Z</dcterms:created>
  <dcterms:modified xsi:type="dcterms:W3CDTF">2026-09-14T19:55:43Z</dcterms:modified>
</cp:coreProperties>
</file>