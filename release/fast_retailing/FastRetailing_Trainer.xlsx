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er" sheetId="1" state="visible" r:id="rId1"/>
    <sheet name="Income Statement" sheetId="2" state="visible" r:id="rId2"/>
    <sheet name="Balance Sheet" sheetId="3" state="visible" r:id="rId3"/>
    <sheet name="Cash Flow Statement" sheetId="4" state="visible" r:id="rId4"/>
    <sheet name="Condensed Financials" sheetId="5" state="visible" r:id="rId5"/>
    <sheet name="ALT DuPont" sheetId="6" state="visible" r:id="rId6"/>
    <sheet name="Accounting Judgment" sheetId="7" state="visible" r:id="rId7"/>
    <sheet name="Ownership Attribution" sheetId="8" state="visible" r:id="rId8"/>
    <sheet name="Earnings Quality" sheetId="9" state="visible" r:id="rId9"/>
    <sheet name="Working Capital Analysis" sheetId="10" state="visible" r:id="rId10"/>
    <sheet name="Per Share Analysis" sheetId="11" state="visible" r:id="rId11"/>
    <sheet name="Model_Bear" sheetId="12" state="hidden" r:id="rId12"/>
    <sheet name="Model_Base" sheetId="13" state="hidden" r:id="rId13"/>
    <sheet name="Model_Bull" sheetId="14" state="hidden" r:id="rId14"/>
    <sheet name="Scenario_Summary" sheetId="15" state="hidden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 dd, yyyy"/>
    <numFmt numFmtId="165" formatCode="#,##0;(#,##0)"/>
    <numFmt numFmtId="166" formatCode="0.0%"/>
    <numFmt numFmtId="167" formatCode="0.00x"/>
    <numFmt numFmtId="168" formatCode="#,##0.0;(#,##0.0)"/>
    <numFmt numFmtId="169" formatCode="0.000"/>
  </numFmts>
  <fonts count="4">
    <font>
      <name val="Calibri"/>
      <family val="2"/>
      <color theme="1"/>
      <sz val="11"/>
      <scheme val="minor"/>
    </font>
    <font>
      <b val="1"/>
    </font>
    <font/>
    <font>
      <name val="Aptos Narrow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5" fontId="0" fillId="2" borderId="0" pivotButton="0" quotePrefix="0" xfId="0"/>
    <xf numFmtId="167" fontId="0" fillId="0" borderId="0" pivotButton="0" quotePrefix="0" xfId="0"/>
    <xf numFmtId="0" fontId="0" fillId="3" borderId="0" applyAlignment="1" pivotButton="0" quotePrefix="0" xfId="0">
      <alignment vertical="top" wrapText="1"/>
    </xf>
    <xf numFmtId="168" fontId="0" fillId="0" borderId="0" pivotButton="0" quotePrefix="0" xfId="0"/>
    <xf numFmtId="169" fontId="0" fillId="0" borderId="0" pivotButton="0" quotePrefix="0" xfId="0"/>
    <xf numFmtId="0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3" fillId="3" borderId="1" pivotButton="0" quotePrefix="0" xfId="0"/>
    <xf numFmtId="166" fontId="3" fillId="3" borderId="1" pivotButton="0" quotePrefix="0" xfId="0"/>
    <xf numFmtId="165" fontId="3" fillId="3" borderId="1" pivotButton="0" quotePrefix="0" xfId="0"/>
    <xf numFmtId="167" fontId="3" fillId="3" borderId="1" pivotButton="0" quotePrefix="0" xfId="0"/>
    <xf numFmtId="0" fontId="3" fillId="3" borderId="1" applyAlignment="1" pivotButton="0" quotePrefix="0" xfId="0">
      <alignment vertical="top" wrapText="1"/>
    </xf>
    <xf numFmtId="168" fontId="3" fillId="4" borderId="1" pivotButton="0" quotePrefix="0" xfId="0"/>
    <xf numFmtId="169" fontId="3" fillId="3" borderId="1" pivotButton="0" quotePrefix="0" xfId="0"/>
    <xf numFmtId="168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22" customWidth="1" min="4" max="4"/>
    <col width="28" customWidth="1" min="5" max="5"/>
    <col width="28" customWidth="1" min="6" max="6"/>
  </cols>
  <sheetData>
    <row r="1">
      <c r="A1" s="11" t="inlineStr">
        <is>
          <t>BAV Excel Trainer</t>
        </is>
      </c>
    </row>
    <row r="2">
      <c r="A2" s="11" t="inlineStr">
        <is>
          <t>Complete each historical model-construction and earnings-quality diagnostic formula schedule left-to-right in dependency order. Run Check to validate the yellow formula cells against the treatment currently selected in Accounting Judgment column F (blank F uses the supplied reference treatment). Generated Condensed Financials classification links are system-controlled and validated by Check—do not edit them or columns D:E. When Normalization Judgment is present, choose Recurring vs Non-recurring in column F (blank uses the supplied reference); Earnings Normalization formulas are checked against that choice. Also complete Accounting Judgment and Normalization Judgment rationale/consequence when cases are present; those responses are not graded by Check. Compare them with the matching Answer Key.</t>
        </is>
      </c>
    </row>
    <row r="4">
      <c r="A4" s="11" t="inlineStr">
        <is>
          <t>Order</t>
        </is>
      </c>
      <c r="B4" s="11" t="inlineStr">
        <is>
          <t>Schedule</t>
        </is>
      </c>
      <c r="C4" s="11" t="inlineStr">
        <is>
          <t>Period scope</t>
        </is>
      </c>
      <c r="D4" s="11" t="inlineStr">
        <is>
          <t>Tab</t>
        </is>
      </c>
      <c r="E4" s="11" t="inlineStr">
        <is>
          <t>Practice cells</t>
        </is>
      </c>
      <c r="F4" s="11" t="inlineStr">
        <is>
          <t>Depends on</t>
        </is>
      </c>
    </row>
    <row r="5">
      <c r="A5" s="11" t="n">
        <v>1</v>
      </c>
      <c r="B5" s="11" t="inlineStr">
        <is>
          <t>Revenue historical source link</t>
        </is>
      </c>
      <c r="C5" s="11" t="inlineStr">
        <is>
          <t>2021–2025 (5 cells)</t>
        </is>
      </c>
      <c r="D5" s="11" t="inlineStr">
        <is>
          <t>Condensed Financials</t>
        </is>
      </c>
      <c r="E5" s="11" t="inlineStr">
        <is>
          <t>B44:F44</t>
        </is>
      </c>
      <c r="F5" s="11" t="inlineStr">
        <is>
          <t>—</t>
        </is>
      </c>
    </row>
    <row r="6">
      <c r="A6" s="11" t="n">
        <v>2</v>
      </c>
      <c r="B6" s="11" t="inlineStr">
        <is>
          <t>Net Income historical source link</t>
        </is>
      </c>
      <c r="C6" s="11" t="inlineStr">
        <is>
          <t>2021–2025 (5 cells)</t>
        </is>
      </c>
      <c r="D6" s="11" t="inlineStr">
        <is>
          <t>Condensed Financials</t>
        </is>
      </c>
      <c r="E6" s="11" t="inlineStr">
        <is>
          <t>B45:F45</t>
        </is>
      </c>
      <c r="F6" s="11" t="inlineStr">
        <is>
          <t>—</t>
        </is>
      </c>
    </row>
    <row r="7">
      <c r="A7" s="11" t="n">
        <v>3</v>
      </c>
      <c r="B7" s="11" t="inlineStr">
        <is>
          <t>Effective tax rate</t>
        </is>
      </c>
      <c r="C7" s="11" t="inlineStr">
        <is>
          <t>2021–2025 (5 cells)</t>
        </is>
      </c>
      <c r="D7" s="11" t="inlineStr">
        <is>
          <t>Condensed Financials</t>
        </is>
      </c>
      <c r="E7" s="11" t="inlineStr">
        <is>
          <t>B51:F51</t>
        </is>
      </c>
      <c r="F7" s="11" t="inlineStr">
        <is>
          <t>—</t>
        </is>
      </c>
    </row>
    <row r="8">
      <c r="A8" s="11" t="n">
        <v>4</v>
      </c>
      <c r="B8" s="11" t="inlineStr">
        <is>
          <t>Net interest</t>
        </is>
      </c>
      <c r="C8" s="11" t="inlineStr">
        <is>
          <t>2021–2025 (5 cells)</t>
        </is>
      </c>
      <c r="D8" s="11" t="inlineStr">
        <is>
          <t>Condensed Financials</t>
        </is>
      </c>
      <c r="E8" s="11" t="inlineStr">
        <is>
          <t>B52:F52</t>
        </is>
      </c>
      <c r="F8" s="11" t="inlineStr">
        <is>
          <t>—</t>
        </is>
      </c>
    </row>
    <row r="9">
      <c r="A9" s="11" t="n">
        <v>5</v>
      </c>
      <c r="B9" s="11" t="inlineStr">
        <is>
          <t>Net interest after tax</t>
        </is>
      </c>
      <c r="C9" s="11" t="inlineStr">
        <is>
          <t>2021–2025 (5 cells)</t>
        </is>
      </c>
      <c r="D9" s="11" t="inlineStr">
        <is>
          <t>Condensed Financials</t>
        </is>
      </c>
      <c r="E9" s="11" t="inlineStr">
        <is>
          <t>B53:F53</t>
        </is>
      </c>
      <c r="F9" s="11" t="inlineStr">
        <is>
          <t>effective_tax_rate_fy, net_interest_fy</t>
        </is>
      </c>
    </row>
    <row r="10">
      <c r="A10" s="11" t="n">
        <v>6</v>
      </c>
      <c r="B10" s="11" t="inlineStr">
        <is>
          <t>NOPAT</t>
        </is>
      </c>
      <c r="C10" s="11" t="inlineStr">
        <is>
          <t>2021–2025 (5 cells)</t>
        </is>
      </c>
      <c r="D10" s="11" t="inlineStr">
        <is>
          <t>Condensed Financials</t>
        </is>
      </c>
      <c r="E10" s="11" t="inlineStr">
        <is>
          <t>B54:F54</t>
        </is>
      </c>
      <c r="F10" s="11" t="inlineStr">
        <is>
          <t>net_income_link, net_interest_after_tax_fy</t>
        </is>
      </c>
    </row>
    <row r="11">
      <c r="A11" s="11" t="n">
        <v>7</v>
      </c>
      <c r="B11" s="11" t="inlineStr">
        <is>
          <t>Operating working capital assets</t>
        </is>
      </c>
      <c r="C11" s="11" t="inlineStr">
        <is>
          <t>2021–2025 (5 cells)</t>
        </is>
      </c>
      <c r="D11" s="11" t="inlineStr">
        <is>
          <t>Condensed Financials</t>
        </is>
      </c>
      <c r="E11" s="11" t="inlineStr">
        <is>
          <t>B57:F57</t>
        </is>
      </c>
      <c r="F11" s="11" t="inlineStr">
        <is>
          <t>—</t>
        </is>
      </c>
    </row>
    <row r="12">
      <c r="A12" s="11" t="n">
        <v>8</v>
      </c>
      <c r="B12" s="11" t="inlineStr">
        <is>
          <t>Operating working capital liabilities</t>
        </is>
      </c>
      <c r="C12" s="11" t="inlineStr">
        <is>
          <t>2021–2025 (5 cells)</t>
        </is>
      </c>
      <c r="D12" s="11" t="inlineStr">
        <is>
          <t>Condensed Financials</t>
        </is>
      </c>
      <c r="E12" s="11" t="inlineStr">
        <is>
          <t>B58:F58</t>
        </is>
      </c>
      <c r="F12" s="11" t="inlineStr">
        <is>
          <t>—</t>
        </is>
      </c>
    </row>
    <row r="13">
      <c r="A13" s="11" t="n">
        <v>9</v>
      </c>
      <c r="B13" s="11" t="inlineStr">
        <is>
          <t>Net Operating Working Capital (NOWC)</t>
        </is>
      </c>
      <c r="C13" s="11" t="inlineStr">
        <is>
          <t>2021–2025 (5 cells)</t>
        </is>
      </c>
      <c r="D13" s="11" t="inlineStr">
        <is>
          <t>Condensed Financials</t>
        </is>
      </c>
      <c r="E13" s="11" t="inlineStr">
        <is>
          <t>B59:F59</t>
        </is>
      </c>
      <c r="F13" s="11" t="inlineStr">
        <is>
          <t>owca_agg, owcl_agg</t>
        </is>
      </c>
    </row>
    <row r="14">
      <c r="A14" s="11" t="n">
        <v>10</v>
      </c>
      <c r="B14" s="11" t="inlineStr">
        <is>
          <t>Operating long-term assets</t>
        </is>
      </c>
      <c r="C14" s="11" t="inlineStr">
        <is>
          <t>2021–2025 (5 cells)</t>
        </is>
      </c>
      <c r="D14" s="11" t="inlineStr">
        <is>
          <t>Condensed Financials</t>
        </is>
      </c>
      <c r="E14" s="11" t="inlineStr">
        <is>
          <t>B60:F60</t>
        </is>
      </c>
      <c r="F14" s="11" t="inlineStr">
        <is>
          <t>—</t>
        </is>
      </c>
    </row>
    <row r="15">
      <c r="A15" s="11" t="n">
        <v>11</v>
      </c>
      <c r="B15" s="11" t="inlineStr">
        <is>
          <t>Operating long-term liabilities</t>
        </is>
      </c>
      <c r="C15" s="11" t="inlineStr">
        <is>
          <t>2021–2025 (5 cells)</t>
        </is>
      </c>
      <c r="D15" s="11" t="inlineStr">
        <is>
          <t>Condensed Financials</t>
        </is>
      </c>
      <c r="E15" s="11" t="inlineStr">
        <is>
          <t>B61:F61</t>
        </is>
      </c>
      <c r="F15" s="11" t="inlineStr">
        <is>
          <t>—</t>
        </is>
      </c>
    </row>
    <row r="16">
      <c r="A16" s="11" t="n">
        <v>12</v>
      </c>
      <c r="B16" s="11" t="inlineStr">
        <is>
          <t>Net operating long-term assets (NOLA)</t>
        </is>
      </c>
      <c r="C16" s="11" t="inlineStr">
        <is>
          <t>2021–2025 (5 cells)</t>
        </is>
      </c>
      <c r="D16" s="11" t="inlineStr">
        <is>
          <t>Condensed Financials</t>
        </is>
      </c>
      <c r="E16" s="11" t="inlineStr">
        <is>
          <t>B62:F62</t>
        </is>
      </c>
      <c r="F16" s="11" t="inlineStr">
        <is>
          <t>olta_agg, oltl_agg</t>
        </is>
      </c>
    </row>
    <row r="17">
      <c r="A17" s="11" t="n">
        <v>13</v>
      </c>
      <c r="B17" s="11" t="inlineStr">
        <is>
          <t>Net Operating Assets (NOA)</t>
        </is>
      </c>
      <c r="C17" s="11" t="inlineStr">
        <is>
          <t>2021–2025 (5 cells)</t>
        </is>
      </c>
      <c r="D17" s="11" t="inlineStr">
        <is>
          <t>Condensed Financials</t>
        </is>
      </c>
      <c r="E17" s="11" t="inlineStr">
        <is>
          <t>B63:F63</t>
        </is>
      </c>
      <c r="F17" s="11" t="inlineStr">
        <is>
          <t>nowc_agg, nola_agg</t>
        </is>
      </c>
    </row>
    <row r="18">
      <c r="A18" s="11" t="n">
        <v>14</v>
      </c>
      <c r="B18" s="11" t="inlineStr">
        <is>
          <t>Financial assets</t>
        </is>
      </c>
      <c r="C18" s="11" t="inlineStr">
        <is>
          <t>2021–2025 (5 cells)</t>
        </is>
      </c>
      <c r="D18" s="11" t="inlineStr">
        <is>
          <t>Condensed Financials</t>
        </is>
      </c>
      <c r="E18" s="11" t="inlineStr">
        <is>
          <t>B64:F64</t>
        </is>
      </c>
      <c r="F18" s="11" t="inlineStr">
        <is>
          <t>—</t>
        </is>
      </c>
    </row>
    <row r="19">
      <c r="A19" s="11" t="n">
        <v>15</v>
      </c>
      <c r="B19" s="11" t="inlineStr">
        <is>
          <t>Financial liabilities</t>
        </is>
      </c>
      <c r="C19" s="11" t="inlineStr">
        <is>
          <t>2021–2025 (5 cells)</t>
        </is>
      </c>
      <c r="D19" s="11" t="inlineStr">
        <is>
          <t>Condensed Financials</t>
        </is>
      </c>
      <c r="E19" s="11" t="inlineStr">
        <is>
          <t>B65:F65</t>
        </is>
      </c>
      <c r="F19" s="11" t="inlineStr">
        <is>
          <t>—</t>
        </is>
      </c>
    </row>
    <row r="20">
      <c r="A20" s="11" t="n">
        <v>16</v>
      </c>
      <c r="B20" s="11" t="inlineStr">
        <is>
          <t>Net Debt</t>
        </is>
      </c>
      <c r="C20" s="11" t="inlineStr">
        <is>
          <t>2021–2025 (5 cells)</t>
        </is>
      </c>
      <c r="D20" s="11" t="inlineStr">
        <is>
          <t>Condensed Financials</t>
        </is>
      </c>
      <c r="E20" s="11" t="inlineStr">
        <is>
          <t>B66:F66</t>
        </is>
      </c>
      <c r="F20" s="11" t="inlineStr">
        <is>
          <t>financial_assets_agg, financial_liabilities_agg</t>
        </is>
      </c>
    </row>
    <row r="21">
      <c r="A21" s="11" t="n">
        <v>17</v>
      </c>
      <c r="B21" s="11" t="inlineStr">
        <is>
          <t>Reformulated equity</t>
        </is>
      </c>
      <c r="C21" s="11" t="inlineStr">
        <is>
          <t>2021–2025 (5 cells)</t>
        </is>
      </c>
      <c r="D21" s="11" t="inlineStr">
        <is>
          <t>Condensed Financials</t>
        </is>
      </c>
      <c r="E21" s="11" t="inlineStr">
        <is>
          <t>B67:F67</t>
        </is>
      </c>
      <c r="F21" s="11" t="inlineStr">
        <is>
          <t>noa_agg, net_debt</t>
        </is>
      </c>
    </row>
    <row r="22">
      <c r="A22" s="11" t="n">
        <v>18</v>
      </c>
      <c r="B22" s="11" t="inlineStr">
        <is>
          <t>Sales Growth</t>
        </is>
      </c>
      <c r="C22" s="11" t="inlineStr">
        <is>
          <t>2022–2025 (4 cells)</t>
        </is>
      </c>
      <c r="D22" s="11" t="inlineStr">
        <is>
          <t>ALT DuPont</t>
        </is>
      </c>
      <c r="E22" s="11" t="inlineStr">
        <is>
          <t>C5:F5</t>
        </is>
      </c>
      <c r="F22" s="11" t="inlineStr">
        <is>
          <t>revenue_link</t>
        </is>
      </c>
    </row>
    <row r="23">
      <c r="A23" s="11" t="n">
        <v>19</v>
      </c>
      <c r="B23" s="11" t="inlineStr">
        <is>
          <t>NOPAT Margin</t>
        </is>
      </c>
      <c r="C23" s="11" t="inlineStr">
        <is>
          <t>2021–2025 (5 cells)</t>
        </is>
      </c>
      <c r="D23" s="11" t="inlineStr">
        <is>
          <t>ALT DuPont</t>
        </is>
      </c>
      <c r="E23" s="11" t="inlineStr">
        <is>
          <t>B6:F6</t>
        </is>
      </c>
      <c r="F23" s="11" t="inlineStr">
        <is>
          <t>nopat_fy, revenue_link</t>
        </is>
      </c>
    </row>
    <row r="24">
      <c r="A24" s="11" t="n">
        <v>20</v>
      </c>
      <c r="B24" s="11" t="inlineStr">
        <is>
          <t>Return on Net Operating Assets (RNOA)</t>
        </is>
      </c>
      <c r="C24" s="11" t="inlineStr">
        <is>
          <t>2022–2025 (4 cells)</t>
        </is>
      </c>
      <c r="D24" s="11" t="inlineStr">
        <is>
          <t>ALT DuPont</t>
        </is>
      </c>
      <c r="E24" s="11" t="inlineStr">
        <is>
          <t>C7:F7</t>
        </is>
      </c>
      <c r="F24" s="11" t="inlineStr">
        <is>
          <t>nopat_fy, noa_agg</t>
        </is>
      </c>
    </row>
    <row r="25">
      <c r="A25" s="11" t="n">
        <v>21</v>
      </c>
      <c r="B25" s="11" t="inlineStr">
        <is>
          <t>After-tax cost of debt</t>
        </is>
      </c>
      <c r="C25" s="11" t="inlineStr">
        <is>
          <t>2022–2025 (4 cells)</t>
        </is>
      </c>
      <c r="D25" s="11" t="inlineStr">
        <is>
          <t>ALT DuPont</t>
        </is>
      </c>
      <c r="E25" s="11" t="inlineStr">
        <is>
          <t>C8:F8</t>
        </is>
      </c>
      <c r="F25" s="11" t="inlineStr">
        <is>
          <t>net_interest_after_tax_fy, net_debt</t>
        </is>
      </c>
    </row>
    <row r="26">
      <c r="A26" s="11" t="n">
        <v>22</v>
      </c>
      <c r="B26" s="11" t="inlineStr">
        <is>
          <t>Operating Spread (RNOA − After-tax CoD)</t>
        </is>
      </c>
      <c r="C26" s="11" t="inlineStr">
        <is>
          <t>2022–2025 (4 cells)</t>
        </is>
      </c>
      <c r="D26" s="11" t="inlineStr">
        <is>
          <t>ALT DuPont</t>
        </is>
      </c>
      <c r="E26" s="11" t="inlineStr">
        <is>
          <t>C9:F9</t>
        </is>
      </c>
      <c r="F26" s="11" t="inlineStr">
        <is>
          <t>rnoa, after_tax_cod</t>
        </is>
      </c>
    </row>
    <row r="27">
      <c r="A27" s="11" t="n">
        <v>23</v>
      </c>
      <c r="B27" s="11" t="inlineStr">
        <is>
          <t>Financial leverage (FLEV)</t>
        </is>
      </c>
      <c r="C27" s="11" t="inlineStr">
        <is>
          <t>2022–2025 (4 cells)</t>
        </is>
      </c>
      <c r="D27" s="11" t="inlineStr">
        <is>
          <t>ALT DuPont</t>
        </is>
      </c>
      <c r="E27" s="11" t="inlineStr">
        <is>
          <t>C10:F10</t>
        </is>
      </c>
      <c r="F27" s="11" t="inlineStr">
        <is>
          <t>net_debt, equity_reformulated_fy</t>
        </is>
      </c>
    </row>
    <row r="28">
      <c r="A28" s="11" t="n">
        <v>24</v>
      </c>
      <c r="B28" s="11" t="inlineStr">
        <is>
          <t>ROE decomposition</t>
        </is>
      </c>
      <c r="C28" s="11" t="inlineStr">
        <is>
          <t>2022–2025 (4 cells)</t>
        </is>
      </c>
      <c r="D28" s="11" t="inlineStr">
        <is>
          <t>ALT DuPont</t>
        </is>
      </c>
      <c r="E28" s="11" t="inlineStr">
        <is>
          <t>C11:F11</t>
        </is>
      </c>
      <c r="F28" s="11" t="inlineStr">
        <is>
          <t>rnoa, spread, flev</t>
        </is>
      </c>
    </row>
    <row r="29">
      <c r="A29" s="11" t="n">
        <v>25</v>
      </c>
      <c r="B29" s="11" t="inlineStr">
        <is>
          <t>Actual ROE</t>
        </is>
      </c>
      <c r="C29" s="11" t="inlineStr">
        <is>
          <t>2022–2025 (4 cells)</t>
        </is>
      </c>
      <c r="D29" s="11" t="inlineStr">
        <is>
          <t>ALT DuPont</t>
        </is>
      </c>
      <c r="E29" s="11" t="inlineStr">
        <is>
          <t>C12:F12</t>
        </is>
      </c>
      <c r="F29" s="11" t="inlineStr">
        <is>
          <t>net_income_link, equity_reformulated_fy</t>
        </is>
      </c>
    </row>
    <row r="30">
      <c r="A30" s="11" t="n">
        <v>30</v>
      </c>
      <c r="B30" s="11" t="inlineStr">
        <is>
          <t>Operating cash flow historical source link</t>
        </is>
      </c>
      <c r="C30" s="11" t="inlineStr">
        <is>
          <t>2021–2025 (5 cells)</t>
        </is>
      </c>
      <c r="D30" s="11" t="inlineStr">
        <is>
          <t>Earnings Quality</t>
        </is>
      </c>
      <c r="E30" s="11" t="inlineStr">
        <is>
          <t>B5:F5</t>
        </is>
      </c>
      <c r="F30" s="11" t="inlineStr">
        <is>
          <t>—</t>
        </is>
      </c>
    </row>
    <row r="31">
      <c r="A31" s="11" t="n">
        <v>31</v>
      </c>
      <c r="B31" s="11" t="inlineStr">
        <is>
          <t>Cash conversion ratio</t>
        </is>
      </c>
      <c r="C31" s="11" t="inlineStr">
        <is>
          <t>2021–2025 (5 cells)</t>
        </is>
      </c>
      <c r="D31" s="11" t="inlineStr">
        <is>
          <t>Earnings Quality</t>
        </is>
      </c>
      <c r="E31" s="11" t="inlineStr">
        <is>
          <t>B7:F7</t>
        </is>
      </c>
      <c r="F31" s="11" t="inlineStr">
        <is>
          <t>operating_cash_flow_link, net_income_link</t>
        </is>
      </c>
    </row>
    <row r="32">
      <c r="A32" s="11" t="n">
        <v>32</v>
      </c>
      <c r="B32" s="11" t="inlineStr">
        <is>
          <t>Total accruals</t>
        </is>
      </c>
      <c r="C32" s="11" t="inlineStr">
        <is>
          <t>2021–2025 (5 cells)</t>
        </is>
      </c>
      <c r="D32" s="11" t="inlineStr">
        <is>
          <t>Earnings Quality</t>
        </is>
      </c>
      <c r="E32" s="11" t="inlineStr">
        <is>
          <t>B8:F8</t>
        </is>
      </c>
      <c r="F32" s="11" t="inlineStr">
        <is>
          <t>operating_cash_flow_link, net_income_link</t>
        </is>
      </c>
    </row>
    <row r="33">
      <c r="A33" s="11" t="n">
        <v>33</v>
      </c>
      <c r="B33" s="11" t="inlineStr">
        <is>
          <t>Average total assets</t>
        </is>
      </c>
      <c r="C33" s="11" t="inlineStr">
        <is>
          <t>2022–2025 (4 cells)</t>
        </is>
      </c>
      <c r="D33" s="11" t="inlineStr">
        <is>
          <t>Earnings Quality</t>
        </is>
      </c>
      <c r="E33" s="11" t="inlineStr">
        <is>
          <t>C11:F11</t>
        </is>
      </c>
      <c r="F33" s="11" t="inlineStr">
        <is>
          <t>—</t>
        </is>
      </c>
    </row>
    <row r="34">
      <c r="A34" s="11" t="n">
        <v>34</v>
      </c>
      <c r="B34" s="11" t="inlineStr">
        <is>
          <t>Accrual ratio</t>
        </is>
      </c>
      <c r="C34" s="11" t="inlineStr">
        <is>
          <t>2022–2025 (4 cells)</t>
        </is>
      </c>
      <c r="D34" s="11" t="inlineStr">
        <is>
          <t>Earnings Quality</t>
        </is>
      </c>
      <c r="E34" s="11" t="inlineStr">
        <is>
          <t>C12:F12</t>
        </is>
      </c>
      <c r="F34" s="11" t="inlineStr">
        <is>
          <t>total_accruals, average_total_assets</t>
        </is>
      </c>
    </row>
    <row r="35">
      <c r="A35" s="11" t="n">
        <v>35</v>
      </c>
      <c r="B35" s="11" t="inlineStr">
        <is>
          <t>Operating working capital assets / Revenue</t>
        </is>
      </c>
      <c r="C35" s="11" t="inlineStr">
        <is>
          <t>2021–2025 (5 cells)</t>
        </is>
      </c>
      <c r="D35" s="11" t="inlineStr">
        <is>
          <t>Working Capital Analysis</t>
        </is>
      </c>
      <c r="E35" s="11" t="inlineStr">
        <is>
          <t>B11:F11</t>
        </is>
      </c>
      <c r="F35" s="11" t="inlineStr">
        <is>
          <t>—</t>
        </is>
      </c>
    </row>
    <row r="36">
      <c r="A36" s="11" t="n">
        <v>36</v>
      </c>
      <c r="B36" s="11" t="inlineStr">
        <is>
          <t>Operating working capital liabilities / Revenue</t>
        </is>
      </c>
      <c r="C36" s="11" t="inlineStr">
        <is>
          <t>2021–2025 (5 cells)</t>
        </is>
      </c>
      <c r="D36" s="11" t="inlineStr">
        <is>
          <t>Working Capital Analysis</t>
        </is>
      </c>
      <c r="E36" s="11" t="inlineStr">
        <is>
          <t>B12:F12</t>
        </is>
      </c>
      <c r="F36" s="11" t="inlineStr">
        <is>
          <t>—</t>
        </is>
      </c>
    </row>
    <row r="37">
      <c r="A37" s="11" t="n">
        <v>37</v>
      </c>
      <c r="B37" s="11" t="inlineStr">
        <is>
          <t>NOWC / Revenue</t>
        </is>
      </c>
      <c r="C37" s="11" t="inlineStr">
        <is>
          <t>2021–2025 (5 cells)</t>
        </is>
      </c>
      <c r="D37" s="11" t="inlineStr">
        <is>
          <t>Working Capital Analysis</t>
        </is>
      </c>
      <c r="E37" s="11" t="inlineStr">
        <is>
          <t>B13:F13</t>
        </is>
      </c>
      <c r="F37" s="11" t="inlineStr">
        <is>
          <t>—</t>
        </is>
      </c>
    </row>
    <row r="38">
      <c r="A38" s="11" t="n">
        <v>38</v>
      </c>
      <c r="B38" s="11" t="inlineStr">
        <is>
          <t>Change in Revenue</t>
        </is>
      </c>
      <c r="C38" s="11" t="inlineStr">
        <is>
          <t>2022–2025 (4 cells)</t>
        </is>
      </c>
      <c r="D38" s="11" t="inlineStr">
        <is>
          <t>Working Capital Analysis</t>
        </is>
      </c>
      <c r="E38" s="11" t="inlineStr">
        <is>
          <t>C14:F14</t>
        </is>
      </c>
      <c r="F38" s="11" t="inlineStr">
        <is>
          <t>—</t>
        </is>
      </c>
    </row>
    <row r="39">
      <c r="A39" s="11" t="n">
        <v>39</v>
      </c>
      <c r="B39" s="11" t="inlineStr">
        <is>
          <t>Change in NOWC</t>
        </is>
      </c>
      <c r="C39" s="11" t="inlineStr">
        <is>
          <t>2022–2025 (4 cells)</t>
        </is>
      </c>
      <c r="D39" s="11" t="inlineStr">
        <is>
          <t>Working Capital Analysis</t>
        </is>
      </c>
      <c r="E39" s="11" t="inlineStr">
        <is>
          <t>C15:F15</t>
        </is>
      </c>
      <c r="F39" s="11" t="inlineStr">
        <is>
          <t>—</t>
        </is>
      </c>
    </row>
    <row r="40">
      <c r="A40" s="11" t="n">
        <v>40</v>
      </c>
      <c r="B40" s="11" t="inlineStr">
        <is>
          <t>Incremental NOWC / Change in Revenue</t>
        </is>
      </c>
      <c r="C40" s="11" t="inlineStr">
        <is>
          <t>2022–2025 (4 cells)</t>
        </is>
      </c>
      <c r="D40" s="11" t="inlineStr">
        <is>
          <t>Working Capital Analysis</t>
        </is>
      </c>
      <c r="E40" s="11" t="inlineStr">
        <is>
          <t>C16:F16</t>
        </is>
      </c>
      <c r="F40" s="11" t="inlineStr">
        <is>
          <t>nowc_change, revenue_change</t>
        </is>
      </c>
    </row>
    <row r="41">
      <c r="A41" s="11" t="n">
        <v>41</v>
      </c>
      <c r="B41" s="11" t="inlineStr">
        <is>
          <t>Change in Operating Working Capital Assets</t>
        </is>
      </c>
      <c r="C41" s="11" t="inlineStr">
        <is>
          <t>2022–2025 (4 cells)</t>
        </is>
      </c>
      <c r="D41" s="11" t="inlineStr">
        <is>
          <t>Working Capital Analysis</t>
        </is>
      </c>
      <c r="E41" s="11" t="inlineStr">
        <is>
          <t>C19:F19</t>
        </is>
      </c>
      <c r="F41" s="11" t="inlineStr">
        <is>
          <t>owca_agg</t>
        </is>
      </c>
    </row>
    <row r="42">
      <c r="A42" s="11" t="n">
        <v>42</v>
      </c>
      <c r="B42" s="11" t="inlineStr">
        <is>
          <t>Change in Operating Working Capital Liabilities</t>
        </is>
      </c>
      <c r="C42" s="11" t="inlineStr">
        <is>
          <t>2022–2025 (4 cells)</t>
        </is>
      </c>
      <c r="D42" s="11" t="inlineStr">
        <is>
          <t>Working Capital Analysis</t>
        </is>
      </c>
      <c r="E42" s="11" t="inlineStr">
        <is>
          <t>C20:F20</t>
        </is>
      </c>
      <c r="F42" s="11" t="inlineStr">
        <is>
          <t>owcl_agg</t>
        </is>
      </c>
    </row>
    <row r="43">
      <c r="A43" s="11" t="n">
        <v>43</v>
      </c>
      <c r="B43" s="11" t="inlineStr">
        <is>
          <t>Change in NOWC from OWCA / OWCL bridge</t>
        </is>
      </c>
      <c r="C43" s="11" t="inlineStr">
        <is>
          <t>2022–2025 (4 cells)</t>
        </is>
      </c>
      <c r="D43" s="11" t="inlineStr">
        <is>
          <t>Working Capital Analysis</t>
        </is>
      </c>
      <c r="E43" s="11" t="inlineStr">
        <is>
          <t>C21:F21</t>
        </is>
      </c>
      <c r="F43" s="11" t="inlineStr">
        <is>
          <t>owca_change, owcl_change</t>
        </is>
      </c>
    </row>
    <row r="44">
      <c r="A44" s="11" t="n">
        <v>44</v>
      </c>
      <c r="B44" s="11" t="inlineStr">
        <is>
          <t>Incremental OWCA / Change in Revenue</t>
        </is>
      </c>
      <c r="C44" s="11" t="inlineStr">
        <is>
          <t>2022–2025 (4 cells)</t>
        </is>
      </c>
      <c r="D44" s="11" t="inlineStr">
        <is>
          <t>Working Capital Analysis</t>
        </is>
      </c>
      <c r="E44" s="11" t="inlineStr">
        <is>
          <t>C22:F22</t>
        </is>
      </c>
      <c r="F44" s="11" t="inlineStr">
        <is>
          <t>owca_change, revenue_change</t>
        </is>
      </c>
    </row>
    <row r="45">
      <c r="A45" s="11" t="n">
        <v>45</v>
      </c>
      <c r="B45" s="11" t="inlineStr">
        <is>
          <t>Incremental OWCL / Change in Revenue</t>
        </is>
      </c>
      <c r="C45" s="11" t="inlineStr">
        <is>
          <t>2022–2025 (4 cells)</t>
        </is>
      </c>
      <c r="D45" s="11" t="inlineStr">
        <is>
          <t>Working Capital Analysis</t>
        </is>
      </c>
      <c r="E45" s="11" t="inlineStr">
        <is>
          <t>C23:F23</t>
        </is>
      </c>
      <c r="F45" s="11" t="inlineStr">
        <is>
          <t>owcl_change, revenue_change</t>
        </is>
      </c>
    </row>
    <row r="46">
      <c r="A46" s="11" t="n">
        <v>46</v>
      </c>
      <c r="B46" s="11" t="inlineStr">
        <is>
          <t>Average Net Operating Assets</t>
        </is>
      </c>
      <c r="C46" s="11" t="inlineStr">
        <is>
          <t>2022–2025 (4 cells)</t>
        </is>
      </c>
      <c r="D46" s="11" t="inlineStr">
        <is>
          <t>ALT DuPont</t>
        </is>
      </c>
      <c r="E46" s="11" t="inlineStr">
        <is>
          <t>C15:F15</t>
        </is>
      </c>
      <c r="F46" s="11" t="inlineStr">
        <is>
          <t>noa_agg</t>
        </is>
      </c>
    </row>
    <row r="47">
      <c r="A47" s="11" t="n">
        <v>47</v>
      </c>
      <c r="B47" s="11" t="inlineStr">
        <is>
          <t>Net Operating Asset Turnover</t>
        </is>
      </c>
      <c r="C47" s="11" t="inlineStr">
        <is>
          <t>2022–2025 (4 cells)</t>
        </is>
      </c>
      <c r="D47" s="11" t="inlineStr">
        <is>
          <t>ALT DuPont</t>
        </is>
      </c>
      <c r="E47" s="11" t="inlineStr">
        <is>
          <t>C16:F16</t>
        </is>
      </c>
      <c r="F47" s="11" t="inlineStr">
        <is>
          <t>revenue_link, average_noa</t>
        </is>
      </c>
    </row>
    <row r="48">
      <c r="A48" s="11" t="n">
        <v>48</v>
      </c>
      <c r="B48" s="11" t="inlineStr">
        <is>
          <t>Net Operating Asset Intensity</t>
        </is>
      </c>
      <c r="C48" s="11" t="inlineStr">
        <is>
          <t>2022–2025 (4 cells)</t>
        </is>
      </c>
      <c r="D48" s="11" t="inlineStr">
        <is>
          <t>ALT DuPont</t>
        </is>
      </c>
      <c r="E48" s="11" t="inlineStr">
        <is>
          <t>C17:F17</t>
        </is>
      </c>
      <c r="F48" s="11" t="inlineStr">
        <is>
          <t>average_noa, revenue_link</t>
        </is>
      </c>
    </row>
    <row r="49">
      <c r="A49" s="11" t="n">
        <v>49</v>
      </c>
      <c r="B49" s="11" t="inlineStr">
        <is>
          <t>RNOA from Margin × Turnover</t>
        </is>
      </c>
      <c r="C49" s="11" t="inlineStr">
        <is>
          <t>2022–2025 (4 cells)</t>
        </is>
      </c>
      <c r="D49" s="11" t="inlineStr">
        <is>
          <t>ALT DuPont</t>
        </is>
      </c>
      <c r="E49" s="11" t="inlineStr">
        <is>
          <t>C18:F18</t>
        </is>
      </c>
      <c r="F49" s="11" t="inlineStr">
        <is>
          <t>nopat_margin, noa_turnover</t>
        </is>
      </c>
    </row>
    <row r="50">
      <c r="A50" s="11" t="n">
        <v>50</v>
      </c>
      <c r="B50" s="11" t="inlineStr">
        <is>
          <t>Change in NOPAT Margin</t>
        </is>
      </c>
      <c r="C50" s="11" t="inlineStr">
        <is>
          <t>2023–2025 (3 cells)</t>
        </is>
      </c>
      <c r="D50" s="11" t="inlineStr">
        <is>
          <t>ALT DuPont</t>
        </is>
      </c>
      <c r="E50" s="11" t="inlineStr">
        <is>
          <t>D22:F22</t>
        </is>
      </c>
      <c r="F50" s="11" t="inlineStr">
        <is>
          <t>nopat_margin</t>
        </is>
      </c>
    </row>
    <row r="51">
      <c r="A51" s="11" t="n">
        <v>51</v>
      </c>
      <c r="B51" s="11" t="inlineStr">
        <is>
          <t>Change in NOA Turnover</t>
        </is>
      </c>
      <c r="C51" s="11" t="inlineStr">
        <is>
          <t>2023–2025 (3 cells)</t>
        </is>
      </c>
      <c r="D51" s="11" t="inlineStr">
        <is>
          <t>ALT DuPont</t>
        </is>
      </c>
      <c r="E51" s="11" t="inlineStr">
        <is>
          <t>D23:F23</t>
        </is>
      </c>
      <c r="F51" s="11" t="inlineStr">
        <is>
          <t>noa_turnover</t>
        </is>
      </c>
    </row>
    <row r="52">
      <c r="A52" s="11" t="n">
        <v>52</v>
      </c>
      <c r="B52" s="11" t="inlineStr">
        <is>
          <t>Direct Change in RNOA</t>
        </is>
      </c>
      <c r="C52" s="11" t="inlineStr">
        <is>
          <t>2023–2025 (3 cells)</t>
        </is>
      </c>
      <c r="D52" s="11" t="inlineStr">
        <is>
          <t>ALT DuPont</t>
        </is>
      </c>
      <c r="E52" s="11" t="inlineStr">
        <is>
          <t>D24:F24</t>
        </is>
      </c>
      <c r="F52" s="11" t="inlineStr">
        <is>
          <t>rnoa</t>
        </is>
      </c>
    </row>
    <row r="53">
      <c r="A53" s="11" t="n">
        <v>53</v>
      </c>
      <c r="B53" s="11" t="inlineStr">
        <is>
          <t>Margin Effect on Change in RNOA</t>
        </is>
      </c>
      <c r="C53" s="11" t="inlineStr">
        <is>
          <t>2023–2025 (3 cells)</t>
        </is>
      </c>
      <c r="D53" s="11" t="inlineStr">
        <is>
          <t>ALT DuPont</t>
        </is>
      </c>
      <c r="E53" s="11" t="inlineStr">
        <is>
          <t>D25:F25</t>
        </is>
      </c>
      <c r="F53" s="11" t="inlineStr">
        <is>
          <t>nopat_margin_change, noa_turnover</t>
        </is>
      </c>
    </row>
    <row r="54">
      <c r="A54" s="11" t="n">
        <v>54</v>
      </c>
      <c r="B54" s="11" t="inlineStr">
        <is>
          <t>Turnover Effect on Change in RNOA</t>
        </is>
      </c>
      <c r="C54" s="11" t="inlineStr">
        <is>
          <t>2023–2025 (3 cells)</t>
        </is>
      </c>
      <c r="D54" s="11" t="inlineStr">
        <is>
          <t>ALT DuPont</t>
        </is>
      </c>
      <c r="E54" s="11" t="inlineStr">
        <is>
          <t>D26:F26</t>
        </is>
      </c>
      <c r="F54" s="11" t="inlineStr">
        <is>
          <t>noa_turnover_change, nopat_margin</t>
        </is>
      </c>
    </row>
    <row r="55">
      <c r="A55" s="11" t="n">
        <v>55</v>
      </c>
      <c r="B55" s="11" t="inlineStr">
        <is>
          <t>Change in RNOA from Margin + Turnover Effects</t>
        </is>
      </c>
      <c r="C55" s="11" t="inlineStr">
        <is>
          <t>2023–2025 (3 cells)</t>
        </is>
      </c>
      <c r="D55" s="11" t="inlineStr">
        <is>
          <t>ALT DuPont</t>
        </is>
      </c>
      <c r="E55" s="11" t="inlineStr">
        <is>
          <t>D27:F27</t>
        </is>
      </c>
      <c r="F55" s="11" t="inlineStr">
        <is>
          <t>rnoa_margin_effect, rnoa_turnover_effect</t>
        </is>
      </c>
    </row>
    <row r="56">
      <c r="A56" s="11" t="n">
        <v>56</v>
      </c>
      <c r="B56" s="11" t="inlineStr">
        <is>
          <t>Financing Contribution to ROE</t>
        </is>
      </c>
      <c r="C56" s="11" t="inlineStr">
        <is>
          <t>2022–2025 (4 cells)</t>
        </is>
      </c>
      <c r="D56" s="11" t="inlineStr">
        <is>
          <t>ALT DuPont</t>
        </is>
      </c>
      <c r="E56" s="11" t="inlineStr">
        <is>
          <t>C31:F31</t>
        </is>
      </c>
      <c r="F56" s="11" t="inlineStr">
        <is>
          <t>flev, spread</t>
        </is>
      </c>
    </row>
    <row r="57">
      <c r="A57" s="11" t="n">
        <v>57</v>
      </c>
      <c r="B57" s="11" t="inlineStr">
        <is>
          <t>Direct Change in Decomposed ROE</t>
        </is>
      </c>
      <c r="C57" s="11" t="inlineStr">
        <is>
          <t>2023–2025 (3 cells)</t>
        </is>
      </c>
      <c r="D57" s="11" t="inlineStr">
        <is>
          <t>ALT DuPont</t>
        </is>
      </c>
      <c r="E57" s="11" t="inlineStr">
        <is>
          <t>D35:F35</t>
        </is>
      </c>
      <c r="F57" s="11" t="inlineStr">
        <is>
          <t>roe_decomp</t>
        </is>
      </c>
    </row>
    <row r="58">
      <c r="A58" s="11" t="n">
        <v>58</v>
      </c>
      <c r="B58" s="11" t="inlineStr">
        <is>
          <t>Operating Effect on Change in ROE</t>
        </is>
      </c>
      <c r="C58" s="11" t="inlineStr">
        <is>
          <t>2023–2025 (3 cells)</t>
        </is>
      </c>
      <c r="D58" s="11" t="inlineStr">
        <is>
          <t>ALT DuPont</t>
        </is>
      </c>
      <c r="E58" s="11" t="inlineStr">
        <is>
          <t>D36:F36</t>
        </is>
      </c>
      <c r="F58" s="11" t="inlineStr">
        <is>
          <t>rnoa_change</t>
        </is>
      </c>
    </row>
    <row r="59">
      <c r="A59" s="11" t="n">
        <v>59</v>
      </c>
      <c r="B59" s="11" t="inlineStr">
        <is>
          <t>Leverage Effect on Change in ROE</t>
        </is>
      </c>
      <c r="C59" s="11" t="inlineStr">
        <is>
          <t>2023–2025 (3 cells)</t>
        </is>
      </c>
      <c r="D59" s="11" t="inlineStr">
        <is>
          <t>ALT DuPont</t>
        </is>
      </c>
      <c r="E59" s="11" t="inlineStr">
        <is>
          <t>D37:F37</t>
        </is>
      </c>
      <c r="F59" s="11" t="inlineStr">
        <is>
          <t>flev, spread</t>
        </is>
      </c>
    </row>
    <row r="60">
      <c r="A60" s="11" t="n">
        <v>60</v>
      </c>
      <c r="B60" s="11" t="inlineStr">
        <is>
          <t>Spread Effect on Change in ROE</t>
        </is>
      </c>
      <c r="C60" s="11" t="inlineStr">
        <is>
          <t>2023–2025 (3 cells)</t>
        </is>
      </c>
      <c r="D60" s="11" t="inlineStr">
        <is>
          <t>ALT DuPont</t>
        </is>
      </c>
      <c r="E60" s="11" t="inlineStr">
        <is>
          <t>D38:F38</t>
        </is>
      </c>
      <c r="F60" s="11" t="inlineStr">
        <is>
          <t>spread, flev</t>
        </is>
      </c>
    </row>
    <row r="61">
      <c r="A61" s="11" t="n">
        <v>61</v>
      </c>
      <c r="B61" s="11" t="inlineStr">
        <is>
          <t>Financing Effect on Change in ROE</t>
        </is>
      </c>
      <c r="C61" s="11" t="inlineStr">
        <is>
          <t>2023–2025 (3 cells)</t>
        </is>
      </c>
      <c r="D61" s="11" t="inlineStr">
        <is>
          <t>ALT DuPont</t>
        </is>
      </c>
      <c r="E61" s="11" t="inlineStr">
        <is>
          <t>D39:F39</t>
        </is>
      </c>
      <c r="F61" s="11" t="inlineStr">
        <is>
          <t>leverage_effect_on_roe_change, spread_effect_on_roe_change</t>
        </is>
      </c>
    </row>
    <row r="62">
      <c r="A62" s="11" t="n">
        <v>62</v>
      </c>
      <c r="B62" s="11" t="inlineStr">
        <is>
          <t>Change in ROE from Operating + Financing Drivers</t>
        </is>
      </c>
      <c r="C62" s="11" t="inlineStr">
        <is>
          <t>2023–2025 (3 cells)</t>
        </is>
      </c>
      <c r="D62" s="11" t="inlineStr">
        <is>
          <t>ALT DuPont</t>
        </is>
      </c>
      <c r="E62" s="11" t="inlineStr">
        <is>
          <t>D40:F40</t>
        </is>
      </c>
      <c r="F62" s="11" t="inlineStr">
        <is>
          <t>operating_effect_on_roe_change, financing_effect_on_roe_change</t>
        </is>
      </c>
    </row>
    <row r="63">
      <c r="A63" s="11" t="n">
        <v>63</v>
      </c>
      <c r="B63" s="11" t="inlineStr">
        <is>
          <t>Change in Operating Cash Flow</t>
        </is>
      </c>
      <c r="C63" s="11" t="inlineStr">
        <is>
          <t>2022–2025 (4 cells)</t>
        </is>
      </c>
      <c r="D63" s="11" t="inlineStr">
        <is>
          <t>Earnings Quality</t>
        </is>
      </c>
      <c r="E63" s="11" t="inlineStr">
        <is>
          <t>C15:F15</t>
        </is>
      </c>
      <c r="F63" s="11" t="inlineStr">
        <is>
          <t>operating_cash_flow_link</t>
        </is>
      </c>
    </row>
    <row r="64">
      <c r="A64" s="11" t="n">
        <v>64</v>
      </c>
      <c r="B64" s="11" t="inlineStr">
        <is>
          <t>Change in Cash Conversion Ratio</t>
        </is>
      </c>
      <c r="C64" s="11" t="inlineStr">
        <is>
          <t>2022–2025 (4 cells)</t>
        </is>
      </c>
      <c r="D64" s="11" t="inlineStr">
        <is>
          <t>Earnings Quality</t>
        </is>
      </c>
      <c r="E64" s="11" t="inlineStr">
        <is>
          <t>C16:F16</t>
        </is>
      </c>
      <c r="F64" s="11" t="inlineStr">
        <is>
          <t>cash_conversion_ratio</t>
        </is>
      </c>
    </row>
    <row r="65">
      <c r="A65" s="11" t="n">
        <v>65</v>
      </c>
      <c r="B65" s="11" t="inlineStr">
        <is>
          <t>Change in Total Accruals</t>
        </is>
      </c>
      <c r="C65" s="11" t="inlineStr">
        <is>
          <t>2022–2025 (4 cells)</t>
        </is>
      </c>
      <c r="D65" s="11" t="inlineStr">
        <is>
          <t>Earnings Quality</t>
        </is>
      </c>
      <c r="E65" s="11" t="inlineStr">
        <is>
          <t>C17:F17</t>
        </is>
      </c>
      <c r="F65" s="11" t="inlineStr">
        <is>
          <t>total_accruals</t>
        </is>
      </c>
    </row>
    <row r="66">
      <c r="A66" s="11" t="n">
        <v>66</v>
      </c>
      <c r="B66" s="11" t="inlineStr">
        <is>
          <t>Change in Accrual Ratio</t>
        </is>
      </c>
      <c r="C66" s="11" t="inlineStr">
        <is>
          <t>2023–2025 (3 cells)</t>
        </is>
      </c>
      <c r="D66" s="11" t="inlineStr">
        <is>
          <t>Earnings Quality</t>
        </is>
      </c>
      <c r="E66" s="11" t="inlineStr">
        <is>
          <t>D18:F18</t>
        </is>
      </c>
      <c r="F66" s="11" t="inlineStr">
        <is>
          <t>accrual_ratio</t>
        </is>
      </c>
    </row>
    <row r="67">
      <c r="A67" s="11" t="n">
        <v>67</v>
      </c>
      <c r="B67" s="11" t="inlineStr">
        <is>
          <t>Diluted EPS (Comparable Basis)</t>
        </is>
      </c>
      <c r="C67" s="11" t="inlineStr">
        <is>
          <t>2021–2025 (5 cells)</t>
        </is>
      </c>
      <c r="D67" s="11" t="inlineStr">
        <is>
          <t>Per Share Analysis</t>
        </is>
      </c>
      <c r="E67" s="11" t="inlineStr">
        <is>
          <t>B9:F9</t>
        </is>
      </c>
      <c r="F67" s="11" t="inlineStr">
        <is>
          <t>net_income_link</t>
        </is>
      </c>
    </row>
    <row r="68">
      <c r="A68" s="11" t="n">
        <v>68</v>
      </c>
      <c r="B68" s="11" t="inlineStr">
        <is>
          <t>NOPAT per Diluted Share</t>
        </is>
      </c>
      <c r="C68" s="11" t="inlineStr">
        <is>
          <t>2021–2025 (5 cells)</t>
        </is>
      </c>
      <c r="D68" s="11" t="inlineStr">
        <is>
          <t>Per Share Analysis</t>
        </is>
      </c>
      <c r="E68" s="11" t="inlineStr">
        <is>
          <t>B10:F10</t>
        </is>
      </c>
      <c r="F68" s="11" t="inlineStr">
        <is>
          <t>nopat_fy</t>
        </is>
      </c>
    </row>
    <row r="69">
      <c r="A69" s="11" t="n">
        <v>69</v>
      </c>
      <c r="B69" s="11" t="inlineStr">
        <is>
          <t>Change in Diluted EPS</t>
        </is>
      </c>
      <c r="C69" s="11" t="inlineStr">
        <is>
          <t>2022–2025 (4 cells)</t>
        </is>
      </c>
      <c r="D69" s="11" t="inlineStr">
        <is>
          <t>Per Share Analysis</t>
        </is>
      </c>
      <c r="E69" s="11" t="inlineStr">
        <is>
          <t>C12:F12</t>
        </is>
      </c>
      <c r="F69" s="11" t="inlineStr">
        <is>
          <t>reported_diluted_eps</t>
        </is>
      </c>
    </row>
    <row r="70">
      <c r="A70" s="11" t="n">
        <v>70</v>
      </c>
      <c r="B70" s="11" t="inlineStr">
        <is>
          <t>Change in Diluted Weighted-Average Shares</t>
        </is>
      </c>
      <c r="C70" s="11" t="inlineStr">
        <is>
          <t>2022–2025 (4 cells)</t>
        </is>
      </c>
      <c r="D70" s="11" t="inlineStr">
        <is>
          <t>Per Share Analysis</t>
        </is>
      </c>
      <c r="E70" s="11" t="inlineStr">
        <is>
          <t>C13:F13</t>
        </is>
      </c>
      <c r="F70" s="11" t="inlineStr">
        <is>
          <t>—</t>
        </is>
      </c>
    </row>
    <row r="71">
      <c r="A71" s="11" t="n">
        <v>71</v>
      </c>
      <c r="B71" s="11" t="inlineStr">
        <is>
          <t>Change in Per-Share Earnings Numerator</t>
        </is>
      </c>
      <c r="C71" s="11" t="inlineStr">
        <is>
          <t>2022–2025 (4 cells)</t>
        </is>
      </c>
      <c r="D71" s="11" t="inlineStr">
        <is>
          <t>Per Share Analysis</t>
        </is>
      </c>
      <c r="E71" s="11" t="inlineStr">
        <is>
          <t>C16:F16</t>
        </is>
      </c>
      <c r="F71" s="11" t="inlineStr">
        <is>
          <t>net_income_link</t>
        </is>
      </c>
    </row>
    <row r="72">
      <c r="A72" s="11" t="n">
        <v>72</v>
      </c>
      <c r="B72" s="11" t="inlineStr">
        <is>
          <t>Earnings Effect on Change in Diluted EPS</t>
        </is>
      </c>
      <c r="C72" s="11" t="inlineStr">
        <is>
          <t>2022–2025 (4 cells)</t>
        </is>
      </c>
      <c r="D72" s="11" t="inlineStr">
        <is>
          <t>Per Share Analysis</t>
        </is>
      </c>
      <c r="E72" s="11" t="inlineStr">
        <is>
          <t>C17:F17</t>
        </is>
      </c>
      <c r="F72" s="11" t="inlineStr">
        <is>
          <t>reported_net_income_change</t>
        </is>
      </c>
    </row>
    <row r="73">
      <c r="A73" s="11" t="n">
        <v>73</v>
      </c>
      <c r="B73" s="11" t="inlineStr">
        <is>
          <t>Share-Count Effect on Change in Diluted EPS</t>
        </is>
      </c>
      <c r="C73" s="11" t="inlineStr">
        <is>
          <t>2022–2025 (4 cells)</t>
        </is>
      </c>
      <c r="D73" s="11" t="inlineStr">
        <is>
          <t>Per Share Analysis</t>
        </is>
      </c>
      <c r="E73" s="11" t="inlineStr">
        <is>
          <t>C18:F18</t>
        </is>
      </c>
      <c r="F73" s="11" t="inlineStr">
        <is>
          <t>diluted_share_count_change, net_income_link</t>
        </is>
      </c>
    </row>
    <row r="74">
      <c r="A74" s="11" t="n">
        <v>74</v>
      </c>
      <c r="B74" s="11" t="inlineStr">
        <is>
          <t>Change in Diluted EPS from Earnings + Share-Count Effects</t>
        </is>
      </c>
      <c r="C74" s="11" t="inlineStr">
        <is>
          <t>2022–2025 (4 cells)</t>
        </is>
      </c>
      <c r="D74" s="11" t="inlineStr">
        <is>
          <t>Per Share Analysis</t>
        </is>
      </c>
      <c r="E74" s="11" t="inlineStr">
        <is>
          <t>C19:F19</t>
        </is>
      </c>
      <c r="F74" s="11" t="inlineStr">
        <is>
          <t>earnings_effect_on_diluted_eps_change, share_count_effect_on_diluted_eps_change</t>
        </is>
      </c>
    </row>
    <row r="75">
      <c r="A75" s="11" t="n">
        <v>79</v>
      </c>
      <c r="B75" s="11" t="inlineStr">
        <is>
          <t>Property, Plant &amp; Equipment</t>
        </is>
      </c>
      <c r="C75" s="11" t="inlineStr">
        <is>
          <t>2021–2025 (5 cells)</t>
        </is>
      </c>
      <c r="D75" s="11" t="inlineStr">
        <is>
          <t>ALT DuPont</t>
        </is>
      </c>
      <c r="E75" s="11" t="inlineStr">
        <is>
          <t>B44:F44</t>
        </is>
      </c>
      <c r="F75" s="11" t="inlineStr">
        <is>
          <t>—</t>
        </is>
      </c>
    </row>
    <row r="76">
      <c r="A76" s="11" t="n">
        <v>80</v>
      </c>
      <c r="B76" s="11" t="inlineStr">
        <is>
          <t>Depreciation &amp; Amortisation</t>
        </is>
      </c>
      <c r="C76" s="11" t="inlineStr">
        <is>
          <t>2021–2025 (5 cells)</t>
        </is>
      </c>
      <c r="D76" s="11" t="inlineStr">
        <is>
          <t>ALT DuPont</t>
        </is>
      </c>
      <c r="E76" s="11" t="inlineStr">
        <is>
          <t>B45:F45</t>
        </is>
      </c>
      <c r="F76" s="11" t="inlineStr">
        <is>
          <t>—</t>
        </is>
      </c>
    </row>
    <row r="77">
      <c r="A77" s="11" t="n">
        <v>81</v>
      </c>
      <c r="B77" s="11" t="inlineStr">
        <is>
          <t>Average PP&amp;E</t>
        </is>
      </c>
      <c r="C77" s="11" t="inlineStr">
        <is>
          <t>2022–2025 (4 cells)</t>
        </is>
      </c>
      <c r="D77" s="11" t="inlineStr">
        <is>
          <t>ALT DuPont</t>
        </is>
      </c>
      <c r="E77" s="11" t="inlineStr">
        <is>
          <t>C46:F46</t>
        </is>
      </c>
      <c r="F77" s="11" t="inlineStr">
        <is>
          <t>ppe_source_link</t>
        </is>
      </c>
    </row>
    <row r="78">
      <c r="A78" s="11" t="n">
        <v>82</v>
      </c>
      <c r="B78" s="11" t="inlineStr">
        <is>
          <t>PP&amp;E Turnover</t>
        </is>
      </c>
      <c r="C78" s="11" t="inlineStr">
        <is>
          <t>2022–2025 (4 cells)</t>
        </is>
      </c>
      <c r="D78" s="11" t="inlineStr">
        <is>
          <t>ALT DuPont</t>
        </is>
      </c>
      <c r="E78" s="11" t="inlineStr">
        <is>
          <t>C47:F47</t>
        </is>
      </c>
      <c r="F78" s="11" t="inlineStr">
        <is>
          <t>revenue_link, average_ppe</t>
        </is>
      </c>
    </row>
    <row r="79">
      <c r="A79" s="11" t="n">
        <v>83</v>
      </c>
      <c r="B79" s="11" t="inlineStr">
        <is>
          <t>PP&amp;E Intensity</t>
        </is>
      </c>
      <c r="C79" s="11" t="inlineStr">
        <is>
          <t>2022–2025 (4 cells)</t>
        </is>
      </c>
      <c r="D79" s="11" t="inlineStr">
        <is>
          <t>ALT DuPont</t>
        </is>
      </c>
      <c r="E79" s="11" t="inlineStr">
        <is>
          <t>C48:F48</t>
        </is>
      </c>
      <c r="F79" s="11" t="inlineStr">
        <is>
          <t>revenue_link, average_ppe</t>
        </is>
      </c>
    </row>
    <row r="80">
      <c r="A80" s="11" t="n">
        <v>84</v>
      </c>
      <c r="B80" s="11" t="inlineStr">
        <is>
          <t>Change in PP&amp;E</t>
        </is>
      </c>
      <c r="C80" s="11" t="inlineStr">
        <is>
          <t>2022–2025 (4 cells)</t>
        </is>
      </c>
      <c r="D80" s="11" t="inlineStr">
        <is>
          <t>ALT DuPont</t>
        </is>
      </c>
      <c r="E80" s="11" t="inlineStr">
        <is>
          <t>C49:F49</t>
        </is>
      </c>
      <c r="F80" s="11" t="inlineStr">
        <is>
          <t>ppe_source_link</t>
        </is>
      </c>
    </row>
    <row r="81">
      <c r="A81" s="11" t="n">
        <v>85</v>
      </c>
      <c r="B81" s="11" t="inlineStr">
        <is>
          <t>D&amp;A / Revenue</t>
        </is>
      </c>
      <c r="C81" s="11" t="inlineStr">
        <is>
          <t>2021–2025 (5 cells)</t>
        </is>
      </c>
      <c r="D81" s="11" t="inlineStr">
        <is>
          <t>ALT DuPont</t>
        </is>
      </c>
      <c r="E81" s="11" t="inlineStr">
        <is>
          <t>B50:F50</t>
        </is>
      </c>
      <c r="F81" s="11" t="inlineStr">
        <is>
          <t>da_source_link, revenue_link</t>
        </is>
      </c>
    </row>
    <row r="82">
      <c r="A82" s="11" t="n">
        <v>86</v>
      </c>
      <c r="B82" s="11" t="inlineStr">
        <is>
          <t>D&amp;A / Average PP&amp;E</t>
        </is>
      </c>
      <c r="C82" s="11" t="inlineStr">
        <is>
          <t>2022–2025 (4 cells)</t>
        </is>
      </c>
      <c r="D82" s="11" t="inlineStr">
        <is>
          <t>ALT DuPont</t>
        </is>
      </c>
      <c r="E82" s="11" t="inlineStr">
        <is>
          <t>C51:F51</t>
        </is>
      </c>
      <c r="F82" s="11" t="inlineStr">
        <is>
          <t>da_source_link, average_ppe</t>
        </is>
      </c>
    </row>
    <row r="83">
      <c r="A83" s="11" t="n">
        <v>87</v>
      </c>
      <c r="B83" s="11" t="inlineStr">
        <is>
          <t>Lease Liability</t>
        </is>
      </c>
      <c r="C83" s="11" t="inlineStr">
        <is>
          <t>2021–2025 (5 cells)</t>
        </is>
      </c>
      <c r="D83" s="11" t="inlineStr">
        <is>
          <t>ALT DuPont</t>
        </is>
      </c>
      <c r="E83" s="11" t="inlineStr">
        <is>
          <t>B55:F55</t>
        </is>
      </c>
      <c r="F83" s="11" t="inlineStr">
        <is>
          <t>—</t>
        </is>
      </c>
    </row>
    <row r="84">
      <c r="A84" s="11" t="n">
        <v>88</v>
      </c>
      <c r="B84" s="11" t="inlineStr">
        <is>
          <t>Lease Liability / Revenue</t>
        </is>
      </c>
      <c r="C84" s="11" t="inlineStr">
        <is>
          <t>2021–2025 (5 cells)</t>
        </is>
      </c>
      <c r="D84" s="11" t="inlineStr">
        <is>
          <t>ALT DuPont</t>
        </is>
      </c>
      <c r="E84" s="11" t="inlineStr">
        <is>
          <t>B56:F56</t>
        </is>
      </c>
      <c r="F84" s="11" t="inlineStr">
        <is>
          <t>lease_liability_source_link, revenue_link</t>
        </is>
      </c>
    </row>
    <row r="85">
      <c r="A85" s="11" t="n">
        <v>89</v>
      </c>
      <c r="B85" s="11" t="inlineStr">
        <is>
          <t>Change in Lease Liability</t>
        </is>
      </c>
      <c r="C85" s="11" t="inlineStr">
        <is>
          <t>2022–2025 (4 cells)</t>
        </is>
      </c>
      <c r="D85" s="11" t="inlineStr">
        <is>
          <t>ALT DuPont</t>
        </is>
      </c>
      <c r="E85" s="11" t="inlineStr">
        <is>
          <t>C57:F57</t>
        </is>
      </c>
      <c r="F85" s="11" t="inlineStr">
        <is>
          <t>lease_liability_source_link</t>
        </is>
      </c>
    </row>
    <row r="86">
      <c r="A86" s="11" t="n">
        <v>90</v>
      </c>
      <c r="B86" s="11" t="inlineStr">
        <is>
          <t>Lease Liability Growth</t>
        </is>
      </c>
      <c r="C86" s="11" t="inlineStr">
        <is>
          <t>2022–2025 (4 cells)</t>
        </is>
      </c>
      <c r="D86" s="11" t="inlineStr">
        <is>
          <t>ALT DuPont</t>
        </is>
      </c>
      <c r="E86" s="11" t="inlineStr">
        <is>
          <t>C58:F58</t>
        </is>
      </c>
      <c r="F86" s="11" t="inlineStr">
        <is>
          <t>lease_liability_source_link</t>
        </is>
      </c>
    </row>
    <row r="87">
      <c r="A87" s="11" t="n">
        <v>91</v>
      </c>
      <c r="B87" s="11" t="inlineStr">
        <is>
          <t>Parent Profit</t>
        </is>
      </c>
      <c r="C87" s="11" t="inlineStr">
        <is>
          <t>2021–2025 (5 cells)</t>
        </is>
      </c>
      <c r="D87" s="11" t="inlineStr">
        <is>
          <t>Ownership Attribution</t>
        </is>
      </c>
      <c r="E87" s="11" t="inlineStr">
        <is>
          <t>B5:F5</t>
        </is>
      </c>
      <c r="F87" s="11" t="inlineStr">
        <is>
          <t>—</t>
        </is>
      </c>
    </row>
    <row r="88">
      <c r="A88" s="11" t="n">
        <v>92</v>
      </c>
      <c r="B88" s="11" t="inlineStr">
        <is>
          <t>NCI Profit</t>
        </is>
      </c>
      <c r="C88" s="11" t="inlineStr">
        <is>
          <t>2021–2025 (5 cells)</t>
        </is>
      </c>
      <c r="D88" s="11" t="inlineStr">
        <is>
          <t>Ownership Attribution</t>
        </is>
      </c>
      <c r="E88" s="11" t="inlineStr">
        <is>
          <t>B6:F6</t>
        </is>
      </c>
      <c r="F88" s="11" t="inlineStr">
        <is>
          <t>—</t>
        </is>
      </c>
    </row>
    <row r="89">
      <c r="A89" s="11" t="n">
        <v>93</v>
      </c>
      <c r="B89" s="11" t="inlineStr">
        <is>
          <t>Profit Attribution Gap</t>
        </is>
      </c>
      <c r="C89" s="11" t="inlineStr">
        <is>
          <t>2021–2025 (5 cells)</t>
        </is>
      </c>
      <c r="D89" s="11" t="inlineStr">
        <is>
          <t>Ownership Attribution</t>
        </is>
      </c>
      <c r="E89" s="11" t="inlineStr">
        <is>
          <t>B8:F8</t>
        </is>
      </c>
      <c r="F89" s="11" t="inlineStr">
        <is>
          <t>parent_profit_source_link, nci_profit_source_link</t>
        </is>
      </c>
    </row>
    <row r="90">
      <c r="A90" s="11" t="n">
        <v>94</v>
      </c>
      <c r="B90" s="11" t="inlineStr">
        <is>
          <t>Parent Equity</t>
        </is>
      </c>
      <c r="C90" s="11" t="inlineStr">
        <is>
          <t>2021–2025 (5 cells)</t>
        </is>
      </c>
      <c r="D90" s="11" t="inlineStr">
        <is>
          <t>Ownership Attribution</t>
        </is>
      </c>
      <c r="E90" s="11" t="inlineStr">
        <is>
          <t>B10:F10</t>
        </is>
      </c>
      <c r="F90" s="11" t="inlineStr">
        <is>
          <t>—</t>
        </is>
      </c>
    </row>
    <row r="91">
      <c r="A91" s="11" t="n">
        <v>95</v>
      </c>
      <c r="B91" s="11" t="inlineStr">
        <is>
          <t>NCI Equity</t>
        </is>
      </c>
      <c r="C91" s="11" t="inlineStr">
        <is>
          <t>2021–2025 (5 cells)</t>
        </is>
      </c>
      <c r="D91" s="11" t="inlineStr">
        <is>
          <t>Ownership Attribution</t>
        </is>
      </c>
      <c r="E91" s="11" t="inlineStr">
        <is>
          <t>B11:F11</t>
        </is>
      </c>
      <c r="F91" s="11" t="inlineStr">
        <is>
          <t>—</t>
        </is>
      </c>
    </row>
    <row r="92">
      <c r="A92" s="11" t="n">
        <v>96</v>
      </c>
      <c r="B92" s="11" t="inlineStr">
        <is>
          <t>Equity Attribution Gap</t>
        </is>
      </c>
      <c r="C92" s="11" t="inlineStr">
        <is>
          <t>2021–2025 (5 cells)</t>
        </is>
      </c>
      <c r="D92" s="11" t="inlineStr">
        <is>
          <t>Ownership Attribution</t>
        </is>
      </c>
      <c r="E92" s="11" t="inlineStr">
        <is>
          <t>B13:F13</t>
        </is>
      </c>
      <c r="F92" s="11" t="inlineStr">
        <is>
          <t>parent_equity_source_link, nci_equity_source_link</t>
        </is>
      </c>
    </row>
    <row r="93">
      <c r="A93" s="11" t="n">
        <v>97</v>
      </c>
      <c r="B93" s="11" t="inlineStr">
        <is>
          <t>Parent ROE</t>
        </is>
      </c>
      <c r="C93" s="11" t="inlineStr">
        <is>
          <t>2022–2025 (4 cells)</t>
        </is>
      </c>
      <c r="D93" s="11" t="inlineStr">
        <is>
          <t>Ownership Attribution</t>
        </is>
      </c>
      <c r="E93" s="11" t="inlineStr">
        <is>
          <t>C15:F15</t>
        </is>
      </c>
      <c r="F93" s="11" t="inlineStr">
        <is>
          <t>parent_profit_source_link, parent_equity_source_link</t>
        </is>
      </c>
    </row>
    <row r="94">
      <c r="A94" s="11" t="n">
        <v>98</v>
      </c>
      <c r="B94" s="11" t="inlineStr">
        <is>
          <t>Change in Goodwill</t>
        </is>
      </c>
      <c r="C94" s="11" t="inlineStr">
        <is>
          <t>2022–2025 (4 cells)</t>
        </is>
      </c>
      <c r="D94" s="11" t="inlineStr">
        <is>
          <t>ALT DuPont</t>
        </is>
      </c>
      <c r="E94" s="11" t="inlineStr">
        <is>
          <t>C125:F125</t>
        </is>
      </c>
      <c r="F94" s="11" t="inlineStr">
        <is>
          <t>—</t>
        </is>
      </c>
    </row>
    <row r="95">
      <c r="A95" s="11" t="n">
        <v>99</v>
      </c>
      <c r="B95" s="11" t="inlineStr">
        <is>
          <t>Goodwill Growth</t>
        </is>
      </c>
      <c r="C95" s="11" t="inlineStr">
        <is>
          <t>2022–2025 (4 cells)</t>
        </is>
      </c>
      <c r="D95" s="11" t="inlineStr">
        <is>
          <t>ALT DuPont</t>
        </is>
      </c>
      <c r="E95" s="11" t="inlineStr">
        <is>
          <t>C126:F126</t>
        </is>
      </c>
      <c r="F95" s="11" t="inlineStr">
        <is>
          <t>goodwill_change</t>
        </is>
      </c>
    </row>
    <row r="96">
      <c r="A96" s="11" t="n">
        <v>100</v>
      </c>
      <c r="B96" s="11" t="inlineStr">
        <is>
          <t>Average Goodwill</t>
        </is>
      </c>
      <c r="C96" s="11" t="inlineStr">
        <is>
          <t>2022–2025 (4 cells)</t>
        </is>
      </c>
      <c r="D96" s="11" t="inlineStr">
        <is>
          <t>ALT DuPont</t>
        </is>
      </c>
      <c r="E96" s="11" t="inlineStr">
        <is>
          <t>C127:F127</t>
        </is>
      </c>
      <c r="F96" s="11" t="inlineStr">
        <is>
          <t>—</t>
        </is>
      </c>
    </row>
    <row r="97">
      <c r="A97" s="11" t="n">
        <v>101</v>
      </c>
      <c r="B97" s="11" t="inlineStr">
        <is>
          <t>Average Goodwill / Revenue</t>
        </is>
      </c>
      <c r="C97" s="11" t="inlineStr">
        <is>
          <t>2022–2025 (4 cells)</t>
        </is>
      </c>
      <c r="D97" s="11" t="inlineStr">
        <is>
          <t>ALT DuPont</t>
        </is>
      </c>
      <c r="E97" s="11" t="inlineStr">
        <is>
          <t>C128:F128</t>
        </is>
      </c>
      <c r="F97" s="11" t="inlineStr">
        <is>
          <t>average_goodwill, revenue_link</t>
        </is>
      </c>
    </row>
    <row r="98">
      <c r="A98" s="11" t="n">
        <v>102</v>
      </c>
      <c r="B98" s="11" t="inlineStr">
        <is>
          <t>Change in Intangible Assets</t>
        </is>
      </c>
      <c r="C98" s="11" t="inlineStr">
        <is>
          <t>2022–2025 (4 cells)</t>
        </is>
      </c>
      <c r="D98" s="11" t="inlineStr">
        <is>
          <t>ALT DuPont</t>
        </is>
      </c>
      <c r="E98" s="11" t="inlineStr">
        <is>
          <t>C130:F130</t>
        </is>
      </c>
      <c r="F98" s="11" t="inlineStr">
        <is>
          <t>—</t>
        </is>
      </c>
    </row>
    <row r="99">
      <c r="A99" s="11" t="n">
        <v>103</v>
      </c>
      <c r="B99" s="11" t="inlineStr">
        <is>
          <t>Intangible Assets Growth</t>
        </is>
      </c>
      <c r="C99" s="11" t="inlineStr">
        <is>
          <t>2022–2025 (4 cells)</t>
        </is>
      </c>
      <c r="D99" s="11" t="inlineStr">
        <is>
          <t>ALT DuPont</t>
        </is>
      </c>
      <c r="E99" s="11" t="inlineStr">
        <is>
          <t>C131:F131</t>
        </is>
      </c>
      <c r="F99" s="11" t="inlineStr">
        <is>
          <t>intangible_assets_change</t>
        </is>
      </c>
    </row>
    <row r="100">
      <c r="A100" s="11" t="n">
        <v>104</v>
      </c>
      <c r="B100" s="11" t="inlineStr">
        <is>
          <t>Average Intangible Assets</t>
        </is>
      </c>
      <c r="C100" s="11" t="inlineStr">
        <is>
          <t>2022–2025 (4 cells)</t>
        </is>
      </c>
      <c r="D100" s="11" t="inlineStr">
        <is>
          <t>ALT DuPont</t>
        </is>
      </c>
      <c r="E100" s="11" t="inlineStr">
        <is>
          <t>C132:F132</t>
        </is>
      </c>
      <c r="F100" s="11" t="inlineStr">
        <is>
          <t>—</t>
        </is>
      </c>
    </row>
    <row r="101">
      <c r="A101" s="11" t="n">
        <v>105</v>
      </c>
      <c r="B101" s="11" t="inlineStr">
        <is>
          <t>Average Intangible Assets / Revenue</t>
        </is>
      </c>
      <c r="C101" s="11" t="inlineStr">
        <is>
          <t>2022–2025 (4 cells)</t>
        </is>
      </c>
      <c r="D101" s="11" t="inlineStr">
        <is>
          <t>ALT DuPont</t>
        </is>
      </c>
      <c r="E101" s="11" t="inlineStr">
        <is>
          <t>C133:F133</t>
        </is>
      </c>
      <c r="F101" s="11" t="inlineStr">
        <is>
          <t>average_intangible_assets, revenue_link</t>
        </is>
      </c>
    </row>
    <row r="102">
      <c r="A102" s="11" t="n">
        <v>106</v>
      </c>
      <c r="B102" s="11" t="inlineStr">
        <is>
          <t>Change in Goodwill &amp; Intangibles</t>
        </is>
      </c>
      <c r="C102" s="11" t="inlineStr">
        <is>
          <t>2022–2025 (4 cells)</t>
        </is>
      </c>
      <c r="D102" s="11" t="inlineStr">
        <is>
          <t>ALT DuPont</t>
        </is>
      </c>
      <c r="E102" s="11" t="inlineStr">
        <is>
          <t>C135:F135</t>
        </is>
      </c>
      <c r="F102" s="11" t="inlineStr">
        <is>
          <t>—</t>
        </is>
      </c>
    </row>
    <row r="103">
      <c r="A103" s="11" t="n">
        <v>107</v>
      </c>
      <c r="B103" s="11" t="inlineStr">
        <is>
          <t>Goodwill &amp; Intangibles Growth</t>
        </is>
      </c>
      <c r="C103" s="11" t="inlineStr">
        <is>
          <t>2022–2025 (4 cells)</t>
        </is>
      </c>
      <c r="D103" s="11" t="inlineStr">
        <is>
          <t>ALT DuPont</t>
        </is>
      </c>
      <c r="E103" s="11" t="inlineStr">
        <is>
          <t>C136:F136</t>
        </is>
      </c>
      <c r="F103" s="11" t="inlineStr">
        <is>
          <t>goodwill_and_intangibles_change</t>
        </is>
      </c>
    </row>
    <row r="104">
      <c r="A104" s="11" t="n">
        <v>108</v>
      </c>
      <c r="B104" s="11" t="inlineStr">
        <is>
          <t>Average Goodwill &amp; Intangibles</t>
        </is>
      </c>
      <c r="C104" s="11" t="inlineStr">
        <is>
          <t>2022–2025 (4 cells)</t>
        </is>
      </c>
      <c r="D104" s="11" t="inlineStr">
        <is>
          <t>ALT DuPont</t>
        </is>
      </c>
      <c r="E104" s="11" t="inlineStr">
        <is>
          <t>C137:F137</t>
        </is>
      </c>
      <c r="F104" s="11" t="inlineStr">
        <is>
          <t>—</t>
        </is>
      </c>
    </row>
    <row r="105">
      <c r="A105" s="11" t="n">
        <v>109</v>
      </c>
      <c r="B105" s="11" t="inlineStr">
        <is>
          <t>Average Goodwill &amp; Intangibles / Revenue</t>
        </is>
      </c>
      <c r="C105" s="11" t="inlineStr">
        <is>
          <t>2022–2025 (4 cells)</t>
        </is>
      </c>
      <c r="D105" s="11" t="inlineStr">
        <is>
          <t>ALT DuPont</t>
        </is>
      </c>
      <c r="E105" s="11" t="inlineStr">
        <is>
          <t>C138:F138</t>
        </is>
      </c>
      <c r="F105" s="11" t="inlineStr">
        <is>
          <t>average_goodwill_and_intangibles, revenue_link</t>
        </is>
      </c>
    </row>
    <row r="106">
      <c r="A106" s="11" t="n">
        <v>110</v>
      </c>
      <c r="B106" s="11" t="inlineStr">
        <is>
          <t>Intangible Payments</t>
        </is>
      </c>
      <c r="C106" s="11" t="inlineStr">
        <is>
          <t>2021–2025 (5 cells)</t>
        </is>
      </c>
      <c r="D106" s="11" t="inlineStr">
        <is>
          <t>ALT DuPont</t>
        </is>
      </c>
      <c r="E106" s="11" t="inlineStr">
        <is>
          <t>B140:F140</t>
        </is>
      </c>
      <c r="F106" s="11" t="inlineStr">
        <is>
          <t>—</t>
        </is>
      </c>
    </row>
    <row r="107">
      <c r="A107" s="11" t="n">
        <v>111</v>
      </c>
      <c r="B107" s="11" t="inlineStr">
        <is>
          <t>Intangible Payments / Revenue</t>
        </is>
      </c>
      <c r="C107" s="11" t="inlineStr">
        <is>
          <t>2021–2025 (5 cells)</t>
        </is>
      </c>
      <c r="D107" s="11" t="inlineStr">
        <is>
          <t>ALT DuPont</t>
        </is>
      </c>
      <c r="E107" s="11" t="inlineStr">
        <is>
          <t>B141:F141</t>
        </is>
      </c>
      <c r="F107" s="11" t="inlineStr">
        <is>
          <t>intangible_payments, revenue_link</t>
        </is>
      </c>
    </row>
    <row r="108">
      <c r="A108" s="11" t="n">
        <v>112</v>
      </c>
      <c r="B108" s="11" t="inlineStr">
        <is>
          <t>Change in Right-of-use Assets</t>
        </is>
      </c>
      <c r="C108" s="11" t="inlineStr">
        <is>
          <t>2022–2025 (4 cells)</t>
        </is>
      </c>
      <c r="D108" s="11" t="inlineStr">
        <is>
          <t>ALT DuPont</t>
        </is>
      </c>
      <c r="E108" s="11" t="inlineStr">
        <is>
          <t>C62:F62</t>
        </is>
      </c>
      <c r="F108" s="11" t="inlineStr">
        <is>
          <t>—</t>
        </is>
      </c>
    </row>
    <row r="109">
      <c r="A109" s="11" t="n">
        <v>113</v>
      </c>
      <c r="B109" s="11" t="inlineStr">
        <is>
          <t>Right-of-use Assets Growth</t>
        </is>
      </c>
      <c r="C109" s="11" t="inlineStr">
        <is>
          <t>2022–2025 (4 cells)</t>
        </is>
      </c>
      <c r="D109" s="11" t="inlineStr">
        <is>
          <t>ALT DuPont</t>
        </is>
      </c>
      <c r="E109" s="11" t="inlineStr">
        <is>
          <t>C63:F63</t>
        </is>
      </c>
      <c r="F109" s="11" t="inlineStr">
        <is>
          <t>rou_assets_change</t>
        </is>
      </c>
    </row>
    <row r="110">
      <c r="A110" s="11" t="n">
        <v>114</v>
      </c>
      <c r="B110" s="11" t="inlineStr">
        <is>
          <t>Average Right-of-use Assets</t>
        </is>
      </c>
      <c r="C110" s="11" t="inlineStr">
        <is>
          <t>2022–2025 (4 cells)</t>
        </is>
      </c>
      <c r="D110" s="11" t="inlineStr">
        <is>
          <t>ALT DuPont</t>
        </is>
      </c>
      <c r="E110" s="11" t="inlineStr">
        <is>
          <t>C64:F64</t>
        </is>
      </c>
      <c r="F110" s="11" t="inlineStr">
        <is>
          <t>—</t>
        </is>
      </c>
    </row>
    <row r="111">
      <c r="A111" s="11" t="n">
        <v>115</v>
      </c>
      <c r="B111" s="11" t="inlineStr">
        <is>
          <t>Average Right-of-use Assets / Revenue</t>
        </is>
      </c>
      <c r="C111" s="11" t="inlineStr">
        <is>
          <t>2022–2025 (4 cells)</t>
        </is>
      </c>
      <c r="D111" s="11" t="inlineStr">
        <is>
          <t>ALT DuPont</t>
        </is>
      </c>
      <c r="E111" s="11" t="inlineStr">
        <is>
          <t>C65:F65</t>
        </is>
      </c>
      <c r="F111" s="11" t="inlineStr">
        <is>
          <t>average_rou_assets, revenue_link</t>
        </is>
      </c>
    </row>
    <row r="112">
      <c r="A112" s="11" t="n">
        <v>116</v>
      </c>
      <c r="B112" s="11" t="inlineStr">
        <is>
          <t>Net Deferred-Tax Asset Position (DTA − DTL)</t>
        </is>
      </c>
      <c r="C112" s="11" t="inlineStr">
        <is>
          <t>2021–2025 (5 cells)</t>
        </is>
      </c>
      <c r="D112" s="11" t="inlineStr">
        <is>
          <t>ALT DuPont</t>
        </is>
      </c>
      <c r="E112" s="11" t="inlineStr">
        <is>
          <t>B70:F70</t>
        </is>
      </c>
      <c r="F112" s="11" t="inlineStr">
        <is>
          <t>—</t>
        </is>
      </c>
    </row>
    <row r="113">
      <c r="A113" s="11" t="n">
        <v>117</v>
      </c>
      <c r="B113" s="11" t="inlineStr">
        <is>
          <t>Change in Deferred Tax Assets</t>
        </is>
      </c>
      <c r="C113" s="11" t="inlineStr">
        <is>
          <t>2022–2025 (4 cells)</t>
        </is>
      </c>
      <c r="D113" s="11" t="inlineStr">
        <is>
          <t>ALT DuPont</t>
        </is>
      </c>
      <c r="E113" s="11" t="inlineStr">
        <is>
          <t>C71:F71</t>
        </is>
      </c>
      <c r="F113" s="11" t="inlineStr">
        <is>
          <t>—</t>
        </is>
      </c>
    </row>
    <row r="114">
      <c r="A114" s="11" t="n">
        <v>118</v>
      </c>
      <c r="B114" s="11" t="inlineStr">
        <is>
          <t>Change in Deferred Tax Liabilities</t>
        </is>
      </c>
      <c r="C114" s="11" t="inlineStr">
        <is>
          <t>2022–2025 (4 cells)</t>
        </is>
      </c>
      <c r="D114" s="11" t="inlineStr">
        <is>
          <t>ALT DuPont</t>
        </is>
      </c>
      <c r="E114" s="11" t="inlineStr">
        <is>
          <t>C72:F72</t>
        </is>
      </c>
      <c r="F114" s="11" t="inlineStr">
        <is>
          <t>—</t>
        </is>
      </c>
    </row>
    <row r="115">
      <c r="A115" s="11" t="n">
        <v>119</v>
      </c>
      <c r="B115" s="11" t="inlineStr">
        <is>
          <t>Change in Net Deferred-Tax Asset Position</t>
        </is>
      </c>
      <c r="C115" s="11" t="inlineStr">
        <is>
          <t>2022–2025 (4 cells)</t>
        </is>
      </c>
      <c r="D115" s="11" t="inlineStr">
        <is>
          <t>ALT DuPont</t>
        </is>
      </c>
      <c r="E115" s="11" t="inlineStr">
        <is>
          <t>C73:F73</t>
        </is>
      </c>
      <c r="F115" s="11" t="inlineStr">
        <is>
          <t>net_deferred_tax_position</t>
        </is>
      </c>
    </row>
    <row r="116">
      <c r="A116" s="11" t="n">
        <v>120</v>
      </c>
      <c r="B116" s="11" t="inlineStr">
        <is>
          <t>PP&amp;E Capex (−reported)</t>
        </is>
      </c>
      <c r="C116" s="11" t="inlineStr">
        <is>
          <t>2021–2025 (5 cells)</t>
        </is>
      </c>
      <c r="D116" s="11" t="inlineStr">
        <is>
          <t>ALT DuPont</t>
        </is>
      </c>
      <c r="E116" s="11" t="inlineStr">
        <is>
          <t>B77:F77</t>
        </is>
      </c>
      <c r="F116" s="11" t="inlineStr">
        <is>
          <t>—</t>
        </is>
      </c>
    </row>
    <row r="117">
      <c r="A117" s="11" t="n">
        <v>121</v>
      </c>
      <c r="B117" s="11" t="inlineStr">
        <is>
          <t>PP&amp;E Capex / Revenue</t>
        </is>
      </c>
      <c r="C117" s="11" t="inlineStr">
        <is>
          <t>2021–2025 (5 cells)</t>
        </is>
      </c>
      <c r="D117" s="11" t="inlineStr">
        <is>
          <t>ALT DuPont</t>
        </is>
      </c>
      <c r="E117" s="11" t="inlineStr">
        <is>
          <t>B78:F78</t>
        </is>
      </c>
      <c r="F117" s="11" t="inlineStr">
        <is>
          <t>ppe_capex, revenue_link</t>
        </is>
      </c>
    </row>
    <row r="118">
      <c r="A118" s="11" t="n">
        <v>122</v>
      </c>
      <c r="B118" s="11" t="inlineStr">
        <is>
          <t>Lease Repayments (−reported)</t>
        </is>
      </c>
      <c r="C118" s="11" t="inlineStr">
        <is>
          <t>2021–2025 (5 cells)</t>
        </is>
      </c>
      <c r="D118" s="11" t="inlineStr">
        <is>
          <t>ALT DuPont</t>
        </is>
      </c>
      <c r="E118" s="11" t="inlineStr">
        <is>
          <t>B87:F87</t>
        </is>
      </c>
      <c r="F118" s="11" t="inlineStr">
        <is>
          <t>—</t>
        </is>
      </c>
    </row>
    <row r="119">
      <c r="A119" s="11" t="n">
        <v>123</v>
      </c>
      <c r="B119" s="11" t="inlineStr">
        <is>
          <t>Lease Repayments / Revenue</t>
        </is>
      </c>
      <c r="C119" s="11" t="inlineStr">
        <is>
          <t>2021–2025 (5 cells)</t>
        </is>
      </c>
      <c r="D119" s="11" t="inlineStr">
        <is>
          <t>ALT DuPont</t>
        </is>
      </c>
      <c r="E119" s="11" t="inlineStr">
        <is>
          <t>B88:F88</t>
        </is>
      </c>
      <c r="F119" s="11" t="inlineStr">
        <is>
          <t>lease_repayments, revenue_link</t>
        </is>
      </c>
    </row>
    <row r="120">
      <c r="A120" s="11" t="n">
        <v>124</v>
      </c>
      <c r="B120" s="11" t="inlineStr">
        <is>
          <t>Operating cash after PP&amp;E capex</t>
        </is>
      </c>
      <c r="C120" s="11" t="inlineStr">
        <is>
          <t>2021–2025 (5 cells)</t>
        </is>
      </c>
      <c r="D120" s="11" t="inlineStr">
        <is>
          <t>ALT DuPont</t>
        </is>
      </c>
      <c r="E120" s="11" t="inlineStr">
        <is>
          <t>B82:F82</t>
        </is>
      </c>
      <c r="F120" s="11" t="inlineStr">
        <is>
          <t>ppe_capex</t>
        </is>
      </c>
    </row>
    <row r="121">
      <c r="A121" s="11" t="n">
        <v>125</v>
      </c>
      <c r="B121" s="11" t="inlineStr">
        <is>
          <t>Operating cash after PP&amp;E capex / Revenue</t>
        </is>
      </c>
      <c r="C121" s="11" t="inlineStr">
        <is>
          <t>2021–2025 (5 cells)</t>
        </is>
      </c>
      <c r="D121" s="11" t="inlineStr">
        <is>
          <t>ALT DuPont</t>
        </is>
      </c>
      <c r="E121" s="11" t="inlineStr">
        <is>
          <t>B83:F83</t>
        </is>
      </c>
      <c r="F121" s="11" t="inlineStr">
        <is>
          <t>cash_after_ppe_capex, revenue_link</t>
        </is>
      </c>
    </row>
    <row r="122">
      <c r="A122" s="11" t="n">
        <v>135</v>
      </c>
      <c r="B122" s="11" t="inlineStr">
        <is>
          <t>Cash movement from flows</t>
        </is>
      </c>
      <c r="C122" s="11" t="inlineStr">
        <is>
          <t>2021–2025 (5 cells)</t>
        </is>
      </c>
      <c r="D122" s="11" t="inlineStr">
        <is>
          <t>ALT DuPont</t>
        </is>
      </c>
      <c r="E122" s="11" t="inlineStr">
        <is>
          <t>B95:F95</t>
        </is>
      </c>
      <c r="F122" s="11" t="inlineStr">
        <is>
          <t>—</t>
        </is>
      </c>
    </row>
    <row r="123">
      <c r="A123" s="11" t="n">
        <v>136</v>
      </c>
      <c r="B123" s="11" t="inlineStr">
        <is>
          <t>Cash movement difference</t>
        </is>
      </c>
      <c r="C123" s="11" t="inlineStr">
        <is>
          <t>2021–2025 (5 cells)</t>
        </is>
      </c>
      <c r="D123" s="11" t="inlineStr">
        <is>
          <t>ALT DuPont</t>
        </is>
      </c>
      <c r="E123" s="11" t="inlineStr">
        <is>
          <t>B97:F97</t>
        </is>
      </c>
      <c r="F123" s="11" t="inlineStr">
        <is>
          <t>cash_movement_from_flows</t>
        </is>
      </c>
    </row>
    <row r="124">
      <c r="A124" s="11" t="n">
        <v>137</v>
      </c>
      <c r="B124" s="11" t="inlineStr">
        <is>
          <t>Cash ending from flows</t>
        </is>
      </c>
      <c r="C124" s="11" t="inlineStr">
        <is>
          <t>2021–2025 (5 cells)</t>
        </is>
      </c>
      <c r="D124" s="11" t="inlineStr">
        <is>
          <t>ALT DuPont</t>
        </is>
      </c>
      <c r="E124" s="11" t="inlineStr">
        <is>
          <t>B99:F99</t>
        </is>
      </c>
      <c r="F124" s="11" t="inlineStr">
        <is>
          <t>cash_movement_from_flows</t>
        </is>
      </c>
    </row>
    <row r="125">
      <c r="A125" s="11" t="n">
        <v>138</v>
      </c>
      <c r="B125" s="11" t="inlineStr">
        <is>
          <t>Cash ending difference</t>
        </is>
      </c>
      <c r="C125" s="11" t="inlineStr">
        <is>
          <t>2021–2025 (5 cells)</t>
        </is>
      </c>
      <c r="D125" s="11" t="inlineStr">
        <is>
          <t>ALT DuPont</t>
        </is>
      </c>
      <c r="E125" s="11" t="inlineStr">
        <is>
          <t>B101:F101</t>
        </is>
      </c>
      <c r="F125" s="11" t="inlineStr">
        <is>
          <t>cash_ending_from_flows</t>
        </is>
      </c>
    </row>
    <row r="126">
      <c r="A126" s="11" t="n">
        <v>139</v>
      </c>
      <c r="B126" s="11" t="inlineStr">
        <is>
          <t>Gross margin</t>
        </is>
      </c>
      <c r="C126" s="11" t="inlineStr">
        <is>
          <t>2021–2025 (5 cells)</t>
        </is>
      </c>
      <c r="D126" s="11" t="inlineStr">
        <is>
          <t>ALT DuPont</t>
        </is>
      </c>
      <c r="E126" s="11" t="inlineStr">
        <is>
          <t>B107:F107</t>
        </is>
      </c>
      <c r="F126" s="11" t="inlineStr">
        <is>
          <t>—</t>
        </is>
      </c>
    </row>
    <row r="127">
      <c r="A127" s="11" t="n">
        <v>140</v>
      </c>
      <c r="B127" s="11" t="inlineStr">
        <is>
          <t>Reported operating margin</t>
        </is>
      </c>
      <c r="C127" s="11" t="inlineStr">
        <is>
          <t>2021–2025 (5 cells)</t>
        </is>
      </c>
      <c r="D127" s="11" t="inlineStr">
        <is>
          <t>ALT DuPont</t>
        </is>
      </c>
      <c r="E127" s="11" t="inlineStr">
        <is>
          <t>B108:F108</t>
        </is>
      </c>
      <c r="F127" s="11" t="inlineStr">
        <is>
          <t>—</t>
        </is>
      </c>
    </row>
    <row r="128">
      <c r="A128" s="11" t="n">
        <v>141</v>
      </c>
      <c r="B128" s="11" t="inlineStr">
        <is>
          <t>Net operating expense burden</t>
        </is>
      </c>
      <c r="C128" s="11" t="inlineStr">
        <is>
          <t>2021–2025 (5 cells)</t>
        </is>
      </c>
      <c r="D128" s="11" t="inlineStr">
        <is>
          <t>ALT DuPont</t>
        </is>
      </c>
      <c r="E128" s="11" t="inlineStr">
        <is>
          <t>B109:F109</t>
        </is>
      </c>
      <c r="F128" s="11" t="inlineStr">
        <is>
          <t>—</t>
        </is>
      </c>
    </row>
    <row r="129">
      <c r="A129" s="11" t="n">
        <v>142</v>
      </c>
      <c r="B129" s="11" t="inlineStr">
        <is>
          <t>Change in gross margin</t>
        </is>
      </c>
      <c r="C129" s="11" t="inlineStr">
        <is>
          <t>2022–2025 (4 cells)</t>
        </is>
      </c>
      <c r="D129" s="11" t="inlineStr">
        <is>
          <t>ALT DuPont</t>
        </is>
      </c>
      <c r="E129" s="11" t="inlineStr">
        <is>
          <t>C110:F110</t>
        </is>
      </c>
      <c r="F129" s="11" t="inlineStr">
        <is>
          <t>gross_margin</t>
        </is>
      </c>
    </row>
    <row r="130">
      <c r="A130" s="11" t="n">
        <v>143</v>
      </c>
      <c r="B130" s="11" t="inlineStr">
        <is>
          <t>Change in net operating expense burden</t>
        </is>
      </c>
      <c r="C130" s="11" t="inlineStr">
        <is>
          <t>2022–2025 (4 cells)</t>
        </is>
      </c>
      <c r="D130" s="11" t="inlineStr">
        <is>
          <t>ALT DuPont</t>
        </is>
      </c>
      <c r="E130" s="11" t="inlineStr">
        <is>
          <t>C111:F111</t>
        </is>
      </c>
      <c r="F130" s="11" t="inlineStr">
        <is>
          <t>net_operating_expense_burden</t>
        </is>
      </c>
    </row>
    <row r="131">
      <c r="A131" s="11" t="n">
        <v>144</v>
      </c>
      <c r="B131" s="11" t="inlineStr">
        <is>
          <t>Reconstructed change in reported operating margin</t>
        </is>
      </c>
      <c r="C131" s="11" t="inlineStr">
        <is>
          <t>2022–2025 (4 cells)</t>
        </is>
      </c>
      <c r="D131" s="11" t="inlineStr">
        <is>
          <t>ALT DuPont</t>
        </is>
      </c>
      <c r="E131" s="11" t="inlineStr">
        <is>
          <t>C112:F112</t>
        </is>
      </c>
      <c r="F131" s="11" t="inlineStr">
        <is>
          <t>gross_margin_change, net_operating_expense_burden_change</t>
        </is>
      </c>
    </row>
    <row r="132">
      <c r="A132" s="11" t="n">
        <v>145</v>
      </c>
      <c r="B132" s="11" t="inlineStr">
        <is>
          <t>Inventory intensity</t>
        </is>
      </c>
      <c r="C132" s="11" t="inlineStr">
        <is>
          <t>2021–2025 (5 cells)</t>
        </is>
      </c>
      <c r="D132" s="11" t="inlineStr">
        <is>
          <t>ALT DuPont</t>
        </is>
      </c>
      <c r="E132" s="11" t="inlineStr">
        <is>
          <t>B117:F117</t>
        </is>
      </c>
      <c r="F132" s="11" t="inlineStr">
        <is>
          <t>—</t>
        </is>
      </c>
    </row>
    <row r="133">
      <c r="A133" s="11" t="n">
        <v>146</v>
      </c>
      <c r="B133" s="11" t="inlineStr">
        <is>
          <t>Change in inventory</t>
        </is>
      </c>
      <c r="C133" s="11" t="inlineStr">
        <is>
          <t>2022–2025 (4 cells)</t>
        </is>
      </c>
      <c r="D133" s="11" t="inlineStr">
        <is>
          <t>ALT DuPont</t>
        </is>
      </c>
      <c r="E133" s="11" t="inlineStr">
        <is>
          <t>C118:F118</t>
        </is>
      </c>
      <c r="F133" s="11" t="inlineStr">
        <is>
          <t>—</t>
        </is>
      </c>
    </row>
    <row r="134">
      <c r="A134" s="11" t="n">
        <v>147</v>
      </c>
      <c r="B134" s="11" t="inlineStr">
        <is>
          <t>Revenue-scale effect on inventory</t>
        </is>
      </c>
      <c r="C134" s="11" t="inlineStr">
        <is>
          <t>2022–2025 (4 cells)</t>
        </is>
      </c>
      <c r="D134" s="11" t="inlineStr">
        <is>
          <t>ALT DuPont</t>
        </is>
      </c>
      <c r="E134" s="11" t="inlineStr">
        <is>
          <t>C119:F119</t>
        </is>
      </c>
      <c r="F134" s="11" t="inlineStr">
        <is>
          <t>inventory_intensity</t>
        </is>
      </c>
    </row>
    <row r="135">
      <c r="A135" s="11" t="n">
        <v>148</v>
      </c>
      <c r="B135" s="11" t="inlineStr">
        <is>
          <t>Intensity effect on inventory</t>
        </is>
      </c>
      <c r="C135" s="11" t="inlineStr">
        <is>
          <t>2022–2025 (4 cells)</t>
        </is>
      </c>
      <c r="D135" s="11" t="inlineStr">
        <is>
          <t>ALT DuPont</t>
        </is>
      </c>
      <c r="E135" s="11" t="inlineStr">
        <is>
          <t>C120:F120</t>
        </is>
      </c>
      <c r="F135" s="11" t="inlineStr">
        <is>
          <t>inventory_intensity</t>
        </is>
      </c>
    </row>
    <row r="136">
      <c r="A136" s="11" t="n">
        <v>149</v>
      </c>
      <c r="B136" s="11" t="inlineStr">
        <is>
          <t>Reconstructed change in inventory</t>
        </is>
      </c>
      <c r="C136" s="11" t="inlineStr">
        <is>
          <t>2022–2025 (4 cells)</t>
        </is>
      </c>
      <c r="D136" s="11" t="inlineStr">
        <is>
          <t>ALT DuPont</t>
        </is>
      </c>
      <c r="E136" s="11" t="inlineStr">
        <is>
          <t>C121:F121</t>
        </is>
      </c>
      <c r="F136" s="11" t="inlineStr">
        <is>
          <t>inventory_revenue_scale_effect, inventory_intensity_effect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FAST RETAILING CO., LTD. (6288.HK)</t>
        </is>
      </c>
    </row>
    <row r="2">
      <c r="A2" s="11" t="inlineStr">
        <is>
          <t>Statement: Income Statement</t>
        </is>
      </c>
    </row>
    <row r="3">
      <c r="A3" s="11" t="inlineStr">
        <is>
          <t>Units: JPY in Millions</t>
        </is>
      </c>
    </row>
    <row r="4">
      <c r="A4" s="11" t="inlineStr">
        <is>
          <t>Source: manual ingestion (JP)</t>
        </is>
      </c>
    </row>
    <row r="6">
      <c r="A6" s="11" t="inlineStr">
        <is>
          <t>Line Item</t>
        </is>
      </c>
      <c r="B6" s="12" t="n">
        <v>44439</v>
      </c>
      <c r="C6" s="12" t="n">
        <v>44804</v>
      </c>
      <c r="D6" s="12" t="n">
        <v>45169</v>
      </c>
      <c r="E6" s="12" t="n">
        <v>45535</v>
      </c>
      <c r="F6" s="12" t="n">
        <v>45900</v>
      </c>
    </row>
    <row r="7">
      <c r="A7" s="11" t="inlineStr">
        <is>
          <t>Basic (yen, dollar)</t>
        </is>
      </c>
      <c r="B7" s="13" t="n">
        <v>1663.12</v>
      </c>
      <c r="C7" s="13" t="n">
        <v>891.77</v>
      </c>
      <c r="D7" s="13" t="n">
        <v>966.09</v>
      </c>
      <c r="E7" s="13" t="n">
        <v>1212.88</v>
      </c>
      <c r="F7" s="13" t="n">
        <v>1411.44</v>
      </c>
    </row>
    <row r="8">
      <c r="A8" s="11" t="inlineStr">
        <is>
          <t>Cost of sales</t>
        </is>
      </c>
      <c r="B8" s="13" t="n">
        <v>-1059036</v>
      </c>
      <c r="C8" s="13" t="n">
        <v>-1094263</v>
      </c>
      <c r="D8" s="13" t="n">
        <v>-1330196</v>
      </c>
      <c r="E8" s="13" t="n">
        <v>-1430764</v>
      </c>
      <c r="F8" s="13" t="n">
        <v>-1571681</v>
      </c>
    </row>
    <row r="9">
      <c r="A9" s="11" t="inlineStr">
        <is>
          <t>Diluted (yen, dollar)</t>
        </is>
      </c>
      <c r="B9" s="13" t="n">
        <v>1660.44</v>
      </c>
      <c r="C9" s="13" t="n">
        <v>890.4299999999999</v>
      </c>
      <c r="D9" s="13" t="n">
        <v>964.48</v>
      </c>
      <c r="E9" s="13" t="n">
        <v>1210.81</v>
      </c>
      <c r="F9" s="13" t="n">
        <v>1409.32</v>
      </c>
    </row>
    <row r="10">
      <c r="A10" s="11" t="inlineStr">
        <is>
          <t>Finance costs</t>
        </is>
      </c>
      <c r="B10" s="13" t="n">
        <v>-6998</v>
      </c>
      <c r="C10" s="13" t="n">
        <v>-7560</v>
      </c>
      <c r="D10" s="13" t="n">
        <v>-9888</v>
      </c>
      <c r="E10" s="13" t="n">
        <v>-11101</v>
      </c>
      <c r="F10" s="13" t="n">
        <v>-12834</v>
      </c>
    </row>
    <row r="11">
      <c r="A11" s="11" t="inlineStr">
        <is>
          <t>Finance income</t>
        </is>
      </c>
      <c r="B11" s="13" t="n">
        <v>23859</v>
      </c>
      <c r="C11" s="13" t="n">
        <v>123820</v>
      </c>
      <c r="D11" s="13" t="n">
        <v>66716</v>
      </c>
      <c r="E11" s="13" t="n">
        <v>67399</v>
      </c>
      <c r="F11" s="13" t="n">
        <v>99143</v>
      </c>
    </row>
    <row r="12">
      <c r="A12" s="11" t="inlineStr">
        <is>
          <t>Gross profit</t>
        </is>
      </c>
      <c r="B12" s="13" t="n">
        <v>1073955</v>
      </c>
      <c r="C12" s="13" t="n">
        <v>1206859</v>
      </c>
      <c r="D12" s="13" t="n">
        <v>1436360</v>
      </c>
      <c r="E12" s="13" t="n">
        <v>1673071</v>
      </c>
      <c r="F12" s="13" t="n">
        <v>1828858</v>
      </c>
    </row>
    <row r="13">
      <c r="A13" s="11" t="inlineStr">
        <is>
          <t>Income tax expense</t>
        </is>
      </c>
      <c r="B13" s="13" t="n">
        <v>-90188</v>
      </c>
      <c r="C13" s="13" t="n">
        <v>-128834</v>
      </c>
      <c r="D13" s="13" t="n">
        <v>-122746</v>
      </c>
      <c r="E13" s="13" t="n">
        <v>-163596</v>
      </c>
      <c r="F13" s="13" t="n">
        <v>-191421</v>
      </c>
    </row>
    <row r="14">
      <c r="A14" s="11" t="inlineStr">
        <is>
          <t>Non-controlling interests</t>
        </is>
      </c>
      <c r="B14" s="13" t="n">
        <v>5836</v>
      </c>
      <c r="C14" s="13" t="n">
        <v>11415</v>
      </c>
      <c r="D14" s="13" t="n">
        <v>18941</v>
      </c>
      <c r="E14" s="13" t="n">
        <v>21605</v>
      </c>
      <c r="F14" s="13" t="n">
        <v>26143</v>
      </c>
    </row>
    <row r="15">
      <c r="A15" s="11" t="inlineStr">
        <is>
          <t>Operating profit</t>
        </is>
      </c>
      <c r="B15" s="13" t="n">
        <v>249011</v>
      </c>
      <c r="C15" s="13" t="n">
        <v>297325</v>
      </c>
      <c r="D15" s="13" t="n">
        <v>381090</v>
      </c>
      <c r="E15" s="13" t="n">
        <v>500904</v>
      </c>
      <c r="F15" s="13" t="n">
        <v>564265</v>
      </c>
    </row>
    <row r="16">
      <c r="A16" s="11" t="inlineStr">
        <is>
          <t>Other expenses</t>
        </is>
      </c>
      <c r="B16" s="13" t="n">
        <v>-25315</v>
      </c>
      <c r="C16" s="13" t="n">
        <v>-27391</v>
      </c>
      <c r="D16" s="13" t="n">
        <v>-14238</v>
      </c>
      <c r="E16" s="13" t="n">
        <v>-6256</v>
      </c>
      <c r="F16" s="13" t="n">
        <v>-8087</v>
      </c>
    </row>
    <row r="17">
      <c r="A17" s="11" t="inlineStr">
        <is>
          <t>Other income</t>
        </is>
      </c>
      <c r="B17" s="13" t="n">
        <v>18238</v>
      </c>
      <c r="C17" s="13" t="n">
        <v>16951</v>
      </c>
      <c r="D17" s="13" t="n">
        <v>12197</v>
      </c>
      <c r="E17" s="13" t="n">
        <v>20384</v>
      </c>
      <c r="F17" s="13" t="n">
        <v>19491</v>
      </c>
    </row>
    <row r="18">
      <c r="A18" s="11" t="inlineStr">
        <is>
          <t>Owners of the Parent</t>
        </is>
      </c>
      <c r="B18" s="13" t="n">
        <v>169847</v>
      </c>
      <c r="C18" s="13" t="n">
        <v>273335</v>
      </c>
      <c r="D18" s="13" t="n">
        <v>296229</v>
      </c>
      <c r="E18" s="13" t="n">
        <v>371999</v>
      </c>
      <c r="F18" s="13" t="n">
        <v>433009</v>
      </c>
    </row>
    <row r="19">
      <c r="A19" s="11" t="inlineStr">
        <is>
          <t>Profit before income taxes</t>
        </is>
      </c>
      <c r="B19" s="13" t="n">
        <v>265872</v>
      </c>
      <c r="C19" s="13" t="n">
        <v>413584</v>
      </c>
      <c r="D19" s="13" t="n">
        <v>437918</v>
      </c>
      <c r="E19" s="13" t="n">
        <v>557201</v>
      </c>
      <c r="F19" s="13" t="n">
        <v>650574</v>
      </c>
    </row>
    <row r="20">
      <c r="A20" s="11" t="inlineStr">
        <is>
          <t>Profit for the year</t>
        </is>
      </c>
      <c r="B20" s="13" t="n">
        <v>175684</v>
      </c>
      <c r="C20" s="13" t="n">
        <v>284750</v>
      </c>
      <c r="D20" s="13" t="n">
        <v>315171</v>
      </c>
      <c r="E20" s="13" t="n">
        <v>393605</v>
      </c>
      <c r="F20" s="13" t="n">
        <v>459153</v>
      </c>
    </row>
    <row r="21">
      <c r="A21" s="11" t="inlineStr">
        <is>
          <t>Revenue</t>
        </is>
      </c>
      <c r="B21" s="13" t="n">
        <v>2132992</v>
      </c>
      <c r="C21" s="13" t="n">
        <v>2301122</v>
      </c>
      <c r="D21" s="13" t="n">
        <v>2766557</v>
      </c>
      <c r="E21" s="13" t="n">
        <v>3103836</v>
      </c>
      <c r="F21" s="13" t="n">
        <v>3400539</v>
      </c>
    </row>
    <row r="22">
      <c r="A22" s="11" t="inlineStr">
        <is>
          <t>Selling, general and administrative expenses</t>
        </is>
      </c>
      <c r="B22" s="13" t="n">
        <v>-818427</v>
      </c>
      <c r="C22" s="13" t="n">
        <v>-900154</v>
      </c>
      <c r="D22" s="13" t="n">
        <v>-1054368</v>
      </c>
      <c r="E22" s="13" t="n">
        <v>-1187713</v>
      </c>
      <c r="F22" s="13" t="n">
        <v>-1277701</v>
      </c>
    </row>
    <row r="23">
      <c r="A23" s="11" t="inlineStr">
        <is>
          <t>Share of profit of associates accounted for using the equity method</t>
        </is>
      </c>
      <c r="B23" s="13" t="n">
        <v>561</v>
      </c>
      <c r="C23" s="13" t="n">
        <v>1059</v>
      </c>
      <c r="D23" s="13" t="n">
        <v>1139</v>
      </c>
      <c r="E23" s="13" t="n">
        <v>1417</v>
      </c>
      <c r="F23" s="13" t="n">
        <v>1704</v>
      </c>
    </row>
    <row r="25">
      <c r="A25" s="11" t="inlineStr">
        <is>
          <t>SUPPLEMENTAL DISCLOSURES</t>
        </is>
      </c>
    </row>
    <row r="26">
      <c r="A26" s="11" t="inlineStr">
        <is>
          <t>Lease interest expense (reported note)</t>
        </is>
      </c>
      <c r="B26" s="13" t="n">
        <v>4847</v>
      </c>
      <c r="C26" s="13" t="n">
        <v>4757</v>
      </c>
      <c r="D26" s="13" t="n">
        <v>5187</v>
      </c>
      <c r="E26" s="13" t="n">
        <v>6507</v>
      </c>
      <c r="F26" s="13" t="n">
        <v>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FAST RETAILING CO., LTD. (6288.HK)</t>
        </is>
      </c>
    </row>
    <row r="2">
      <c r="A2" s="11" t="inlineStr">
        <is>
          <t>Statement: Balance Sheet</t>
        </is>
      </c>
    </row>
    <row r="3">
      <c r="A3" s="11" t="inlineStr">
        <is>
          <t>Units: JPY in Millions</t>
        </is>
      </c>
    </row>
    <row r="4">
      <c r="A4" s="11" t="inlineStr">
        <is>
          <t>Source: manual ingestion (JP)</t>
        </is>
      </c>
    </row>
    <row r="6">
      <c r="A6" s="11" t="inlineStr">
        <is>
          <t>Line Item</t>
        </is>
      </c>
      <c r="B6" s="12" t="n">
        <v>44439</v>
      </c>
      <c r="C6" s="12" t="n">
        <v>44804</v>
      </c>
      <c r="D6" s="12" t="n">
        <v>45169</v>
      </c>
      <c r="E6" s="12" t="n">
        <v>45535</v>
      </c>
      <c r="F6" s="12" t="n">
        <v>45900</v>
      </c>
    </row>
    <row r="7">
      <c r="A7" s="11" t="inlineStr">
        <is>
          <t>Total assets</t>
        </is>
      </c>
      <c r="B7" s="13" t="n">
        <v>2509976</v>
      </c>
      <c r="C7" s="13" t="n">
        <v>3183762</v>
      </c>
      <c r="D7" s="13" t="n">
        <v>3303694</v>
      </c>
      <c r="E7" s="13" t="n">
        <v>3587565</v>
      </c>
      <c r="F7" s="13" t="n">
        <v>3859353</v>
      </c>
    </row>
    <row r="8">
      <c r="A8" s="11" t="inlineStr">
        <is>
          <t>Cash and cash equivalents</t>
        </is>
      </c>
      <c r="B8" s="13" t="n">
        <v>1177736</v>
      </c>
      <c r="C8" s="13" t="n">
        <v>1358292</v>
      </c>
      <c r="D8" s="13" t="n">
        <v>903280</v>
      </c>
      <c r="E8" s="13" t="n">
        <v>1193560</v>
      </c>
      <c r="F8" s="13" t="n">
        <v>893239</v>
      </c>
    </row>
    <row r="9">
      <c r="A9" s="11" t="inlineStr">
        <is>
          <t>Derivative financial assets</t>
        </is>
      </c>
      <c r="B9" s="13" t="n">
        <v>27103</v>
      </c>
      <c r="C9" s="13" t="n">
        <v>124551</v>
      </c>
      <c r="D9" s="13" t="n">
        <v>132101</v>
      </c>
      <c r="E9" s="13" t="n">
        <v>111658</v>
      </c>
      <c r="F9" s="13" t="n">
        <v>94803</v>
      </c>
    </row>
    <row r="10">
      <c r="A10" s="11" t="inlineStr">
        <is>
          <t>Income taxes receivable</t>
        </is>
      </c>
      <c r="B10" s="13" t="n">
        <v>2992</v>
      </c>
      <c r="C10" s="13" t="n">
        <v>2612</v>
      </c>
      <c r="D10" s="13" t="n">
        <v>23660</v>
      </c>
      <c r="E10" s="13" t="n">
        <v>2210</v>
      </c>
      <c r="F10" s="13" t="n">
        <v>8042</v>
      </c>
    </row>
    <row r="11">
      <c r="A11" s="11" t="inlineStr">
        <is>
          <t>Inventories</t>
        </is>
      </c>
      <c r="B11" s="13" t="n">
        <v>394868</v>
      </c>
      <c r="C11" s="13" t="n">
        <v>485928</v>
      </c>
      <c r="D11" s="13" t="n">
        <v>449254</v>
      </c>
      <c r="E11" s="13" t="n">
        <v>474460</v>
      </c>
      <c r="F11" s="13" t="n">
        <v>510958</v>
      </c>
    </row>
    <row r="12">
      <c r="A12" s="11" t="inlineStr">
        <is>
          <t>Other assets</t>
        </is>
      </c>
      <c r="B12" s="13" t="n">
        <v>15270</v>
      </c>
      <c r="C12" s="13" t="n">
        <v>23835</v>
      </c>
      <c r="D12" s="13" t="n">
        <v>25372</v>
      </c>
      <c r="E12" s="13" t="n">
        <v>26897</v>
      </c>
      <c r="F12" s="13" t="n">
        <v>24662</v>
      </c>
    </row>
    <row r="13">
      <c r="A13" s="11" t="inlineStr">
        <is>
          <t>Other financial assets</t>
        </is>
      </c>
      <c r="B13" s="13" t="n">
        <v>56157</v>
      </c>
      <c r="C13" s="13" t="n">
        <v>123446</v>
      </c>
      <c r="D13" s="13" t="n">
        <v>576194</v>
      </c>
      <c r="E13" s="13" t="n">
        <v>470554</v>
      </c>
      <c r="F13" s="13" t="n">
        <v>899701</v>
      </c>
    </row>
    <row r="14">
      <c r="A14" s="11" t="inlineStr">
        <is>
          <t>Total current assets</t>
        </is>
      </c>
      <c r="B14" s="13" t="n">
        <v>1724674</v>
      </c>
      <c r="C14" s="13" t="n">
        <v>2178851</v>
      </c>
      <c r="D14" s="13" t="n">
        <v>2176695</v>
      </c>
      <c r="E14" s="13" t="n">
        <v>2363271</v>
      </c>
      <c r="F14" s="13" t="n">
        <v>2527815</v>
      </c>
    </row>
    <row r="15">
      <c r="A15" s="11" t="inlineStr">
        <is>
          <t>Trade and other receivables</t>
        </is>
      </c>
      <c r="B15" s="13" t="n">
        <v>50546</v>
      </c>
      <c r="C15" s="13" t="n">
        <v>60184</v>
      </c>
      <c r="D15" s="13" t="n">
        <v>66831</v>
      </c>
      <c r="E15" s="13" t="n">
        <v>83929</v>
      </c>
      <c r="F15" s="13" t="n">
        <v>96407</v>
      </c>
    </row>
    <row r="16">
      <c r="A16" s="11" t="inlineStr">
        <is>
          <t>Current tax liabilities</t>
        </is>
      </c>
      <c r="B16" s="13" t="n">
        <v>38606</v>
      </c>
      <c r="C16" s="13" t="n">
        <v>77162</v>
      </c>
      <c r="D16" s="13" t="n">
        <v>65428</v>
      </c>
      <c r="E16" s="13" t="n">
        <v>65525</v>
      </c>
      <c r="F16" s="13" t="n">
        <v>73072</v>
      </c>
    </row>
    <row r="17">
      <c r="A17" s="11" t="inlineStr">
        <is>
          <t>Derivative financial liabilities</t>
        </is>
      </c>
      <c r="B17" s="13" t="n">
        <v>2493</v>
      </c>
      <c r="C17" s="13" t="n">
        <v>1513</v>
      </c>
      <c r="D17" s="13" t="n">
        <v>3600</v>
      </c>
      <c r="E17" s="13" t="n">
        <v>12716</v>
      </c>
      <c r="F17" s="13" t="n">
        <v>19250</v>
      </c>
    </row>
    <row r="18">
      <c r="A18" s="11" t="inlineStr">
        <is>
          <t>Lease liabilities</t>
        </is>
      </c>
      <c r="B18" s="13" t="n">
        <v>117083</v>
      </c>
      <c r="C18" s="13" t="n">
        <v>123885</v>
      </c>
      <c r="D18" s="13" t="n">
        <v>126992</v>
      </c>
      <c r="E18" s="13" t="n">
        <v>130744</v>
      </c>
      <c r="F18" s="13" t="n">
        <v>126830</v>
      </c>
    </row>
    <row r="19">
      <c r="A19" s="11" t="inlineStr">
        <is>
          <t>Other financial liabilities</t>
        </is>
      </c>
      <c r="B19" s="13" t="n">
        <v>104969</v>
      </c>
      <c r="C19" s="13" t="n">
        <v>209286</v>
      </c>
      <c r="D19" s="13" t="n">
        <v>61913</v>
      </c>
      <c r="E19" s="13" t="n">
        <v>104770</v>
      </c>
      <c r="F19" s="13" t="n">
        <v>150942</v>
      </c>
    </row>
    <row r="20">
      <c r="A20" s="11" t="inlineStr">
        <is>
          <t>Other liabilities</t>
        </is>
      </c>
      <c r="B20" s="13" t="n">
        <v>95652</v>
      </c>
      <c r="C20" s="13" t="n">
        <v>111519</v>
      </c>
      <c r="D20" s="13" t="n">
        <v>129782</v>
      </c>
      <c r="E20" s="13" t="n">
        <v>148201</v>
      </c>
      <c r="F20" s="13" t="n">
        <v>149394</v>
      </c>
    </row>
    <row r="21">
      <c r="A21" s="11" t="inlineStr">
        <is>
          <t>Provisions</t>
        </is>
      </c>
      <c r="B21" s="13" t="n">
        <v>2149</v>
      </c>
      <c r="C21" s="13" t="n">
        <v>2581</v>
      </c>
      <c r="D21" s="13" t="n">
        <v>2642</v>
      </c>
      <c r="E21" s="13" t="n">
        <v>1774</v>
      </c>
      <c r="F21" s="13" t="n">
        <v>1651</v>
      </c>
    </row>
    <row r="22">
      <c r="A22" s="11" t="inlineStr">
        <is>
          <t>Total current liabilities</t>
        </is>
      </c>
      <c r="B22" s="13" t="n">
        <v>581012</v>
      </c>
      <c r="C22" s="13" t="n">
        <v>876242</v>
      </c>
      <c r="D22" s="13" t="n">
        <v>729260</v>
      </c>
      <c r="E22" s="13" t="n">
        <v>852390</v>
      </c>
      <c r="F22" s="13" t="n">
        <v>911291</v>
      </c>
    </row>
    <row r="23">
      <c r="A23" s="11" t="inlineStr">
        <is>
          <t>Trade and other payables</t>
        </is>
      </c>
      <c r="B23" s="13" t="n">
        <v>220057</v>
      </c>
      <c r="C23" s="13" t="n">
        <v>350294</v>
      </c>
      <c r="D23" s="13" t="n">
        <v>338901</v>
      </c>
      <c r="E23" s="13" t="n">
        <v>388656</v>
      </c>
      <c r="F23" s="13" t="n">
        <v>390149</v>
      </c>
    </row>
    <row r="24">
      <c r="A24" s="11" t="inlineStr">
        <is>
          <t>Capital stock</t>
        </is>
      </c>
      <c r="B24" s="13" t="n">
        <v>10273</v>
      </c>
      <c r="C24" s="13" t="n">
        <v>10273</v>
      </c>
      <c r="D24" s="13" t="n">
        <v>10273</v>
      </c>
      <c r="E24" s="13" t="n">
        <v>10273</v>
      </c>
      <c r="F24" s="13" t="n">
        <v>10273</v>
      </c>
    </row>
    <row r="25">
      <c r="A25" s="11" t="inlineStr">
        <is>
          <t>Capital surplus</t>
        </is>
      </c>
      <c r="B25" s="13" t="n">
        <v>25360</v>
      </c>
      <c r="C25" s="13" t="n">
        <v>27834</v>
      </c>
      <c r="D25" s="13" t="n">
        <v>28531</v>
      </c>
      <c r="E25" s="13" t="n">
        <v>29712</v>
      </c>
      <c r="F25" s="13" t="n">
        <v>30998</v>
      </c>
    </row>
    <row r="26">
      <c r="A26" s="11" t="inlineStr">
        <is>
          <t>Equity attributable to owners of the Parent</t>
        </is>
      </c>
      <c r="B26" s="13" t="n">
        <v>1116484</v>
      </c>
      <c r="C26" s="13" t="n">
        <v>1561652</v>
      </c>
      <c r="D26" s="13" t="n">
        <v>1821405</v>
      </c>
      <c r="E26" s="13" t="n">
        <v>2016535</v>
      </c>
      <c r="F26" s="13" t="n">
        <v>2273115</v>
      </c>
    </row>
    <row r="27">
      <c r="A27" s="11" t="inlineStr">
        <is>
          <t>Non-controlling interests</t>
        </is>
      </c>
      <c r="B27" s="13" t="n">
        <v>45813</v>
      </c>
      <c r="C27" s="13" t="n">
        <v>53750</v>
      </c>
      <c r="D27" s="13" t="n">
        <v>51955</v>
      </c>
      <c r="E27" s="13" t="n">
        <v>51718</v>
      </c>
      <c r="F27" s="13" t="n">
        <v>54385</v>
      </c>
    </row>
    <row r="28">
      <c r="A28" s="11" t="inlineStr">
        <is>
          <t>Other components of equity</t>
        </is>
      </c>
      <c r="B28" s="13" t="n">
        <v>41031</v>
      </c>
      <c r="C28" s="13" t="n">
        <v>263255</v>
      </c>
      <c r="D28" s="13" t="n">
        <v>298965</v>
      </c>
      <c r="E28" s="13" t="n">
        <v>225104</v>
      </c>
      <c r="F28" s="13" t="n">
        <v>189936</v>
      </c>
    </row>
    <row r="29">
      <c r="A29" s="11" t="inlineStr">
        <is>
          <t>Retained earnings</t>
        </is>
      </c>
      <c r="B29" s="13" t="n">
        <v>1054791</v>
      </c>
      <c r="C29" s="13" t="n">
        <v>1275102</v>
      </c>
      <c r="D29" s="13" t="n">
        <v>1498348</v>
      </c>
      <c r="E29" s="13" t="n">
        <v>1766073</v>
      </c>
      <c r="F29" s="13" t="n">
        <v>2056437</v>
      </c>
    </row>
    <row r="30">
      <c r="A30" s="11" t="inlineStr">
        <is>
          <t>Total equity</t>
        </is>
      </c>
      <c r="B30" s="13" t="n">
        <v>1162298</v>
      </c>
      <c r="C30" s="13" t="n">
        <v>1615402</v>
      </c>
      <c r="D30" s="13" t="n">
        <v>1873360</v>
      </c>
      <c r="E30" s="13" t="n">
        <v>2068254</v>
      </c>
      <c r="F30" s="13" t="n">
        <v>2327501</v>
      </c>
    </row>
    <row r="31">
      <c r="A31" s="11" t="inlineStr">
        <is>
          <t>Total liabilities and equity</t>
        </is>
      </c>
      <c r="B31" s="13" t="n">
        <v>2509976</v>
      </c>
      <c r="C31" s="13" t="n">
        <v>3183762</v>
      </c>
      <c r="D31" s="13" t="n">
        <v>3303694</v>
      </c>
      <c r="E31" s="13" t="n">
        <v>3587565</v>
      </c>
      <c r="F31" s="13" t="n">
        <v>3859353</v>
      </c>
    </row>
    <row r="32">
      <c r="A32" s="11" t="inlineStr">
        <is>
          <t>Treasury stock, at cost</t>
        </is>
      </c>
      <c r="B32" s="13" t="n">
        <v>-14973</v>
      </c>
      <c r="C32" s="13" t="n">
        <v>-14813</v>
      </c>
      <c r="D32" s="13" t="n">
        <v>-14714</v>
      </c>
      <c r="E32" s="13" t="n">
        <v>-14628</v>
      </c>
      <c r="F32" s="13" t="n">
        <v>-14529</v>
      </c>
    </row>
    <row r="33">
      <c r="A33" s="11" t="inlineStr">
        <is>
          <t>Total liabilities</t>
        </is>
      </c>
      <c r="B33" s="13" t="n">
        <v>1347678</v>
      </c>
      <c r="C33" s="13" t="n">
        <v>1568360</v>
      </c>
      <c r="D33" s="13" t="n">
        <v>1430333</v>
      </c>
      <c r="E33" s="13" t="n">
        <v>1519310</v>
      </c>
      <c r="F33" s="13" t="n">
        <v>1531852</v>
      </c>
    </row>
    <row r="34">
      <c r="A34" s="11" t="inlineStr">
        <is>
          <t>Deferred tax assets</t>
        </is>
      </c>
      <c r="B34" s="13" t="n">
        <v>37125</v>
      </c>
      <c r="C34" s="13" t="n">
        <v>8506</v>
      </c>
      <c r="D34" s="13" t="n">
        <v>38208</v>
      </c>
      <c r="E34" s="13" t="n">
        <v>32432</v>
      </c>
      <c r="F34" s="13" t="n">
        <v>40889</v>
      </c>
    </row>
    <row r="35">
      <c r="A35" s="11" t="inlineStr">
        <is>
          <t>Derivative financial assets</t>
        </is>
      </c>
      <c r="B35" s="13" t="n">
        <v>22552</v>
      </c>
      <c r="C35" s="13" t="n">
        <v>134240</v>
      </c>
      <c r="D35" s="13" t="n">
        <v>114151</v>
      </c>
      <c r="E35" s="13" t="n">
        <v>66995</v>
      </c>
      <c r="F35" s="13" t="n">
        <v>33882</v>
      </c>
    </row>
    <row r="36">
      <c r="A36" s="11" t="inlineStr">
        <is>
          <t>Financial assets</t>
        </is>
      </c>
      <c r="B36" s="13" t="n">
        <v>67122</v>
      </c>
      <c r="C36" s="13" t="n">
        <v>164340</v>
      </c>
      <c r="D36" s="13" t="n">
        <v>240363</v>
      </c>
      <c r="E36" s="13" t="n">
        <v>336302</v>
      </c>
      <c r="F36" s="13" t="n">
        <v>312438</v>
      </c>
    </row>
    <row r="37">
      <c r="A37" s="11" t="inlineStr">
        <is>
          <t>Goodwill</t>
        </is>
      </c>
      <c r="B37" s="13" t="n">
        <v>8092</v>
      </c>
      <c r="C37" s="13" t="n">
        <v>8092</v>
      </c>
      <c r="D37" s="13" t="n">
        <v>8092</v>
      </c>
      <c r="E37" s="13" t="n">
        <v>8092</v>
      </c>
      <c r="F37" s="13" t="n">
        <v>8092</v>
      </c>
    </row>
    <row r="38">
      <c r="A38" s="11" t="inlineStr">
        <is>
          <t>Intangible assets</t>
        </is>
      </c>
      <c r="B38" s="13" t="n">
        <v>66939</v>
      </c>
      <c r="C38" s="13" t="n">
        <v>76621</v>
      </c>
      <c r="D38" s="13" t="n">
        <v>87300</v>
      </c>
      <c r="E38" s="13" t="n">
        <v>92568</v>
      </c>
      <c r="F38" s="13" t="n">
        <v>91606</v>
      </c>
    </row>
    <row r="39">
      <c r="A39" s="11" t="inlineStr">
        <is>
          <t>Investments in associates accounted for using the equity method</t>
        </is>
      </c>
      <c r="B39" s="13" t="n">
        <v>18236</v>
      </c>
      <c r="C39" s="13" t="n">
        <v>18557</v>
      </c>
      <c r="D39" s="13" t="n">
        <v>18974</v>
      </c>
      <c r="E39" s="13" t="n">
        <v>19559</v>
      </c>
      <c r="F39" s="13" t="n">
        <v>31361</v>
      </c>
    </row>
    <row r="40">
      <c r="A40" s="11" t="inlineStr">
        <is>
          <t>Other assets</t>
        </is>
      </c>
      <c r="B40" s="13" t="n">
        <v>6520</v>
      </c>
      <c r="C40" s="13" t="n">
        <v>3690</v>
      </c>
      <c r="D40" s="13" t="n">
        <v>8846</v>
      </c>
      <c r="E40" s="13" t="n">
        <v>5888</v>
      </c>
      <c r="F40" s="13" t="n">
        <v>3803</v>
      </c>
    </row>
    <row r="41">
      <c r="A41" s="11" t="inlineStr">
        <is>
          <t>Property, plant and equipment</t>
        </is>
      </c>
      <c r="B41" s="13" t="n">
        <v>168177</v>
      </c>
      <c r="C41" s="13" t="n">
        <v>195226</v>
      </c>
      <c r="D41" s="13" t="n">
        <v>221877</v>
      </c>
      <c r="E41" s="13" t="n">
        <v>245742</v>
      </c>
      <c r="F41" s="13" t="n">
        <v>332351</v>
      </c>
    </row>
    <row r="42">
      <c r="A42" s="11" t="inlineStr">
        <is>
          <t>Right-of-use assets</t>
        </is>
      </c>
      <c r="B42" s="13" t="n">
        <v>390537</v>
      </c>
      <c r="C42" s="13" t="n">
        <v>395634</v>
      </c>
      <c r="D42" s="13" t="n">
        <v>389183</v>
      </c>
      <c r="E42" s="13" t="n">
        <v>416712</v>
      </c>
      <c r="F42" s="13" t="n">
        <v>477111</v>
      </c>
    </row>
    <row r="43">
      <c r="A43" s="11" t="inlineStr">
        <is>
          <t>Total non-current assets</t>
        </is>
      </c>
      <c r="B43" s="13" t="n">
        <v>785302</v>
      </c>
      <c r="C43" s="13" t="n">
        <v>1004911</v>
      </c>
      <c r="D43" s="13" t="n">
        <v>1126998</v>
      </c>
      <c r="E43" s="13" t="n">
        <v>1224294</v>
      </c>
      <c r="F43" s="13" t="n">
        <v>1331538</v>
      </c>
    </row>
    <row r="44">
      <c r="A44" s="11" t="inlineStr">
        <is>
          <t>Deferred tax liabilities</t>
        </is>
      </c>
      <c r="B44" s="13" t="n">
        <v>9860</v>
      </c>
      <c r="C44" s="13" t="n">
        <v>44258</v>
      </c>
      <c r="D44" s="13" t="n">
        <v>67039</v>
      </c>
      <c r="E44" s="13" t="n">
        <v>31896</v>
      </c>
      <c r="F44" s="13" t="n">
        <v>22539</v>
      </c>
    </row>
    <row r="45">
      <c r="A45" s="11" t="inlineStr">
        <is>
          <t>Derivative financial liabilities</t>
        </is>
      </c>
      <c r="B45" s="13" t="n">
        <v>1042</v>
      </c>
      <c r="C45" s="13" t="n">
        <v>44</v>
      </c>
      <c r="D45" s="13" t="n">
        <v>1410</v>
      </c>
      <c r="E45" s="13" t="n">
        <v>21385</v>
      </c>
      <c r="F45" s="13" t="n">
        <v>12110</v>
      </c>
    </row>
    <row r="46">
      <c r="A46" s="11" t="inlineStr">
        <is>
          <t>Financial liabilities</t>
        </is>
      </c>
      <c r="B46" s="13" t="n">
        <v>370799</v>
      </c>
      <c r="C46" s="13" t="n">
        <v>241022</v>
      </c>
      <c r="D46" s="13" t="n">
        <v>241068</v>
      </c>
      <c r="E46" s="13" t="n">
        <v>211147</v>
      </c>
      <c r="F46" s="13" t="n">
        <v>141071</v>
      </c>
    </row>
    <row r="47">
      <c r="A47" s="11" t="inlineStr">
        <is>
          <t>Lease liabilities</t>
        </is>
      </c>
      <c r="B47" s="13" t="n">
        <v>343574</v>
      </c>
      <c r="C47" s="13" t="n">
        <v>356840</v>
      </c>
      <c r="D47" s="13" t="n">
        <v>338657</v>
      </c>
      <c r="E47" s="13" t="n">
        <v>347318</v>
      </c>
      <c r="F47" s="13" t="n">
        <v>386670</v>
      </c>
    </row>
    <row r="48">
      <c r="A48" s="11" t="inlineStr">
        <is>
          <t>Other liabilities</t>
        </is>
      </c>
      <c r="B48" s="13" t="n">
        <v>2342</v>
      </c>
      <c r="C48" s="13" t="n">
        <v>2171</v>
      </c>
      <c r="D48" s="13" t="n">
        <v>2007</v>
      </c>
      <c r="E48" s="13" t="n">
        <v>2521</v>
      </c>
      <c r="F48" s="13" t="n">
        <v>2457</v>
      </c>
    </row>
    <row r="49">
      <c r="A49" s="11" t="inlineStr">
        <is>
          <t>Provisions</t>
        </is>
      </c>
      <c r="B49" s="13" t="n">
        <v>39046</v>
      </c>
      <c r="C49" s="13" t="n">
        <v>47780</v>
      </c>
      <c r="D49" s="13" t="n">
        <v>50888</v>
      </c>
      <c r="E49" s="13" t="n">
        <v>52652</v>
      </c>
      <c r="F49" s="13" t="n">
        <v>55711</v>
      </c>
    </row>
    <row r="50">
      <c r="A50" s="11" t="inlineStr">
        <is>
          <t>Total non-current liabilities</t>
        </is>
      </c>
      <c r="B50" s="13" t="n">
        <v>766665</v>
      </c>
      <c r="C50" s="13" t="n">
        <v>692117</v>
      </c>
      <c r="D50" s="13" t="n">
        <v>701072</v>
      </c>
      <c r="E50" s="13" t="n">
        <v>666920</v>
      </c>
      <c r="F50" s="13" t="n">
        <v>620561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Company: FAST RETAILING CO., LTD. (6288.HK)</t>
        </is>
      </c>
    </row>
    <row r="2">
      <c r="A2" s="11" t="inlineStr">
        <is>
          <t>Statement: Cash Flow Statement</t>
        </is>
      </c>
    </row>
    <row r="3">
      <c r="A3" s="11" t="inlineStr">
        <is>
          <t>Units: JPY in Millions</t>
        </is>
      </c>
    </row>
    <row r="4">
      <c r="A4" s="11" t="inlineStr">
        <is>
          <t>Source: manual ingestion (JP)</t>
        </is>
      </c>
    </row>
    <row r="6">
      <c r="A6" s="11" t="inlineStr">
        <is>
          <t>Line Item</t>
        </is>
      </c>
      <c r="B6" s="12" t="n">
        <v>44439</v>
      </c>
      <c r="C6" s="12" t="n">
        <v>44804</v>
      </c>
      <c r="D6" s="12" t="n">
        <v>45169</v>
      </c>
      <c r="E6" s="12" t="n">
        <v>45535</v>
      </c>
      <c r="F6" s="12" t="n">
        <v>45900</v>
      </c>
    </row>
    <row r="7">
      <c r="A7" s="11" t="inlineStr">
        <is>
          <t>(Increase)/decrease in inventories</t>
        </is>
      </c>
      <c r="B7" s="13" t="n">
        <v>36749</v>
      </c>
      <c r="C7" s="13" t="n">
        <v>-50896</v>
      </c>
      <c r="D7" s="13" t="n">
        <v>46908</v>
      </c>
      <c r="E7" s="13" t="n">
        <v>-23540</v>
      </c>
      <c r="F7" s="13" t="n">
        <v>-29855</v>
      </c>
    </row>
    <row r="8">
      <c r="A8" s="11" t="inlineStr">
        <is>
          <t>(Increase)/decrease in other assets</t>
        </is>
      </c>
      <c r="B8" s="13" t="n">
        <v>3494</v>
      </c>
      <c r="C8" s="13" t="n">
        <v>-7125</v>
      </c>
      <c r="D8" s="13" t="n">
        <v>8354</v>
      </c>
      <c r="E8" s="13" t="n">
        <v>-876</v>
      </c>
      <c r="F8" s="13" t="n">
        <v>-2479</v>
      </c>
    </row>
    <row r="9">
      <c r="A9" s="11" t="inlineStr">
        <is>
          <t>(Increase)/decrease in trade and other receivables</t>
        </is>
      </c>
      <c r="B9" s="13" t="n">
        <v>15334</v>
      </c>
      <c r="C9" s="13" t="n">
        <v>-2651</v>
      </c>
      <c r="D9" s="13" t="n">
        <v>-7535</v>
      </c>
      <c r="E9" s="13" t="n">
        <v>-17394</v>
      </c>
      <c r="F9" s="13" t="n">
        <v>-12718</v>
      </c>
    </row>
    <row r="10">
      <c r="A10" s="11" t="inlineStr">
        <is>
          <t>Amounts deposited into bank deposits with original maturities of three months or longer</t>
        </is>
      </c>
      <c r="B10" s="13" t="n">
        <v>-102307</v>
      </c>
      <c r="C10" s="13" t="n">
        <v>-143517</v>
      </c>
      <c r="D10" s="13" t="n">
        <v>-387720</v>
      </c>
      <c r="E10" s="13" t="n">
        <v>-441156</v>
      </c>
      <c r="F10" s="13" t="n">
        <v>-1008113</v>
      </c>
    </row>
    <row r="11">
      <c r="A11" s="11" t="inlineStr">
        <is>
          <t>Amounts withdrawn from bank deposits with original maturities of three months or longer</t>
        </is>
      </c>
      <c r="B11" s="13" t="n">
        <v>99943</v>
      </c>
      <c r="C11" s="13" t="n">
        <v>126774</v>
      </c>
      <c r="D11" s="13" t="n">
        <v>182882</v>
      </c>
      <c r="E11" s="13" t="n">
        <v>460241</v>
      </c>
      <c r="F11" s="13" t="n">
        <v>798490</v>
      </c>
    </row>
    <row r="12">
      <c r="A12" s="11" t="inlineStr">
        <is>
          <t>Cash and cash equivalents at the beginning of year</t>
        </is>
      </c>
      <c r="B12" s="13" t="n">
        <v>1093531</v>
      </c>
      <c r="C12" s="13" t="n">
        <v>1177736</v>
      </c>
      <c r="D12" s="13" t="n">
        <v>1358292</v>
      </c>
      <c r="E12" s="13" t="n">
        <v>903280</v>
      </c>
      <c r="F12" s="13" t="n">
        <v>1193560</v>
      </c>
    </row>
    <row r="13">
      <c r="A13" s="11" t="inlineStr">
        <is>
          <t>Cash and cash equivalents at the end of year</t>
        </is>
      </c>
      <c r="B13" s="13" t="n">
        <v>1177736</v>
      </c>
      <c r="C13" s="13" t="n">
        <v>1358292</v>
      </c>
      <c r="D13" s="13" t="n">
        <v>903280</v>
      </c>
      <c r="E13" s="13" t="n">
        <v>1193560</v>
      </c>
      <c r="F13" s="13" t="n">
        <v>893239</v>
      </c>
    </row>
    <row r="14">
      <c r="A14" s="11" t="inlineStr">
        <is>
          <t>Cash generated from operations</t>
        </is>
      </c>
      <c r="B14" s="13" t="n">
        <v>509672</v>
      </c>
      <c r="C14" s="13" t="n">
        <v>518010</v>
      </c>
      <c r="D14" s="13" t="n">
        <v>610338</v>
      </c>
      <c r="E14" s="13" t="n">
        <v>739726</v>
      </c>
      <c r="F14" s="13" t="n">
        <v>728879</v>
      </c>
    </row>
    <row r="15">
      <c r="A15" s="11" t="inlineStr">
        <is>
          <t>Depreciation and amortization</t>
        </is>
      </c>
      <c r="B15" s="13" t="n">
        <v>177910</v>
      </c>
      <c r="C15" s="13" t="n">
        <v>180275</v>
      </c>
      <c r="D15" s="13" t="n">
        <v>186872</v>
      </c>
      <c r="E15" s="13" t="n">
        <v>204388</v>
      </c>
      <c r="F15" s="13" t="n">
        <v>216492</v>
      </c>
    </row>
    <row r="16">
      <c r="A16" s="11" t="inlineStr">
        <is>
          <t>Dividends paid to non-controlling interests</t>
        </is>
      </c>
      <c r="B16" s="13" t="n">
        <v>-2342</v>
      </c>
      <c r="C16" s="13" t="n">
        <v>-11623</v>
      </c>
      <c r="D16" s="13" t="n">
        <v>-20460</v>
      </c>
      <c r="E16" s="13" t="n">
        <v>-18369</v>
      </c>
      <c r="F16" s="13" t="n">
        <v>-26428</v>
      </c>
    </row>
    <row r="17">
      <c r="A17" s="11" t="inlineStr">
        <is>
          <t>Dividends paid to owners of the Parent</t>
        </is>
      </c>
      <c r="B17" s="13" t="n">
        <v>-48993</v>
      </c>
      <c r="C17" s="13" t="n">
        <v>-53091</v>
      </c>
      <c r="D17" s="13" t="n">
        <v>-73064</v>
      </c>
      <c r="E17" s="13" t="n">
        <v>-104263</v>
      </c>
      <c r="F17" s="13" t="n">
        <v>-142630</v>
      </c>
    </row>
    <row r="18">
      <c r="A18" s="11" t="inlineStr">
        <is>
          <t>Effect of exchange rate changes on the balance of cash held in foreign currencies</t>
        </is>
      </c>
      <c r="B18" s="13" t="n">
        <v>40818</v>
      </c>
      <c r="C18" s="13" t="n">
        <v>175015</v>
      </c>
      <c r="D18" s="13" t="n">
        <v>20735</v>
      </c>
      <c r="E18" s="13" t="n">
        <v>-10007</v>
      </c>
      <c r="F18" s="13" t="n">
        <v>37122</v>
      </c>
    </row>
    <row r="19">
      <c r="A19" s="11" t="inlineStr">
        <is>
          <t>Foreign exchange losses/(gains)</t>
        </is>
      </c>
      <c r="B19" s="13" t="n">
        <v>-19222</v>
      </c>
      <c r="C19" s="13" t="n">
        <v>-114324</v>
      </c>
      <c r="D19" s="13" t="n">
        <v>-25385</v>
      </c>
      <c r="E19" s="13" t="n">
        <v>-621</v>
      </c>
      <c r="F19" s="13" t="n">
        <v>-33826</v>
      </c>
    </row>
    <row r="20">
      <c r="A20" s="11" t="inlineStr">
        <is>
          <t>Impairment losses/(Reversal of impairment losses)</t>
        </is>
      </c>
      <c r="B20" s="13" t="n">
        <v>16908</v>
      </c>
      <c r="C20" s="13" t="n">
        <v>23150</v>
      </c>
      <c r="D20" s="13" t="n">
        <v>3958</v>
      </c>
      <c r="E20" s="13" t="n">
        <v>-1700</v>
      </c>
      <c r="F20" s="13" t="n">
        <v>598</v>
      </c>
    </row>
    <row r="21">
      <c r="A21" s="11" t="inlineStr">
        <is>
          <t>Income taxes paid</t>
        </is>
      </c>
      <c r="B21" s="13" t="n">
        <v>-80555</v>
      </c>
      <c r="C21" s="13" t="n">
        <v>-95867</v>
      </c>
      <c r="D21" s="13" t="n">
        <v>-160368</v>
      </c>
      <c r="E21" s="13" t="n">
        <v>-156361</v>
      </c>
      <c r="F21" s="13" t="n">
        <v>-202242</v>
      </c>
    </row>
    <row r="22">
      <c r="A22" s="11" t="inlineStr">
        <is>
          <t>Income taxes refunded</t>
        </is>
      </c>
      <c r="B22" s="13" t="n">
        <v>1818</v>
      </c>
      <c r="C22" s="13" t="n">
        <v>7711</v>
      </c>
      <c r="D22" s="13" t="n">
        <v>493</v>
      </c>
      <c r="E22" s="13" t="n">
        <v>22800</v>
      </c>
      <c r="F22" s="13" t="n">
        <v>2225</v>
      </c>
    </row>
    <row r="23">
      <c r="A23" s="11" t="inlineStr">
        <is>
          <t>Increase/(decrease) in other liabilities</t>
        </is>
      </c>
      <c r="B23" s="13" t="n">
        <v>9300</v>
      </c>
      <c r="C23" s="13" t="n">
        <v>-9531</v>
      </c>
      <c r="D23" s="13" t="n">
        <v>-3700</v>
      </c>
      <c r="E23" s="13" t="n">
        <v>31520</v>
      </c>
      <c r="F23" s="13" t="n">
        <v>3852</v>
      </c>
    </row>
    <row r="24">
      <c r="A24" s="11" t="inlineStr">
        <is>
          <t>Increase/(decrease) in trade and other payables</t>
        </is>
      </c>
      <c r="B24" s="13" t="n">
        <v>384</v>
      </c>
      <c r="C24" s="13" t="n">
        <v>114600</v>
      </c>
      <c r="D24" s="13" t="n">
        <v>-15909</v>
      </c>
      <c r="E24" s="13" t="n">
        <v>47320</v>
      </c>
      <c r="F24" s="13" t="n">
        <v>476</v>
      </c>
    </row>
    <row r="25">
      <c r="A25" s="11" t="inlineStr">
        <is>
          <t>Interest and dividends income received</t>
        </is>
      </c>
      <c r="B25" s="13" t="n">
        <v>4134</v>
      </c>
      <c r="C25" s="13" t="n">
        <v>8520</v>
      </c>
      <c r="D25" s="13" t="n">
        <v>22613</v>
      </c>
      <c r="E25" s="13" t="n">
        <v>56454</v>
      </c>
      <c r="F25" s="13" t="n">
        <v>64625</v>
      </c>
    </row>
    <row r="26">
      <c r="A26" s="11" t="inlineStr">
        <is>
          <t>Interest and dividends income</t>
        </is>
      </c>
      <c r="B26" s="13" t="n">
        <v>-4628</v>
      </c>
      <c r="C26" s="13" t="n">
        <v>-9495</v>
      </c>
      <c r="D26" s="13" t="n">
        <v>-41330</v>
      </c>
      <c r="E26" s="13" t="n">
        <v>-66751</v>
      </c>
      <c r="F26" s="13" t="n">
        <v>-65317</v>
      </c>
    </row>
    <row r="27">
      <c r="A27" s="11" t="inlineStr">
        <is>
          <t>Interest expenses</t>
        </is>
      </c>
      <c r="B27" s="13" t="n">
        <v>6990</v>
      </c>
      <c r="C27" s="13" t="n">
        <v>7560</v>
      </c>
      <c r="D27" s="13" t="n">
        <v>9791</v>
      </c>
      <c r="E27" s="13" t="n">
        <v>11078</v>
      </c>
      <c r="F27" s="13" t="n">
        <v>12834</v>
      </c>
    </row>
    <row r="28">
      <c r="A28" s="11" t="inlineStr">
        <is>
          <t>Interest paid</t>
        </is>
      </c>
      <c r="B28" s="13" t="n">
        <v>-6101</v>
      </c>
      <c r="C28" s="13" t="n">
        <v>-7557</v>
      </c>
      <c r="D28" s="13" t="n">
        <v>-9861</v>
      </c>
      <c r="E28" s="13" t="n">
        <v>-11099</v>
      </c>
      <c r="F28" s="13" t="n">
        <v>-12869</v>
      </c>
    </row>
    <row r="29">
      <c r="A29" s="11" t="inlineStr">
        <is>
          <t>Losses on disposal of property, plant and equipment</t>
        </is>
      </c>
      <c r="B29" s="13" t="n">
        <v>985</v>
      </c>
      <c r="C29" s="13" t="n">
        <v>1136</v>
      </c>
      <c r="D29" s="13" t="n">
        <v>917</v>
      </c>
      <c r="E29" s="13" t="n">
        <v>1397</v>
      </c>
      <c r="F29" s="13" t="n">
        <v>1342</v>
      </c>
    </row>
    <row r="30">
      <c r="A30" s="11" t="inlineStr">
        <is>
          <t>Net cash generated by operating activities</t>
        </is>
      </c>
      <c r="B30" s="13" t="n">
        <v>428968</v>
      </c>
      <c r="C30" s="13" t="n">
        <v>430817</v>
      </c>
      <c r="D30" s="13" t="n">
        <v>463216</v>
      </c>
      <c r="E30" s="13" t="n">
        <v>651521</v>
      </c>
      <c r="F30" s="13" t="n">
        <v>580618</v>
      </c>
    </row>
    <row r="31">
      <c r="A31" s="11" t="inlineStr">
        <is>
          <t>Net cash used in financing activities</t>
        </is>
      </c>
      <c r="B31" s="13" t="n">
        <v>-302985</v>
      </c>
      <c r="C31" s="13" t="n">
        <v>-213050</v>
      </c>
      <c r="D31" s="13" t="n">
        <v>-364562</v>
      </c>
      <c r="E31" s="13" t="n">
        <v>-269003</v>
      </c>
      <c r="F31" s="13" t="n">
        <v>-339139</v>
      </c>
    </row>
    <row r="32">
      <c r="A32" s="11" t="inlineStr">
        <is>
          <t>Net cash used in investing activities</t>
        </is>
      </c>
      <c r="B32" s="13" t="n">
        <v>-82597</v>
      </c>
      <c r="C32" s="13" t="n">
        <v>-212226</v>
      </c>
      <c r="D32" s="13" t="n">
        <v>-574402</v>
      </c>
      <c r="E32" s="13" t="n">
        <v>-82231</v>
      </c>
      <c r="F32" s="13" t="n">
        <v>-578922</v>
      </c>
    </row>
    <row r="33">
      <c r="A33" s="11" t="inlineStr">
        <is>
          <t>Net increase/(decrease) in cash and cash equivalents</t>
        </is>
      </c>
      <c r="B33" s="13" t="n">
        <v>84204</v>
      </c>
      <c r="C33" s="13" t="n">
        <v>180556</v>
      </c>
      <c r="D33" s="13" t="n">
        <v>-455011</v>
      </c>
      <c r="E33" s="13" t="n">
        <v>290279</v>
      </c>
      <c r="F33" s="13" t="n">
        <v>-300320</v>
      </c>
    </row>
    <row r="34">
      <c r="A34" s="11" t="inlineStr">
        <is>
          <t>Others, net</t>
        </is>
      </c>
      <c r="B34" s="13" t="n">
        <v>155</v>
      </c>
      <c r="C34" s="13" t="n">
        <v>705</v>
      </c>
      <c r="D34" s="13" t="n">
        <v>413</v>
      </c>
      <c r="E34" s="13" t="n">
        <v>63</v>
      </c>
      <c r="F34" s="13" t="n">
        <v>430</v>
      </c>
    </row>
    <row r="35">
      <c r="A35" s="11" t="inlineStr">
        <is>
          <t>Others, net</t>
        </is>
      </c>
      <c r="B35" s="13" t="n">
        <v>407</v>
      </c>
      <c r="C35" s="13" t="n">
        <v>3301</v>
      </c>
      <c r="D35" s="13" t="n">
        <v>-1381</v>
      </c>
      <c r="E35" s="13" t="n">
        <v>171</v>
      </c>
      <c r="F35" s="13" t="n">
        <v>7399</v>
      </c>
    </row>
    <row r="36">
      <c r="A36" s="11" t="inlineStr">
        <is>
          <t>Others, net</t>
        </is>
      </c>
      <c r="B36" s="13" t="n">
        <v>153</v>
      </c>
      <c r="C36" s="13" t="n">
        <v>-27211</v>
      </c>
      <c r="D36" s="13" t="n">
        <v>10617</v>
      </c>
      <c r="E36" s="13" t="n">
        <v>-878</v>
      </c>
      <c r="F36" s="13" t="n">
        <v>-11391</v>
      </c>
    </row>
    <row r="37">
      <c r="A37" s="11" t="inlineStr">
        <is>
          <t>Payments for acquisition of right-of-use assets</t>
        </is>
      </c>
      <c r="B37" s="13" t="n">
        <v>-846</v>
      </c>
      <c r="C37" s="13" t="n">
        <v>-796</v>
      </c>
      <c r="D37" s="13" t="n">
        <v>-1851</v>
      </c>
      <c r="E37" s="13" t="n">
        <v>-2015</v>
      </c>
      <c r="F37" s="13" t="n">
        <v>-15924</v>
      </c>
    </row>
    <row r="38">
      <c r="A38" s="11" t="inlineStr">
        <is>
          <t>Payments for intangible assets</t>
        </is>
      </c>
      <c r="B38" s="13" t="n">
        <v>-19624</v>
      </c>
      <c r="C38" s="13" t="n">
        <v>-28335</v>
      </c>
      <c r="D38" s="13" t="n">
        <v>-33542</v>
      </c>
      <c r="E38" s="13" t="n">
        <v>-30260</v>
      </c>
      <c r="F38" s="13" t="n">
        <v>-27329</v>
      </c>
    </row>
    <row r="39">
      <c r="A39" s="11" t="inlineStr">
        <is>
          <t>Payments for investment securities</t>
        </is>
      </c>
      <c r="B39" s="13" t="n">
        <v>0</v>
      </c>
      <c r="C39" s="13" t="n">
        <v>-117521</v>
      </c>
      <c r="D39" s="13" t="n">
        <v>-481399</v>
      </c>
      <c r="E39" s="13" t="n">
        <v>-399523</v>
      </c>
      <c r="F39" s="13" t="n">
        <v>-474222</v>
      </c>
    </row>
    <row r="40">
      <c r="A40" s="11" t="inlineStr">
        <is>
          <t>Payments for lease and guarantee deposits</t>
        </is>
      </c>
      <c r="B40" s="13" t="n">
        <v>-3979</v>
      </c>
      <c r="C40" s="13" t="n">
        <v>-5973</v>
      </c>
      <c r="D40" s="13" t="n">
        <v>-4865</v>
      </c>
      <c r="E40" s="13" t="n">
        <v>-6108</v>
      </c>
      <c r="F40" s="13" t="n">
        <v>-6113</v>
      </c>
    </row>
    <row r="41">
      <c r="A41" s="11" t="inlineStr">
        <is>
          <t>Payments for property, plant and equipment</t>
        </is>
      </c>
      <c r="B41" s="13" t="n">
        <v>-56500</v>
      </c>
      <c r="C41" s="13" t="n">
        <v>-51271</v>
      </c>
      <c r="D41" s="13" t="n">
        <v>-61764</v>
      </c>
      <c r="E41" s="13" t="n">
        <v>-73728</v>
      </c>
      <c r="F41" s="13" t="n">
        <v>-135535</v>
      </c>
    </row>
    <row r="42">
      <c r="A42" s="11" t="inlineStr">
        <is>
          <t>Proceeds from collection of lease and guarantee deposits</t>
        </is>
      </c>
      <c r="B42" s="13" t="n">
        <v>4542</v>
      </c>
      <c r="C42" s="13" t="n">
        <v>5112</v>
      </c>
      <c r="D42" s="13" t="n">
        <v>5578</v>
      </c>
      <c r="E42" s="13" t="n">
        <v>6302</v>
      </c>
      <c r="F42" s="13" t="n">
        <v>6364</v>
      </c>
    </row>
    <row r="43">
      <c r="A43" s="11" t="inlineStr">
        <is>
          <t>Proceeds from short-term loans payable</t>
        </is>
      </c>
      <c r="B43" s="13" t="n">
        <v>64247</v>
      </c>
      <c r="C43" s="13" t="n">
        <v>14059</v>
      </c>
      <c r="D43" s="13" t="n">
        <v>6511</v>
      </c>
      <c r="E43" s="13" t="n">
        <v>4835</v>
      </c>
      <c r="F43" s="13" t="n">
        <v>566</v>
      </c>
    </row>
    <row r="44">
      <c r="A44" s="11" t="inlineStr">
        <is>
          <t>Profit before income taxes</t>
        </is>
      </c>
      <c r="B44" s="13" t="n">
        <v>265872</v>
      </c>
      <c r="C44" s="13" t="n">
        <v>413584</v>
      </c>
      <c r="D44" s="13" t="n">
        <v>437918</v>
      </c>
      <c r="E44" s="13" t="n">
        <v>557201</v>
      </c>
      <c r="F44" s="13" t="n">
        <v>650574</v>
      </c>
    </row>
    <row r="45">
      <c r="A45" s="11" t="inlineStr">
        <is>
          <t>Repayment of redemption of corporate bonds</t>
        </is>
      </c>
      <c r="B45" s="13" t="n">
        <v>-100000</v>
      </c>
      <c r="C45" s="13" t="n">
        <v>0</v>
      </c>
      <c r="D45" s="13" t="n">
        <v>-130000</v>
      </c>
      <c r="E45" s="13" t="n">
        <v>0</v>
      </c>
      <c r="F45" s="13" t="n">
        <v>-30000</v>
      </c>
    </row>
    <row r="46">
      <c r="A46" s="11" t="inlineStr">
        <is>
          <t>Repayment of short-term loans payable</t>
        </is>
      </c>
      <c r="B46" s="13" t="n">
        <v>-67804</v>
      </c>
      <c r="C46" s="13" t="n">
        <v>-26210</v>
      </c>
      <c r="D46" s="13" t="n">
        <v>-7314</v>
      </c>
      <c r="E46" s="13" t="n">
        <v>-4887</v>
      </c>
      <c r="F46" s="13" t="n">
        <v>-226</v>
      </c>
    </row>
    <row r="47">
      <c r="A47" s="11" t="inlineStr">
        <is>
          <t>Repayments of lease liabilities</t>
        </is>
      </c>
      <c r="B47" s="13" t="n">
        <v>-148248</v>
      </c>
      <c r="C47" s="13" t="n">
        <v>-136889</v>
      </c>
      <c r="D47" s="13" t="n">
        <v>-140646</v>
      </c>
      <c r="E47" s="13" t="n">
        <v>-146403</v>
      </c>
      <c r="F47" s="13" t="n">
        <v>-140483</v>
      </c>
    </row>
    <row r="48">
      <c r="A48" s="11" t="inlineStr">
        <is>
          <t>Share of (profit)/loss of associates accounted for using the equity method</t>
        </is>
      </c>
      <c r="B48" s="13" t="n">
        <v>-561</v>
      </c>
      <c r="C48" s="13" t="n">
        <v>-1059</v>
      </c>
      <c r="D48" s="13" t="n">
        <v>-1139</v>
      </c>
      <c r="E48" s="13" t="n">
        <v>-1417</v>
      </c>
      <c r="F48" s="13" t="n">
        <v>-1704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</cols>
  <sheetData>
    <row r="1">
      <c r="A1" s="11" t="inlineStr">
        <is>
          <t>FAST RETAILING CO., LTD. (6288.HK) — Condensed Financials</t>
        </is>
      </c>
    </row>
    <row r="4">
      <c r="A4" s="11" t="inlineStr">
        <is>
          <t>BALANCE SHEET CLASSIFICATION</t>
        </is>
      </c>
    </row>
    <row r="5">
      <c r="A5" s="11" t="inlineStr">
        <is>
          <t>Line Item</t>
        </is>
      </c>
      <c r="B5" s="11" t="inlineStr">
        <is>
          <t>Classification</t>
        </is>
      </c>
      <c r="C5" s="12" t="n">
        <v>44439</v>
      </c>
      <c r="D5" s="12" t="n">
        <v>44804</v>
      </c>
      <c r="E5" s="12" t="n">
        <v>45169</v>
      </c>
      <c r="F5" s="12" t="n">
        <v>45535</v>
      </c>
      <c r="G5" s="12" t="n">
        <v>45900</v>
      </c>
      <c r="H5" s="11" t="inlineStr">
        <is>
          <t>Notes</t>
        </is>
      </c>
    </row>
    <row r="6">
      <c r="A6" s="11" t="inlineStr">
        <is>
          <t>Cash and cash equivalents</t>
        </is>
      </c>
      <c r="B6" s="11" t="inlineStr">
        <is>
          <t>Financial Asset</t>
        </is>
      </c>
      <c r="C6" s="13" t="n">
        <v>1177736</v>
      </c>
      <c r="D6" s="13" t="n">
        <v>1358292</v>
      </c>
      <c r="E6" s="13" t="n">
        <v>903280</v>
      </c>
      <c r="F6" s="13" t="n">
        <v>1193560</v>
      </c>
      <c r="G6" s="13" t="n">
        <v>893239</v>
      </c>
    </row>
    <row r="7">
      <c r="A7" s="11" t="inlineStr">
        <is>
          <t>Derivative financial assets</t>
        </is>
      </c>
      <c r="B7" s="11">
        <f>IF('Accounting Judgment'!$F$5="","Financial Asset",'Accounting Judgment'!$F$5)</f>
        <v/>
      </c>
      <c r="C7" s="13" t="n">
        <v>27103</v>
      </c>
      <c r="D7" s="13" t="n">
        <v>124551</v>
      </c>
      <c r="E7" s="13" t="n">
        <v>132101</v>
      </c>
      <c r="F7" s="13" t="n">
        <v>111658</v>
      </c>
      <c r="G7" s="13" t="n">
        <v>94803</v>
      </c>
      <c r="H7" s="11" t="inlineStr">
        <is>
          <t>⚠ Review: Generic financial-asset concept — financial vs operating purpose/hedging judgment</t>
        </is>
      </c>
    </row>
    <row r="8">
      <c r="A8" s="11" t="inlineStr">
        <is>
          <t>Income taxes receivable</t>
        </is>
      </c>
      <c r="B8" s="11" t="inlineStr">
        <is>
          <t>Operating Working Capital Asset</t>
        </is>
      </c>
      <c r="C8" s="13" t="n">
        <v>2992</v>
      </c>
      <c r="D8" s="13" t="n">
        <v>2612</v>
      </c>
      <c r="E8" s="13" t="n">
        <v>23660</v>
      </c>
      <c r="F8" s="13" t="n">
        <v>2210</v>
      </c>
      <c r="G8" s="13" t="n">
        <v>8042</v>
      </c>
    </row>
    <row r="9">
      <c r="A9" s="11" t="inlineStr">
        <is>
          <t>Inventories</t>
        </is>
      </c>
      <c r="B9" s="11" t="inlineStr">
        <is>
          <t>Operating Working Capital Asset</t>
        </is>
      </c>
      <c r="C9" s="13" t="n">
        <v>394868</v>
      </c>
      <c r="D9" s="13" t="n">
        <v>485928</v>
      </c>
      <c r="E9" s="13" t="n">
        <v>449254</v>
      </c>
      <c r="F9" s="13" t="n">
        <v>474460</v>
      </c>
      <c r="G9" s="13" t="n">
        <v>510958</v>
      </c>
    </row>
    <row r="10">
      <c r="A10" s="11" t="inlineStr">
        <is>
          <t>Other assets</t>
        </is>
      </c>
      <c r="B10" s="11">
        <f>IF('Accounting Judgment'!$F$6="","Operating Working Capital Asset",'Accounting Judgment'!$F$6)</f>
        <v/>
      </c>
      <c r="C10" s="13" t="n">
        <v>15270</v>
      </c>
      <c r="D10" s="13" t="n">
        <v>23835</v>
      </c>
      <c r="E10" s="13" t="n">
        <v>25372</v>
      </c>
      <c r="F10" s="13" t="n">
        <v>26897</v>
      </c>
      <c r="G10" s="13" t="n">
        <v>24662</v>
      </c>
      <c r="H10" s="11" t="inlineStr">
        <is>
          <t>⚠ Review: Explicit residual balance-sheet concept identifies side/horizon but not economic nature — operating vs financial judgment</t>
        </is>
      </c>
    </row>
    <row r="11">
      <c r="A11" s="11" t="inlineStr">
        <is>
          <t>Other financial assets</t>
        </is>
      </c>
      <c r="B11" s="11">
        <f>IF('Accounting Judgment'!$F$7="","Financial Asset",'Accounting Judgment'!$F$7)</f>
        <v/>
      </c>
      <c r="C11" s="13" t="n">
        <v>56157</v>
      </c>
      <c r="D11" s="13" t="n">
        <v>123446</v>
      </c>
      <c r="E11" s="13" t="n">
        <v>576194</v>
      </c>
      <c r="F11" s="13" t="n">
        <v>470554</v>
      </c>
      <c r="G11" s="13" t="n">
        <v>899701</v>
      </c>
      <c r="H11" s="11" t="inlineStr">
        <is>
          <t>⚠ Review: Generic financial-asset concept — financial vs operating purpose/hedging judgment</t>
        </is>
      </c>
    </row>
    <row r="12">
      <c r="A12" s="11" t="inlineStr">
        <is>
          <t>Trade and other receivables</t>
        </is>
      </c>
      <c r="B12" s="11" t="inlineStr">
        <is>
          <t>Operating Working Capital Asset</t>
        </is>
      </c>
      <c r="C12" s="13" t="n">
        <v>50546</v>
      </c>
      <c r="D12" s="13" t="n">
        <v>60184</v>
      </c>
      <c r="E12" s="13" t="n">
        <v>66831</v>
      </c>
      <c r="F12" s="13" t="n">
        <v>83929</v>
      </c>
      <c r="G12" s="13" t="n">
        <v>96407</v>
      </c>
    </row>
    <row r="13">
      <c r="A13" s="11" t="inlineStr">
        <is>
          <t>Current tax liabilities</t>
        </is>
      </c>
      <c r="B13" s="11" t="inlineStr">
        <is>
          <t>Operating Working Capital Liability</t>
        </is>
      </c>
      <c r="C13" s="13" t="n">
        <v>38606</v>
      </c>
      <c r="D13" s="13" t="n">
        <v>77162</v>
      </c>
      <c r="E13" s="13" t="n">
        <v>65428</v>
      </c>
      <c r="F13" s="13" t="n">
        <v>65525</v>
      </c>
      <c r="G13" s="13" t="n">
        <v>73072</v>
      </c>
    </row>
    <row r="14">
      <c r="A14" s="11" t="inlineStr">
        <is>
          <t>Derivative financial liabilities</t>
        </is>
      </c>
      <c r="B14" s="11">
        <f>IF('Accounting Judgment'!$F$8="","Financial Liability",'Accounting Judgment'!$F$8)</f>
        <v/>
      </c>
      <c r="C14" s="13" t="n">
        <v>2493</v>
      </c>
      <c r="D14" s="13" t="n">
        <v>1513</v>
      </c>
      <c r="E14" s="13" t="n">
        <v>3600</v>
      </c>
      <c r="F14" s="13" t="n">
        <v>12716</v>
      </c>
      <c r="G14" s="13" t="n">
        <v>19250</v>
      </c>
      <c r="H14" s="11" t="inlineStr">
        <is>
          <t>⚠ Review: Generic financial-liability concept — financial vs operating purpose/hedging judgment</t>
        </is>
      </c>
    </row>
    <row r="15">
      <c r="A15" s="11" t="inlineStr">
        <is>
          <t>Lease liabilities</t>
        </is>
      </c>
      <c r="B15" s="11">
        <f>IF('Accounting Judgment'!$F$9="","Operating Long-Term Liability",'Accounting Judgment'!$F$9)</f>
        <v/>
      </c>
      <c r="C15" s="13" t="n">
        <v>117083</v>
      </c>
      <c r="D15" s="13" t="n">
        <v>123885</v>
      </c>
      <c r="E15" s="13" t="n">
        <v>126992</v>
      </c>
      <c r="F15" s="13" t="n">
        <v>130744</v>
      </c>
      <c r="G15" s="13" t="n">
        <v>126830</v>
      </c>
      <c r="H15" s="11" t="inlineStr">
        <is>
          <t>⚠ Review: Lease liability concept — operating vs financial judgment</t>
        </is>
      </c>
    </row>
    <row r="16">
      <c r="A16" s="11" t="inlineStr">
        <is>
          <t>Other financial liabilities</t>
        </is>
      </c>
      <c r="B16" s="11">
        <f>IF('Accounting Judgment'!$F$10="","Financial Liability",'Accounting Judgment'!$F$10)</f>
        <v/>
      </c>
      <c r="C16" s="13" t="n">
        <v>104969</v>
      </c>
      <c r="D16" s="13" t="n">
        <v>209286</v>
      </c>
      <c r="E16" s="13" t="n">
        <v>61913</v>
      </c>
      <c r="F16" s="13" t="n">
        <v>104770</v>
      </c>
      <c r="G16" s="13" t="n">
        <v>150942</v>
      </c>
      <c r="H16" s="11" t="inlineStr">
        <is>
          <t>⚠ Review: Generic financial-liability concept — financial vs operating purpose/hedging judgment</t>
        </is>
      </c>
    </row>
    <row r="17">
      <c r="A17" s="11" t="inlineStr">
        <is>
          <t>Other liabilities</t>
        </is>
      </c>
      <c r="B17" s="11">
        <f>IF('Accounting Judgment'!$F$11="","Operating Working Capital Liability",'Accounting Judgment'!$F$11)</f>
        <v/>
      </c>
      <c r="C17" s="13" t="n">
        <v>95652</v>
      </c>
      <c r="D17" s="13" t="n">
        <v>111519</v>
      </c>
      <c r="E17" s="13" t="n">
        <v>129782</v>
      </c>
      <c r="F17" s="13" t="n">
        <v>148201</v>
      </c>
      <c r="G17" s="13" t="n">
        <v>149394</v>
      </c>
      <c r="H17" s="11" t="inlineStr">
        <is>
          <t>⚠ Review: Explicit residual balance-sheet concept identifies side/horizon but not economic nature — operating vs financial judgment</t>
        </is>
      </c>
    </row>
    <row r="18">
      <c r="A18" s="11" t="inlineStr">
        <is>
          <t>Provisions</t>
        </is>
      </c>
      <c r="B18" s="11" t="inlineStr">
        <is>
          <t>Operating Working Capital Liability</t>
        </is>
      </c>
      <c r="C18" s="13" t="n">
        <v>2149</v>
      </c>
      <c r="D18" s="13" t="n">
        <v>2581</v>
      </c>
      <c r="E18" s="13" t="n">
        <v>2642</v>
      </c>
      <c r="F18" s="13" t="n">
        <v>1774</v>
      </c>
      <c r="G18" s="13" t="n">
        <v>1651</v>
      </c>
    </row>
    <row r="19">
      <c r="A19" s="11" t="inlineStr">
        <is>
          <t>Trade and other payables</t>
        </is>
      </c>
      <c r="B19" s="11" t="inlineStr">
        <is>
          <t>Operating Working Capital Liability</t>
        </is>
      </c>
      <c r="C19" s="13" t="n">
        <v>220057</v>
      </c>
      <c r="D19" s="13" t="n">
        <v>350294</v>
      </c>
      <c r="E19" s="13" t="n">
        <v>338901</v>
      </c>
      <c r="F19" s="13" t="n">
        <v>388656</v>
      </c>
      <c r="G19" s="13" t="n">
        <v>390149</v>
      </c>
    </row>
    <row r="20">
      <c r="A20" s="11" t="inlineStr">
        <is>
          <t>Capital stock</t>
        </is>
      </c>
      <c r="B20" s="11" t="inlineStr">
        <is>
          <t>Equity</t>
        </is>
      </c>
      <c r="C20" s="13" t="n">
        <v>10273</v>
      </c>
      <c r="D20" s="13" t="n">
        <v>10273</v>
      </c>
      <c r="E20" s="13" t="n">
        <v>10273</v>
      </c>
      <c r="F20" s="13" t="n">
        <v>10273</v>
      </c>
      <c r="G20" s="13" t="n">
        <v>10273</v>
      </c>
    </row>
    <row r="21">
      <c r="A21" s="11" t="inlineStr">
        <is>
          <t>Capital surplus</t>
        </is>
      </c>
      <c r="B21" s="11" t="inlineStr">
        <is>
          <t>Equity</t>
        </is>
      </c>
      <c r="C21" s="13" t="n">
        <v>25360</v>
      </c>
      <c r="D21" s="13" t="n">
        <v>27834</v>
      </c>
      <c r="E21" s="13" t="n">
        <v>28531</v>
      </c>
      <c r="F21" s="13" t="n">
        <v>29712</v>
      </c>
      <c r="G21" s="13" t="n">
        <v>30998</v>
      </c>
    </row>
    <row r="22">
      <c r="A22" s="11" t="inlineStr">
        <is>
          <t>Equity attributable to owners of the Parent</t>
        </is>
      </c>
      <c r="B22" s="11" t="inlineStr">
        <is>
          <t>Equity</t>
        </is>
      </c>
      <c r="C22" s="13" t="n">
        <v>1116484</v>
      </c>
      <c r="D22" s="13" t="n">
        <v>1561652</v>
      </c>
      <c r="E22" s="13" t="n">
        <v>1821405</v>
      </c>
      <c r="F22" s="13" t="n">
        <v>2016535</v>
      </c>
      <c r="G22" s="13" t="n">
        <v>2273115</v>
      </c>
    </row>
    <row r="23">
      <c r="A23" s="11" t="inlineStr">
        <is>
          <t>Non-controlling interests</t>
        </is>
      </c>
      <c r="B23" s="11" t="inlineStr">
        <is>
          <t>Equity</t>
        </is>
      </c>
      <c r="C23" s="13" t="n">
        <v>45813</v>
      </c>
      <c r="D23" s="13" t="n">
        <v>53750</v>
      </c>
      <c r="E23" s="13" t="n">
        <v>51955</v>
      </c>
      <c r="F23" s="13" t="n">
        <v>51718</v>
      </c>
      <c r="G23" s="13" t="n">
        <v>54385</v>
      </c>
    </row>
    <row r="24">
      <c r="A24" s="11" t="inlineStr">
        <is>
          <t>Other components of equity</t>
        </is>
      </c>
      <c r="B24" s="11" t="inlineStr">
        <is>
          <t>Equity</t>
        </is>
      </c>
      <c r="C24" s="13" t="n">
        <v>41031</v>
      </c>
      <c r="D24" s="13" t="n">
        <v>263255</v>
      </c>
      <c r="E24" s="13" t="n">
        <v>298965</v>
      </c>
      <c r="F24" s="13" t="n">
        <v>225104</v>
      </c>
      <c r="G24" s="13" t="n">
        <v>189936</v>
      </c>
    </row>
    <row r="25">
      <c r="A25" s="11" t="inlineStr">
        <is>
          <t>Retained earnings</t>
        </is>
      </c>
      <c r="B25" s="11" t="inlineStr">
        <is>
          <t>Equity</t>
        </is>
      </c>
      <c r="C25" s="13" t="n">
        <v>1054791</v>
      </c>
      <c r="D25" s="13" t="n">
        <v>1275102</v>
      </c>
      <c r="E25" s="13" t="n">
        <v>1498348</v>
      </c>
      <c r="F25" s="13" t="n">
        <v>1766073</v>
      </c>
      <c r="G25" s="13" t="n">
        <v>2056437</v>
      </c>
    </row>
    <row r="26">
      <c r="A26" s="11" t="inlineStr">
        <is>
          <t>Treasury stock, at cost</t>
        </is>
      </c>
      <c r="B26" s="11" t="inlineStr">
        <is>
          <t>Equity</t>
        </is>
      </c>
      <c r="C26" s="13" t="n">
        <v>-14973</v>
      </c>
      <c r="D26" s="13" t="n">
        <v>-14813</v>
      </c>
      <c r="E26" s="13" t="n">
        <v>-14714</v>
      </c>
      <c r="F26" s="13" t="n">
        <v>-14628</v>
      </c>
      <c r="G26" s="13" t="n">
        <v>-14529</v>
      </c>
    </row>
    <row r="27">
      <c r="A27" s="11" t="inlineStr">
        <is>
          <t>Deferred tax assets</t>
        </is>
      </c>
      <c r="B27" s="11" t="inlineStr">
        <is>
          <t>Operating Long-Term Asset</t>
        </is>
      </c>
      <c r="C27" s="13" t="n">
        <v>37125</v>
      </c>
      <c r="D27" s="13" t="n">
        <v>8506</v>
      </c>
      <c r="E27" s="13" t="n">
        <v>38208</v>
      </c>
      <c r="F27" s="13" t="n">
        <v>32432</v>
      </c>
      <c r="G27" s="13" t="n">
        <v>40889</v>
      </c>
      <c r="H27" s="11" t="inlineStr">
        <is>
          <t>⚠ Review: Deferred tax asset concept — operating vs exclude judgment</t>
        </is>
      </c>
    </row>
    <row r="28">
      <c r="A28" s="11" t="inlineStr">
        <is>
          <t>Derivative financial assets</t>
        </is>
      </c>
      <c r="B28" s="11">
        <f>IF('Accounting Judgment'!$F$12="","Financial Asset",'Accounting Judgment'!$F$12)</f>
        <v/>
      </c>
      <c r="C28" s="13" t="n">
        <v>22552</v>
      </c>
      <c r="D28" s="13" t="n">
        <v>134240</v>
      </c>
      <c r="E28" s="13" t="n">
        <v>114151</v>
      </c>
      <c r="F28" s="13" t="n">
        <v>66995</v>
      </c>
      <c r="G28" s="13" t="n">
        <v>33882</v>
      </c>
      <c r="H28" s="11" t="inlineStr">
        <is>
          <t>⚠ Review: Generic financial-asset concept — financial vs operating purpose/hedging judgment</t>
        </is>
      </c>
    </row>
    <row r="29">
      <c r="A29" s="11" t="inlineStr">
        <is>
          <t>Financial assets</t>
        </is>
      </c>
      <c r="B29" s="11">
        <f>IF('Accounting Judgment'!$F$13="","Financial Asset",'Accounting Judgment'!$F$13)</f>
        <v/>
      </c>
      <c r="C29" s="13" t="n">
        <v>67122</v>
      </c>
      <c r="D29" s="13" t="n">
        <v>164340</v>
      </c>
      <c r="E29" s="13" t="n">
        <v>240363</v>
      </c>
      <c r="F29" s="13" t="n">
        <v>336302</v>
      </c>
      <c r="G29" s="13" t="n">
        <v>312438</v>
      </c>
      <c r="H29" s="11" t="inlineStr">
        <is>
          <t>⚠ Review: Generic financial-asset concept — financial vs operating purpose/hedging judgment</t>
        </is>
      </c>
    </row>
    <row r="30">
      <c r="A30" s="11" t="inlineStr">
        <is>
          <t>Goodwill</t>
        </is>
      </c>
      <c r="B30" s="11" t="inlineStr">
        <is>
          <t>Operating Long-Term Asset</t>
        </is>
      </c>
      <c r="C30" s="13" t="n">
        <v>8092</v>
      </c>
      <c r="D30" s="13" t="n">
        <v>8092</v>
      </c>
      <c r="E30" s="13" t="n">
        <v>8092</v>
      </c>
      <c r="F30" s="13" t="n">
        <v>8092</v>
      </c>
      <c r="G30" s="13" t="n">
        <v>8092</v>
      </c>
    </row>
    <row r="31">
      <c r="A31" s="11" t="inlineStr">
        <is>
          <t>Intangible assets</t>
        </is>
      </c>
      <c r="B31" s="11" t="inlineStr">
        <is>
          <t>Operating Long-Term Asset</t>
        </is>
      </c>
      <c r="C31" s="13" t="n">
        <v>66939</v>
      </c>
      <c r="D31" s="13" t="n">
        <v>76621</v>
      </c>
      <c r="E31" s="13" t="n">
        <v>87300</v>
      </c>
      <c r="F31" s="13" t="n">
        <v>92568</v>
      </c>
      <c r="G31" s="13" t="n">
        <v>91606</v>
      </c>
    </row>
    <row r="32">
      <c r="A32" s="11" t="inlineStr">
        <is>
          <t>Investments in associates accounted for using the equity method</t>
        </is>
      </c>
      <c r="B32" s="11">
        <f>IF('Accounting Judgment'!$F$14="","Operating Long-Term Asset",'Accounting Judgment'!$F$14)</f>
        <v/>
      </c>
      <c r="C32" s="13" t="n">
        <v>18236</v>
      </c>
      <c r="D32" s="13" t="n">
        <v>18557</v>
      </c>
      <c r="E32" s="13" t="n">
        <v>18974</v>
      </c>
      <c r="F32" s="13" t="n">
        <v>19559</v>
      </c>
      <c r="G32" s="13" t="n">
        <v>31361</v>
      </c>
      <c r="H32" s="11" t="inlineStr">
        <is>
          <t>⚠ Review: Equity-method investment concept — operating vs financial judgment</t>
        </is>
      </c>
    </row>
    <row r="33">
      <c r="A33" s="11" t="inlineStr">
        <is>
          <t>Other assets</t>
        </is>
      </c>
      <c r="B33" s="11">
        <f>IF('Accounting Judgment'!$F$15="","Operating Long-Term Asset",'Accounting Judgment'!$F$15)</f>
        <v/>
      </c>
      <c r="C33" s="13" t="n">
        <v>6520</v>
      </c>
      <c r="D33" s="13" t="n">
        <v>3690</v>
      </c>
      <c r="E33" s="13" t="n">
        <v>8846</v>
      </c>
      <c r="F33" s="13" t="n">
        <v>5888</v>
      </c>
      <c r="G33" s="13" t="n">
        <v>3803</v>
      </c>
      <c r="H33" s="11" t="inlineStr">
        <is>
          <t>⚠ Review: Explicit residual balance-sheet concept identifies side/horizon but not economic nature — operating vs financial judgment</t>
        </is>
      </c>
    </row>
    <row r="34">
      <c r="A34" s="11" t="inlineStr">
        <is>
          <t>Property, plant and equipment</t>
        </is>
      </c>
      <c r="B34" s="11" t="inlineStr">
        <is>
          <t>Operating Long-Term Asset</t>
        </is>
      </c>
      <c r="C34" s="13" t="n">
        <v>168177</v>
      </c>
      <c r="D34" s="13" t="n">
        <v>195226</v>
      </c>
      <c r="E34" s="13" t="n">
        <v>221877</v>
      </c>
      <c r="F34" s="13" t="n">
        <v>245742</v>
      </c>
      <c r="G34" s="13" t="n">
        <v>332351</v>
      </c>
    </row>
    <row r="35">
      <c r="A35" s="11" t="inlineStr">
        <is>
          <t>Right-of-use assets</t>
        </is>
      </c>
      <c r="B35" s="11" t="inlineStr">
        <is>
          <t>Operating Long-Term Asset</t>
        </is>
      </c>
      <c r="C35" s="13" t="n">
        <v>390537</v>
      </c>
      <c r="D35" s="13" t="n">
        <v>395634</v>
      </c>
      <c r="E35" s="13" t="n">
        <v>389183</v>
      </c>
      <c r="F35" s="13" t="n">
        <v>416712</v>
      </c>
      <c r="G35" s="13" t="n">
        <v>477111</v>
      </c>
      <c r="H35" s="11" t="inlineStr">
        <is>
          <t>⚠ Review: Lease/ROU asset concept — operating vs financial judgment</t>
        </is>
      </c>
    </row>
    <row r="36">
      <c r="A36" s="11" t="inlineStr">
        <is>
          <t>Deferred tax liabilities</t>
        </is>
      </c>
      <c r="B36" s="11" t="inlineStr">
        <is>
          <t>Operating Long-Term Liability</t>
        </is>
      </c>
      <c r="C36" s="13" t="n">
        <v>9860</v>
      </c>
      <c r="D36" s="13" t="n">
        <v>44258</v>
      </c>
      <c r="E36" s="13" t="n">
        <v>67039</v>
      </c>
      <c r="F36" s="13" t="n">
        <v>31896</v>
      </c>
      <c r="G36" s="13" t="n">
        <v>22539</v>
      </c>
      <c r="H36" s="11" t="inlineStr">
        <is>
          <t>⚠ Review: Deferred tax liability concept — operating vs exclude judgment</t>
        </is>
      </c>
    </row>
    <row r="37">
      <c r="A37" s="11" t="inlineStr">
        <is>
          <t>Derivative financial liabilities</t>
        </is>
      </c>
      <c r="B37" s="11">
        <f>IF('Accounting Judgment'!$F$16="","Financial Liability",'Accounting Judgment'!$F$16)</f>
        <v/>
      </c>
      <c r="C37" s="13" t="n">
        <v>1042</v>
      </c>
      <c r="D37" s="13" t="n">
        <v>44</v>
      </c>
      <c r="E37" s="13" t="n">
        <v>1410</v>
      </c>
      <c r="F37" s="13" t="n">
        <v>21385</v>
      </c>
      <c r="G37" s="13" t="n">
        <v>12110</v>
      </c>
      <c r="H37" s="11" t="inlineStr">
        <is>
          <t>⚠ Review: Generic financial-liability concept — financial vs operating purpose/hedging judgment</t>
        </is>
      </c>
    </row>
    <row r="38">
      <c r="A38" s="11" t="inlineStr">
        <is>
          <t>Financial liabilities</t>
        </is>
      </c>
      <c r="B38" s="11">
        <f>IF('Accounting Judgment'!$F$17="","Financial Liability",'Accounting Judgment'!$F$17)</f>
        <v/>
      </c>
      <c r="C38" s="13" t="n">
        <v>370799</v>
      </c>
      <c r="D38" s="13" t="n">
        <v>241022</v>
      </c>
      <c r="E38" s="13" t="n">
        <v>241068</v>
      </c>
      <c r="F38" s="13" t="n">
        <v>211147</v>
      </c>
      <c r="G38" s="13" t="n">
        <v>141071</v>
      </c>
      <c r="H38" s="11" t="inlineStr">
        <is>
          <t>⚠ Review: Generic financial-liability concept — financial vs operating purpose/hedging judgment</t>
        </is>
      </c>
    </row>
    <row r="39">
      <c r="A39" s="11" t="inlineStr">
        <is>
          <t>Lease liabilities</t>
        </is>
      </c>
      <c r="B39" s="11">
        <f>IF('Accounting Judgment'!$F$18="","Operating Long-Term Liability",'Accounting Judgment'!$F$18)</f>
        <v/>
      </c>
      <c r="C39" s="13" t="n">
        <v>343574</v>
      </c>
      <c r="D39" s="13" t="n">
        <v>356840</v>
      </c>
      <c r="E39" s="13" t="n">
        <v>338657</v>
      </c>
      <c r="F39" s="13" t="n">
        <v>347318</v>
      </c>
      <c r="G39" s="13" t="n">
        <v>386670</v>
      </c>
      <c r="H39" s="11" t="inlineStr">
        <is>
          <t>⚠ Review: Lease liability concept — operating vs financial judgment</t>
        </is>
      </c>
    </row>
    <row r="40">
      <c r="A40" s="11" t="inlineStr">
        <is>
          <t>Other liabilities</t>
        </is>
      </c>
      <c r="B40" s="11">
        <f>IF('Accounting Judgment'!$F$19="","Operating Long-Term Liability",'Accounting Judgment'!$F$19)</f>
        <v/>
      </c>
      <c r="C40" s="13" t="n">
        <v>2342</v>
      </c>
      <c r="D40" s="13" t="n">
        <v>2171</v>
      </c>
      <c r="E40" s="13" t="n">
        <v>2007</v>
      </c>
      <c r="F40" s="13" t="n">
        <v>2521</v>
      </c>
      <c r="G40" s="13" t="n">
        <v>2457</v>
      </c>
      <c r="H40" s="11" t="inlineStr">
        <is>
          <t>⚠ Review: Explicit residual balance-sheet concept identifies side/horizon but not economic nature — operating vs financial judgment</t>
        </is>
      </c>
    </row>
    <row r="41">
      <c r="A41" s="11" t="inlineStr">
        <is>
          <t>Provisions</t>
        </is>
      </c>
      <c r="B41" s="11" t="inlineStr">
        <is>
          <t>Operating Long-Term Liability</t>
        </is>
      </c>
      <c r="C41" s="13" t="n">
        <v>39046</v>
      </c>
      <c r="D41" s="13" t="n">
        <v>47780</v>
      </c>
      <c r="E41" s="13" t="n">
        <v>50888</v>
      </c>
      <c r="F41" s="13" t="n">
        <v>52652</v>
      </c>
      <c r="G41" s="13" t="n">
        <v>55711</v>
      </c>
    </row>
    <row r="43">
      <c r="A43" s="11" t="inlineStr">
        <is>
          <t>CONDENSED INCOME STATEMENT</t>
        </is>
      </c>
      <c r="B43" s="12" t="n">
        <v>44439</v>
      </c>
      <c r="C43" s="12" t="n">
        <v>44804</v>
      </c>
      <c r="D43" s="12" t="n">
        <v>45169</v>
      </c>
      <c r="E43" s="12" t="n">
        <v>45535</v>
      </c>
      <c r="F43" s="12" t="n">
        <v>45900</v>
      </c>
    </row>
    <row r="44">
      <c r="A44" s="11" t="inlineStr">
        <is>
          <t>Revenue</t>
        </is>
      </c>
      <c r="B44" s="14" t="n"/>
      <c r="C44" s="14" t="n"/>
      <c r="D44" s="14" t="n"/>
      <c r="E44" s="14" t="n"/>
      <c r="F44" s="14" t="n"/>
    </row>
    <row r="45">
      <c r="A45" s="11" t="inlineStr">
        <is>
          <t>Net Income</t>
        </is>
      </c>
      <c r="B45" s="14" t="n"/>
      <c r="C45" s="14" t="n"/>
      <c r="D45" s="14" t="n"/>
      <c r="E45" s="14" t="n"/>
      <c r="F45" s="14" t="n"/>
    </row>
    <row r="46">
      <c r="A46" s="11" t="inlineStr">
        <is>
          <t>Pretax Income</t>
        </is>
      </c>
      <c r="B46" s="11">
        <f>'Income Statement'!B19</f>
        <v/>
      </c>
      <c r="C46" s="11">
        <f>'Income Statement'!C19</f>
        <v/>
      </c>
      <c r="D46" s="11">
        <f>'Income Statement'!D19</f>
        <v/>
      </c>
      <c r="E46" s="11">
        <f>'Income Statement'!E19</f>
        <v/>
      </c>
      <c r="F46" s="11">
        <f>'Income Statement'!F19</f>
        <v/>
      </c>
    </row>
    <row r="47">
      <c r="A47" s="11" t="inlineStr">
        <is>
          <t>Tax Expense</t>
        </is>
      </c>
      <c r="B47" s="11">
        <f>'Income Statement'!B13</f>
        <v/>
      </c>
      <c r="C47" s="11">
        <f>'Income Statement'!C13</f>
        <v/>
      </c>
      <c r="D47" s="11">
        <f>'Income Statement'!D13</f>
        <v/>
      </c>
      <c r="E47" s="11">
        <f>'Income Statement'!E13</f>
        <v/>
      </c>
      <c r="F47" s="11">
        <f>'Income Statement'!F13</f>
        <v/>
      </c>
    </row>
    <row r="48">
      <c r="A48" s="11" t="inlineStr">
        <is>
          <t>Interest Expense</t>
        </is>
      </c>
      <c r="B48" s="11">
        <f>'Income Statement'!B10</f>
        <v/>
      </c>
      <c r="C48" s="11">
        <f>'Income Statement'!C10</f>
        <v/>
      </c>
      <c r="D48" s="11">
        <f>'Income Statement'!D10</f>
        <v/>
      </c>
      <c r="E48" s="11">
        <f>'Income Statement'!E10</f>
        <v/>
      </c>
      <c r="F48" s="11">
        <f>'Income Statement'!F10</f>
        <v/>
      </c>
    </row>
    <row r="49">
      <c r="A49" s="11" t="inlineStr">
        <is>
          <t>Interest Income</t>
        </is>
      </c>
      <c r="B49" s="11">
        <f>'Income Statement'!B11</f>
        <v/>
      </c>
      <c r="C49" s="11">
        <f>'Income Statement'!C11</f>
        <v/>
      </c>
      <c r="D49" s="11">
        <f>'Income Statement'!D11</f>
        <v/>
      </c>
      <c r="E49" s="11">
        <f>'Income Statement'!E11</f>
        <v/>
      </c>
      <c r="F49" s="11">
        <f>'Income Statement'!F11</f>
        <v/>
      </c>
    </row>
    <row r="50">
      <c r="A50" s="11" t="inlineStr">
        <is>
          <t>Lease Interest Expense (disclosed)</t>
        </is>
      </c>
      <c r="B50" s="11">
        <f>'Income Statement'!B26</f>
        <v/>
      </c>
      <c r="C50" s="11">
        <f>'Income Statement'!C26</f>
        <v/>
      </c>
      <c r="D50" s="11">
        <f>'Income Statement'!D26</f>
        <v/>
      </c>
      <c r="E50" s="11">
        <f>'Income Statement'!E26</f>
        <v/>
      </c>
      <c r="F50" s="11">
        <f>'Income Statement'!F26</f>
        <v/>
      </c>
    </row>
    <row r="51">
      <c r="A51" s="11" t="inlineStr">
        <is>
          <t>Effective Tax Rate</t>
        </is>
      </c>
      <c r="B51" s="15" t="n"/>
      <c r="C51" s="15" t="n"/>
      <c r="D51" s="15" t="n"/>
      <c r="E51" s="15" t="n"/>
      <c r="F51" s="15" t="n"/>
    </row>
    <row r="52">
      <c r="A52" s="11" t="inlineStr">
        <is>
          <t>Net Interest</t>
        </is>
      </c>
      <c r="B52" s="16" t="n"/>
      <c r="C52" s="16" t="n"/>
      <c r="D52" s="16" t="n"/>
      <c r="E52" s="16" t="n"/>
      <c r="F52" s="16" t="n"/>
    </row>
    <row r="53">
      <c r="A53" s="11" t="inlineStr">
        <is>
          <t>Net Interest After Tax</t>
        </is>
      </c>
      <c r="B53" s="16" t="n"/>
      <c r="C53" s="16" t="n"/>
      <c r="D53" s="16" t="n"/>
      <c r="E53" s="16" t="n"/>
      <c r="F53" s="16" t="n"/>
    </row>
    <row r="54">
      <c r="A54" s="11" t="inlineStr">
        <is>
          <t>NOPAT</t>
        </is>
      </c>
      <c r="B54" s="16" t="n"/>
      <c r="C54" s="16" t="n"/>
      <c r="D54" s="16" t="n"/>
      <c r="E54" s="16" t="n"/>
      <c r="F54" s="16" t="n"/>
    </row>
    <row r="56">
      <c r="A56" s="11" t="inlineStr">
        <is>
          <t>CONDENSED BALANCE SHEET</t>
        </is>
      </c>
    </row>
    <row r="57">
      <c r="A57" s="11" t="inlineStr">
        <is>
          <t>Operating Working Capital Assets</t>
        </is>
      </c>
      <c r="B57" s="16" t="n"/>
      <c r="C57" s="16" t="n"/>
      <c r="D57" s="16" t="n"/>
      <c r="E57" s="16" t="n"/>
      <c r="F57" s="16" t="n"/>
    </row>
    <row r="58">
      <c r="A58" s="11" t="inlineStr">
        <is>
          <t>Operating Working Capital Liabilities</t>
        </is>
      </c>
      <c r="B58" s="16" t="n"/>
      <c r="C58" s="16" t="n"/>
      <c r="D58" s="16" t="n"/>
      <c r="E58" s="16" t="n"/>
      <c r="F58" s="16" t="n"/>
    </row>
    <row r="59">
      <c r="A59" s="11" t="inlineStr">
        <is>
          <t>NOWC</t>
        </is>
      </c>
      <c r="B59" s="16" t="n"/>
      <c r="C59" s="16" t="n"/>
      <c r="D59" s="16" t="n"/>
      <c r="E59" s="16" t="n"/>
      <c r="F59" s="16" t="n"/>
    </row>
    <row r="60">
      <c r="A60" s="11" t="inlineStr">
        <is>
          <t>Operating Long-Term Assets</t>
        </is>
      </c>
      <c r="B60" s="16" t="n"/>
      <c r="C60" s="16" t="n"/>
      <c r="D60" s="16" t="n"/>
      <c r="E60" s="16" t="n"/>
      <c r="F60" s="16" t="n"/>
    </row>
    <row r="61">
      <c r="A61" s="11" t="inlineStr">
        <is>
          <t>Operating Long-Term Liabilities</t>
        </is>
      </c>
      <c r="B61" s="16" t="n"/>
      <c r="C61" s="16" t="n"/>
      <c r="D61" s="16" t="n"/>
      <c r="E61" s="16" t="n"/>
      <c r="F61" s="16" t="n"/>
    </row>
    <row r="62">
      <c r="A62" s="11" t="inlineStr">
        <is>
          <t>NOLA</t>
        </is>
      </c>
      <c r="B62" s="16" t="n"/>
      <c r="C62" s="16" t="n"/>
      <c r="D62" s="16" t="n"/>
      <c r="E62" s="16" t="n"/>
      <c r="F62" s="16" t="n"/>
    </row>
    <row r="63">
      <c r="A63" s="11" t="inlineStr">
        <is>
          <t>NOA</t>
        </is>
      </c>
      <c r="B63" s="16" t="n"/>
      <c r="C63" s="16" t="n"/>
      <c r="D63" s="16" t="n"/>
      <c r="E63" s="16" t="n"/>
      <c r="F63" s="16" t="n"/>
    </row>
    <row r="64">
      <c r="A64" s="11" t="inlineStr">
        <is>
          <t>Financial Assets</t>
        </is>
      </c>
      <c r="B64" s="16" t="n"/>
      <c r="C64" s="16" t="n"/>
      <c r="D64" s="16" t="n"/>
      <c r="E64" s="16" t="n"/>
      <c r="F64" s="16" t="n"/>
    </row>
    <row r="65">
      <c r="A65" s="11" t="inlineStr">
        <is>
          <t>Financial Liabilities</t>
        </is>
      </c>
      <c r="B65" s="16" t="n"/>
      <c r="C65" s="16" t="n"/>
      <c r="D65" s="16" t="n"/>
      <c r="E65" s="16" t="n"/>
      <c r="F65" s="16" t="n"/>
    </row>
    <row r="66">
      <c r="A66" s="11" t="inlineStr">
        <is>
          <t>Net Debt</t>
        </is>
      </c>
      <c r="B66" s="16" t="n"/>
      <c r="C66" s="16" t="n"/>
      <c r="D66" s="16" t="n"/>
      <c r="E66" s="16" t="n"/>
      <c r="F66" s="16" t="n"/>
    </row>
    <row r="67">
      <c r="A67" s="11" t="inlineStr">
        <is>
          <t>Equity (NOA - Net Debt)</t>
        </is>
      </c>
      <c r="B67" s="16" t="n"/>
      <c r="C67" s="16" t="n"/>
      <c r="D67" s="16" t="n"/>
      <c r="E67" s="16" t="n"/>
      <c r="F67" s="16" t="n"/>
    </row>
    <row r="68">
      <c r="A68" s="11" t="inlineStr">
        <is>
          <t>Reported Equity</t>
        </is>
      </c>
      <c r="B68" s="13">
        <f>'Balance Sheet'!B30</f>
        <v/>
      </c>
      <c r="C68" s="13">
        <f>'Balance Sheet'!C30</f>
        <v/>
      </c>
      <c r="D68" s="13">
        <f>'Balance Sheet'!D30</f>
        <v/>
      </c>
      <c r="E68" s="13">
        <f>'Balance Sheet'!E30</f>
        <v/>
      </c>
      <c r="F68" s="13">
        <f>'Balance Sheet'!F30</f>
        <v/>
      </c>
    </row>
    <row r="69">
      <c r="A69" s="11" t="inlineStr">
        <is>
          <t>Total Capital</t>
        </is>
      </c>
      <c r="B69" s="13">
        <f>B66+B67</f>
        <v/>
      </c>
      <c r="C69" s="13">
        <f>C66+C67</f>
        <v/>
      </c>
      <c r="D69" s="13">
        <f>D66+D67</f>
        <v/>
      </c>
      <c r="E69" s="13">
        <f>E66+E67</f>
        <v/>
      </c>
      <c r="F69" s="13">
        <f>F66+F67</f>
        <v/>
      </c>
    </row>
    <row r="70">
      <c r="A70" s="11" t="inlineStr">
        <is>
          <t>CHECK</t>
        </is>
      </c>
      <c r="B70" s="11">
        <f>IF(ABS(B67-B68)&lt;1,"OK","CHECK")</f>
        <v/>
      </c>
      <c r="C70" s="11">
        <f>IF(ABS(C67-C68)&lt;1,"OK","CHECK")</f>
        <v/>
      </c>
      <c r="D70" s="11">
        <f>IF(ABS(D67-D68)&lt;1,"OK","CHECK")</f>
        <v/>
      </c>
      <c r="E70" s="11">
        <f>IF(ABS(E67-E68)&lt;1,"OK","CHECK")</f>
        <v/>
      </c>
      <c r="F70" s="11">
        <f>IF(ABS(F67-F68)&lt;1,"OK","CHECK")</f>
        <v/>
      </c>
    </row>
  </sheetData>
  <dataValidations count="1">
    <dataValidation sqref="B6 B8 B9 B12 B13 B18 B19 B20 B21 B22 B23 B24 B25 B26 B27 B30 B31 B34 B35 B36 B41" showDropDown="0" showInputMessage="0" showErrorMessage="0" allowBlank="0" type="list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DuPont Decomposition</t>
        </is>
      </c>
    </row>
    <row r="2">
      <c r="A2" s="11" t="inlineStr">
        <is>
          <t>ROE = RNOA + FLEV × Spread</t>
        </is>
      </c>
    </row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Sales Growth</t>
        </is>
      </c>
      <c r="B5" s="11" t="inlineStr">
        <is>
          <t>N/A</t>
        </is>
      </c>
      <c r="C5" s="15" t="n"/>
      <c r="D5" s="15" t="n"/>
      <c r="E5" s="15" t="n"/>
      <c r="F5" s="15" t="n"/>
    </row>
    <row r="6">
      <c r="A6" s="11" t="inlineStr">
        <is>
          <t>NOPAT Margin</t>
        </is>
      </c>
      <c r="B6" s="15" t="n"/>
      <c r="C6" s="15" t="n"/>
      <c r="D6" s="15" t="n"/>
      <c r="E6" s="15" t="n"/>
      <c r="F6" s="15" t="n"/>
    </row>
    <row r="7">
      <c r="A7" s="11" t="inlineStr">
        <is>
          <t>RNOA</t>
        </is>
      </c>
      <c r="B7" s="11" t="inlineStr">
        <is>
          <t>N/A</t>
        </is>
      </c>
      <c r="C7" s="15" t="n"/>
      <c r="D7" s="15" t="n"/>
      <c r="E7" s="15" t="n"/>
      <c r="F7" s="15" t="n"/>
    </row>
    <row r="8">
      <c r="A8" s="11" t="inlineStr">
        <is>
          <t>After-tax CoD</t>
        </is>
      </c>
      <c r="B8" s="11" t="inlineStr">
        <is>
          <t>N/A</t>
        </is>
      </c>
      <c r="C8" s="15" t="n"/>
      <c r="D8" s="15" t="n"/>
      <c r="E8" s="15" t="n"/>
      <c r="F8" s="15" t="n"/>
    </row>
    <row r="9">
      <c r="A9" s="11" t="inlineStr">
        <is>
          <t>Spread</t>
        </is>
      </c>
      <c r="B9" s="11" t="inlineStr">
        <is>
          <t>N/A</t>
        </is>
      </c>
      <c r="C9" s="15" t="n"/>
      <c r="D9" s="15" t="n"/>
      <c r="E9" s="15" t="n"/>
      <c r="F9" s="15" t="n"/>
    </row>
    <row r="10">
      <c r="A10" s="11" t="inlineStr">
        <is>
          <t>FLEV</t>
        </is>
      </c>
      <c r="B10" s="11" t="inlineStr">
        <is>
          <t>N/A</t>
        </is>
      </c>
      <c r="C10" s="14" t="n"/>
      <c r="D10" s="14" t="n"/>
      <c r="E10" s="14" t="n"/>
      <c r="F10" s="14" t="n"/>
    </row>
    <row r="11">
      <c r="A11" s="11" t="inlineStr">
        <is>
          <t>ROE (decomposed)</t>
        </is>
      </c>
      <c r="B11" s="11" t="inlineStr">
        <is>
          <t>N/A</t>
        </is>
      </c>
      <c r="C11" s="15" t="n"/>
      <c r="D11" s="15" t="n"/>
      <c r="E11" s="15" t="n"/>
      <c r="F11" s="15" t="n"/>
    </row>
    <row r="12">
      <c r="A12" s="11" t="inlineStr">
        <is>
          <t>Actual ROE</t>
        </is>
      </c>
      <c r="B12" s="11" t="inlineStr">
        <is>
          <t>N/A</t>
        </is>
      </c>
      <c r="C12" s="15" t="n"/>
      <c r="D12" s="15" t="n"/>
      <c r="E12" s="15" t="n"/>
      <c r="F12" s="15" t="n"/>
    </row>
    <row r="14">
      <c r="A14" s="11" t="inlineStr">
        <is>
          <t>RNOA DRIVER DECOMPOSITION</t>
        </is>
      </c>
    </row>
    <row r="15">
      <c r="A15" s="11" t="inlineStr">
        <is>
          <t>Average NOA</t>
        </is>
      </c>
      <c r="B15" s="11" t="inlineStr">
        <is>
          <t>N/A</t>
        </is>
      </c>
      <c r="C15" s="16" t="n"/>
      <c r="D15" s="16" t="n"/>
      <c r="E15" s="16" t="n"/>
      <c r="F15" s="16" t="n"/>
    </row>
    <row r="16">
      <c r="A16" s="11" t="inlineStr">
        <is>
          <t>NOA Turnover</t>
        </is>
      </c>
      <c r="B16" s="11" t="inlineStr">
        <is>
          <t>N/A</t>
        </is>
      </c>
      <c r="C16" s="17" t="n"/>
      <c r="D16" s="17" t="n"/>
      <c r="E16" s="17" t="n"/>
      <c r="F16" s="17" t="n"/>
    </row>
    <row r="17">
      <c r="A17" s="11" t="inlineStr">
        <is>
          <t>NOA Intensity</t>
        </is>
      </c>
      <c r="B17" s="11" t="inlineStr">
        <is>
          <t>N/A</t>
        </is>
      </c>
      <c r="C17" s="17" t="n"/>
      <c r="D17" s="17" t="n"/>
      <c r="E17" s="17" t="n"/>
      <c r="F17" s="17" t="n"/>
    </row>
    <row r="18">
      <c r="A18" s="11" t="inlineStr">
        <is>
          <t>RNOA from Margin × Turnover</t>
        </is>
      </c>
      <c r="B18" s="11" t="inlineStr">
        <is>
          <t>N/A</t>
        </is>
      </c>
      <c r="C18" s="15" t="n"/>
      <c r="D18" s="15" t="n"/>
      <c r="E18" s="15" t="n"/>
      <c r="F18" s="15" t="n"/>
    </row>
    <row r="19">
      <c r="A19" s="11" t="inlineStr">
        <is>
          <t>RNOA DRIVER CHECK</t>
        </is>
      </c>
      <c r="B19" s="11" t="inlineStr">
        <is>
          <t>N/A</t>
        </is>
      </c>
      <c r="C19" s="11">
        <f>IF(ISNA(C18),"N/A",IF(ISNA(C7),"CHECK",IF(ABS(C18-C7)&lt;0.0000001,"OK","CHECK")))</f>
        <v/>
      </c>
      <c r="D19" s="11">
        <f>IF(ISNA(D18),"N/A",IF(ISNA(D7),"CHECK",IF(ABS(D18-D7)&lt;0.0000001,"OK","CHECK")))</f>
        <v/>
      </c>
      <c r="E19" s="11">
        <f>IF(ISNA(E18),"N/A",IF(ISNA(E7),"CHECK",IF(ABS(E18-E7)&lt;0.0000001,"OK","CHECK")))</f>
        <v/>
      </c>
      <c r="F19" s="11">
        <f>IF(ISNA(F18),"N/A",IF(ISNA(F7),"CHECK",IF(ABS(F18-F7)&lt;0.0000001,"OK","CHECK")))</f>
        <v/>
      </c>
    </row>
    <row r="21">
      <c r="A21" s="11" t="inlineStr">
        <is>
          <t>RNOA CHANGE ATTRIBUTION</t>
        </is>
      </c>
    </row>
    <row r="22">
      <c r="A22" s="11" t="inlineStr">
        <is>
          <t>Change in NOPAT Margin</t>
        </is>
      </c>
      <c r="B22" s="11" t="inlineStr">
        <is>
          <t>N/A</t>
        </is>
      </c>
      <c r="C22" s="11" t="inlineStr">
        <is>
          <t>N/A</t>
        </is>
      </c>
      <c r="D22" s="15" t="n"/>
      <c r="E22" s="15" t="n"/>
      <c r="F22" s="15" t="n"/>
    </row>
    <row r="23">
      <c r="A23" s="11" t="inlineStr">
        <is>
          <t>Change in NOA Turnover</t>
        </is>
      </c>
      <c r="B23" s="11" t="inlineStr">
        <is>
          <t>N/A</t>
        </is>
      </c>
      <c r="C23" s="11" t="inlineStr">
        <is>
          <t>N/A</t>
        </is>
      </c>
      <c r="D23" s="17" t="n"/>
      <c r="E23" s="17" t="n"/>
      <c r="F23" s="17" t="n"/>
    </row>
    <row r="24">
      <c r="A24" s="11" t="inlineStr">
        <is>
          <t>Direct Change in RNOA</t>
        </is>
      </c>
      <c r="B24" s="11" t="inlineStr">
        <is>
          <t>N/A</t>
        </is>
      </c>
      <c r="C24" s="11" t="inlineStr">
        <is>
          <t>N/A</t>
        </is>
      </c>
      <c r="D24" s="15" t="n"/>
      <c r="E24" s="15" t="n"/>
      <c r="F24" s="15" t="n"/>
    </row>
    <row r="25">
      <c r="A25" s="11" t="inlineStr">
        <is>
          <t>Margin Effect on RNOA Change</t>
        </is>
      </c>
      <c r="B25" s="11" t="inlineStr">
        <is>
          <t>N/A</t>
        </is>
      </c>
      <c r="C25" s="11" t="inlineStr">
        <is>
          <t>N/A</t>
        </is>
      </c>
      <c r="D25" s="15" t="n"/>
      <c r="E25" s="15" t="n"/>
      <c r="F25" s="15" t="n"/>
    </row>
    <row r="26">
      <c r="A26" s="11" t="inlineStr">
        <is>
          <t>Turnover Effect on RNOA Change</t>
        </is>
      </c>
      <c r="B26" s="11" t="inlineStr">
        <is>
          <t>N/A</t>
        </is>
      </c>
      <c r="C26" s="11" t="inlineStr">
        <is>
          <t>N/A</t>
        </is>
      </c>
      <c r="D26" s="15" t="n"/>
      <c r="E26" s="15" t="n"/>
      <c r="F26" s="15" t="n"/>
    </row>
    <row r="27">
      <c r="A27" s="11" t="inlineStr">
        <is>
          <t>RNOA Change from Drivers</t>
        </is>
      </c>
      <c r="B27" s="11" t="inlineStr">
        <is>
          <t>N/A</t>
        </is>
      </c>
      <c r="C27" s="11" t="inlineStr">
        <is>
          <t>N/A</t>
        </is>
      </c>
      <c r="D27" s="15" t="n"/>
      <c r="E27" s="15" t="n"/>
      <c r="F27" s="15" t="n"/>
    </row>
    <row r="28">
      <c r="A28" s="11" t="inlineStr">
        <is>
          <t>RNOA CHANGE DRIVER CHECK</t>
        </is>
      </c>
      <c r="B28" s="11" t="inlineStr">
        <is>
          <t>N/A</t>
        </is>
      </c>
      <c r="C28" s="11" t="inlineStr">
        <is>
          <t>N/A</t>
        </is>
      </c>
      <c r="D28" s="11">
        <f>IF(OR(ISNA(D27),ISNA(D24)),"N/A",IF(ABS(D27-D24)&lt;0.0000001,"OK","CHECK"))</f>
        <v/>
      </c>
      <c r="E28" s="11">
        <f>IF(OR(ISNA(E27),ISNA(E24)),"N/A",IF(ABS(E27-E24)&lt;0.0000001,"OK","CHECK"))</f>
        <v/>
      </c>
      <c r="F28" s="11">
        <f>IF(OR(ISNA(F27),ISNA(F24)),"N/A",IF(ABS(F27-F24)&lt;0.0000001,"OK","CHECK"))</f>
        <v/>
      </c>
    </row>
    <row r="30">
      <c r="A30" s="11" t="inlineStr">
        <is>
          <t>ROE OPERATING / FINANCING ATTRIBUTION</t>
        </is>
      </c>
    </row>
    <row r="31">
      <c r="A31" s="11" t="inlineStr">
        <is>
          <t>Financing Contribution to ROE</t>
        </is>
      </c>
      <c r="B31" s="11" t="inlineStr">
        <is>
          <t>N/A</t>
        </is>
      </c>
      <c r="C31" s="15" t="n"/>
      <c r="D31" s="15" t="n"/>
      <c r="E31" s="15" t="n"/>
      <c r="F31" s="15" t="n"/>
    </row>
    <row r="32">
      <c r="A32" s="11" t="inlineStr">
        <is>
          <t>ROE LEVEL ATTRIBUTION CHECK</t>
        </is>
      </c>
      <c r="B32" s="11" t="inlineStr">
        <is>
          <t>N/A</t>
        </is>
      </c>
      <c r="C32" s="11">
        <f>IF(OR(ISNA(C7),ISNA(C31),ISNA(C11)),"N/A",IF(ABS(C7+C31-C11)&lt;0.0000001,"OK","CHECK"))</f>
        <v/>
      </c>
      <c r="D32" s="11">
        <f>IF(OR(ISNA(D7),ISNA(D31),ISNA(D11)),"N/A",IF(ABS(D7+D31-D11)&lt;0.0000001,"OK","CHECK"))</f>
        <v/>
      </c>
      <c r="E32" s="11">
        <f>IF(OR(ISNA(E7),ISNA(E31),ISNA(E11)),"N/A",IF(ABS(E7+E31-E11)&lt;0.0000001,"OK","CHECK"))</f>
        <v/>
      </c>
      <c r="F32" s="11">
        <f>IF(OR(ISNA(F7),ISNA(F31),ISNA(F11)),"N/A",IF(ABS(F7+F31-F11)&lt;0.0000001,"OK","CHECK"))</f>
        <v/>
      </c>
    </row>
    <row r="34">
      <c r="A34" s="11" t="inlineStr">
        <is>
          <t>ROE CHANGE ATTRIBUTION</t>
        </is>
      </c>
    </row>
    <row r="35">
      <c r="A35" s="11" t="inlineStr">
        <is>
          <t>Direct Change in Decomposed ROE</t>
        </is>
      </c>
      <c r="B35" s="11" t="inlineStr">
        <is>
          <t>N/A</t>
        </is>
      </c>
      <c r="C35" s="11" t="inlineStr">
        <is>
          <t>N/A</t>
        </is>
      </c>
      <c r="D35" s="15" t="n"/>
      <c r="E35" s="15" t="n"/>
      <c r="F35" s="15" t="n"/>
    </row>
    <row r="36">
      <c r="A36" s="11" t="inlineStr">
        <is>
          <t>Operating Effect on Change in ROE</t>
        </is>
      </c>
      <c r="B36" s="11" t="inlineStr">
        <is>
          <t>N/A</t>
        </is>
      </c>
      <c r="C36" s="11" t="inlineStr">
        <is>
          <t>N/A</t>
        </is>
      </c>
      <c r="D36" s="15" t="n"/>
      <c r="E36" s="15" t="n"/>
      <c r="F36" s="15" t="n"/>
    </row>
    <row r="37">
      <c r="A37" s="11" t="inlineStr">
        <is>
          <t>Leverage Effect on Change in ROE</t>
        </is>
      </c>
      <c r="B37" s="11" t="inlineStr">
        <is>
          <t>N/A</t>
        </is>
      </c>
      <c r="C37" s="11" t="inlineStr">
        <is>
          <t>N/A</t>
        </is>
      </c>
      <c r="D37" s="15" t="n"/>
      <c r="E37" s="15" t="n"/>
      <c r="F37" s="15" t="n"/>
    </row>
    <row r="38">
      <c r="A38" s="11" t="inlineStr">
        <is>
          <t>Spread Effect on Change in ROE</t>
        </is>
      </c>
      <c r="B38" s="11" t="inlineStr">
        <is>
          <t>N/A</t>
        </is>
      </c>
      <c r="C38" s="11" t="inlineStr">
        <is>
          <t>N/A</t>
        </is>
      </c>
      <c r="D38" s="15" t="n"/>
      <c r="E38" s="15" t="n"/>
      <c r="F38" s="15" t="n"/>
    </row>
    <row r="39">
      <c r="A39" s="11" t="inlineStr">
        <is>
          <t>Financing Effect on Change in ROE</t>
        </is>
      </c>
      <c r="B39" s="11" t="inlineStr">
        <is>
          <t>N/A</t>
        </is>
      </c>
      <c r="C39" s="11" t="inlineStr">
        <is>
          <t>N/A</t>
        </is>
      </c>
      <c r="D39" s="15" t="n"/>
      <c r="E39" s="15" t="n"/>
      <c r="F39" s="15" t="n"/>
    </row>
    <row r="40">
      <c r="A40" s="11" t="inlineStr">
        <is>
          <t>Change in ROE from Drivers</t>
        </is>
      </c>
      <c r="B40" s="11" t="inlineStr">
        <is>
          <t>N/A</t>
        </is>
      </c>
      <c r="C40" s="11" t="inlineStr">
        <is>
          <t>N/A</t>
        </is>
      </c>
      <c r="D40" s="15" t="n"/>
      <c r="E40" s="15" t="n"/>
      <c r="F40" s="15" t="n"/>
    </row>
    <row r="41">
      <c r="A41" s="11" t="inlineStr">
        <is>
          <t>ROE CHANGE ATTRIBUTION CHECK</t>
        </is>
      </c>
      <c r="B41" s="11" t="inlineStr">
        <is>
          <t>N/A</t>
        </is>
      </c>
      <c r="C41" s="11" t="inlineStr">
        <is>
          <t>N/A</t>
        </is>
      </c>
      <c r="D41" s="11">
        <f>IF(OR(ISNA(D40),ISNA(D35)),"N/A",IF(ABS(D40-D35)&lt;0.0000001,"OK","CHECK"))</f>
        <v/>
      </c>
      <c r="E41" s="11">
        <f>IF(OR(ISNA(E40),ISNA(E35)),"N/A",IF(ABS(E40-E35)&lt;0.0000001,"OK","CHECK"))</f>
        <v/>
      </c>
      <c r="F41" s="11">
        <f>IF(OR(ISNA(F40),ISNA(F35)),"N/A",IF(ABS(F40-F35)&lt;0.0000001,"OK","CHECK"))</f>
        <v/>
      </c>
    </row>
    <row r="43">
      <c r="A43" s="11" t="inlineStr">
        <is>
          <t>FIXED-ASSET INTENSITY CONTEXT</t>
        </is>
      </c>
    </row>
    <row r="44">
      <c r="A44" s="11" t="inlineStr">
        <is>
          <t>Property, Plant &amp; Equipment</t>
        </is>
      </c>
      <c r="B44" s="16" t="n"/>
      <c r="C44" s="16" t="n"/>
      <c r="D44" s="16" t="n"/>
      <c r="E44" s="16" t="n"/>
      <c r="F44" s="16" t="n"/>
    </row>
    <row r="45">
      <c r="A45" s="11" t="inlineStr">
        <is>
          <t>Depreciation &amp; Amortisation</t>
        </is>
      </c>
      <c r="B45" s="16" t="n"/>
      <c r="C45" s="16" t="n"/>
      <c r="D45" s="16" t="n"/>
      <c r="E45" s="16" t="n"/>
      <c r="F45" s="16" t="n"/>
    </row>
    <row r="46">
      <c r="A46" s="11" t="inlineStr">
        <is>
          <t>Average PP&amp;E</t>
        </is>
      </c>
      <c r="B46" s="11" t="inlineStr">
        <is>
          <t>N/A</t>
        </is>
      </c>
      <c r="C46" s="16" t="n"/>
      <c r="D46" s="16" t="n"/>
      <c r="E46" s="16" t="n"/>
      <c r="F46" s="16" t="n"/>
    </row>
    <row r="47">
      <c r="A47" s="11" t="inlineStr">
        <is>
          <t>PP&amp;E Turnover</t>
        </is>
      </c>
      <c r="B47" s="11" t="inlineStr">
        <is>
          <t>N/A</t>
        </is>
      </c>
      <c r="C47" s="17" t="n"/>
      <c r="D47" s="17" t="n"/>
      <c r="E47" s="17" t="n"/>
      <c r="F47" s="17" t="n"/>
    </row>
    <row r="48">
      <c r="A48" s="11" t="inlineStr">
        <is>
          <t>PP&amp;E Intensity</t>
        </is>
      </c>
      <c r="B48" s="11" t="inlineStr">
        <is>
          <t>N/A</t>
        </is>
      </c>
      <c r="C48" s="15" t="n"/>
      <c r="D48" s="15" t="n"/>
      <c r="E48" s="15" t="n"/>
      <c r="F48" s="15" t="n"/>
    </row>
    <row r="49">
      <c r="A49" s="11" t="inlineStr">
        <is>
          <t>Change in PP&amp;E</t>
        </is>
      </c>
      <c r="B49" s="11" t="inlineStr">
        <is>
          <t>N/A</t>
        </is>
      </c>
      <c r="C49" s="16" t="n"/>
      <c r="D49" s="16" t="n"/>
      <c r="E49" s="16" t="n"/>
      <c r="F49" s="16" t="n"/>
    </row>
    <row r="50">
      <c r="A50" s="11" t="inlineStr">
        <is>
          <t>D&amp;A / Revenue</t>
        </is>
      </c>
      <c r="B50" s="15" t="n"/>
      <c r="C50" s="15" t="n"/>
      <c r="D50" s="15" t="n"/>
      <c r="E50" s="15" t="n"/>
      <c r="F50" s="15" t="n"/>
    </row>
    <row r="51">
      <c r="A51" s="11" t="inlineStr">
        <is>
          <t>D&amp;A / Average PP&amp;E</t>
        </is>
      </c>
      <c r="B51" s="11" t="inlineStr">
        <is>
          <t>N/A</t>
        </is>
      </c>
      <c r="C51" s="15" t="n"/>
      <c r="D51" s="15" t="n"/>
      <c r="E51" s="15" t="n"/>
      <c r="F51" s="15" t="n"/>
    </row>
    <row r="52">
      <c r="A52" s="11" t="inlineStr">
        <is>
          <t>FIXED-ASSET INTENSITY CHECK</t>
        </is>
      </c>
      <c r="B52" s="11" t="inlineStr">
        <is>
          <t>N/A</t>
        </is>
      </c>
      <c r="C52" s="11">
        <f>IF(OR(ISNA(C47),ISNA(C48)),"N/A",IF(ABS(C47*C48-1)&lt;0.0000001,"OK","CHECK"))</f>
        <v/>
      </c>
      <c r="D52" s="11">
        <f>IF(OR(ISNA(D47),ISNA(D48)),"N/A",IF(ABS(D47*D48-1)&lt;0.0000001,"OK","CHECK"))</f>
        <v/>
      </c>
      <c r="E52" s="11">
        <f>IF(OR(ISNA(E47),ISNA(E48)),"N/A",IF(ABS(E47*E48-1)&lt;0.0000001,"OK","CHECK"))</f>
        <v/>
      </c>
      <c r="F52" s="11">
        <f>IF(OR(ISNA(F47),ISNA(F48)),"N/A",IF(ABS(F47*F48-1)&lt;0.0000001,"OK","CHECK"))</f>
        <v/>
      </c>
    </row>
    <row r="54">
      <c r="A54" s="11" t="inlineStr">
        <is>
          <t>LEASE LIABILITY CONTEXT</t>
        </is>
      </c>
    </row>
    <row r="55">
      <c r="A55" s="11" t="inlineStr">
        <is>
          <t>Lease Liability</t>
        </is>
      </c>
      <c r="B55" s="16" t="n"/>
      <c r="C55" s="16" t="n"/>
      <c r="D55" s="16" t="n"/>
      <c r="E55" s="16" t="n"/>
      <c r="F55" s="16" t="n"/>
    </row>
    <row r="56">
      <c r="A56" s="11" t="inlineStr">
        <is>
          <t>Lease Liability / Revenue</t>
        </is>
      </c>
      <c r="B56" s="15" t="n"/>
      <c r="C56" s="15" t="n"/>
      <c r="D56" s="15" t="n"/>
      <c r="E56" s="15" t="n"/>
      <c r="F56" s="15" t="n"/>
    </row>
    <row r="57">
      <c r="A57" s="11" t="inlineStr">
        <is>
          <t>Change in Lease Liability</t>
        </is>
      </c>
      <c r="B57" s="11" t="inlineStr">
        <is>
          <t>N/A</t>
        </is>
      </c>
      <c r="C57" s="16" t="n"/>
      <c r="D57" s="16" t="n"/>
      <c r="E57" s="16" t="n"/>
      <c r="F57" s="16" t="n"/>
    </row>
    <row r="58">
      <c r="A58" s="11" t="inlineStr">
        <is>
          <t>Lease Liability Growth</t>
        </is>
      </c>
      <c r="B58" s="11" t="inlineStr">
        <is>
          <t>N/A</t>
        </is>
      </c>
      <c r="C58" s="15" t="n"/>
      <c r="D58" s="15" t="n"/>
      <c r="E58" s="15" t="n"/>
      <c r="F58" s="15" t="n"/>
    </row>
    <row r="60">
      <c r="A60" s="11" t="inlineStr">
        <is>
          <t>LEASE ROU-ASSET CONTEXT</t>
        </is>
      </c>
    </row>
    <row r="61">
      <c r="A61" s="11" t="inlineStr">
        <is>
          <t>Right-of-use Assets</t>
        </is>
      </c>
      <c r="B61" s="13">
        <f>'Balance Sheet'!B42</f>
        <v/>
      </c>
      <c r="C61" s="13">
        <f>'Balance Sheet'!C42</f>
        <v/>
      </c>
      <c r="D61" s="13">
        <f>'Balance Sheet'!D42</f>
        <v/>
      </c>
      <c r="E61" s="13">
        <f>'Balance Sheet'!E42</f>
        <v/>
      </c>
      <c r="F61" s="13">
        <f>'Balance Sheet'!F42</f>
        <v/>
      </c>
    </row>
    <row r="62">
      <c r="A62" s="11" t="inlineStr">
        <is>
          <t>Change in Right-of-use Assets</t>
        </is>
      </c>
      <c r="C62" s="16" t="n"/>
      <c r="D62" s="16" t="n"/>
      <c r="E62" s="16" t="n"/>
      <c r="F62" s="16" t="n"/>
    </row>
    <row r="63">
      <c r="A63" s="11" t="inlineStr">
        <is>
          <t>Right-of-use Assets Growth</t>
        </is>
      </c>
      <c r="C63" s="15" t="n"/>
      <c r="D63" s="15" t="n"/>
      <c r="E63" s="15" t="n"/>
      <c r="F63" s="15" t="n"/>
    </row>
    <row r="64">
      <c r="A64" s="11" t="inlineStr">
        <is>
          <t>Average Right-of-use Assets</t>
        </is>
      </c>
      <c r="C64" s="16" t="n"/>
      <c r="D64" s="16" t="n"/>
      <c r="E64" s="16" t="n"/>
      <c r="F64" s="16" t="n"/>
    </row>
    <row r="65">
      <c r="A65" s="11" t="inlineStr">
        <is>
          <t>Average Right-of-use Assets / Revenue</t>
        </is>
      </c>
      <c r="C65" s="15" t="n"/>
      <c r="D65" s="15" t="n"/>
      <c r="E65" s="15" t="n"/>
      <c r="F65" s="15" t="n"/>
    </row>
    <row r="67">
      <c r="A67" s="11" t="inlineStr">
        <is>
          <t>DEFERRED-TAX BALANCE CONTEXT</t>
        </is>
      </c>
    </row>
    <row r="68">
      <c r="A68" s="11" t="inlineStr">
        <is>
          <t>Deferred Tax Assets</t>
        </is>
      </c>
      <c r="B68" s="13">
        <f>'Balance Sheet'!B34</f>
        <v/>
      </c>
      <c r="C68" s="13">
        <f>'Balance Sheet'!C34</f>
        <v/>
      </c>
      <c r="D68" s="13">
        <f>'Balance Sheet'!D34</f>
        <v/>
      </c>
      <c r="E68" s="13">
        <f>'Balance Sheet'!E34</f>
        <v/>
      </c>
      <c r="F68" s="13">
        <f>'Balance Sheet'!F34</f>
        <v/>
      </c>
    </row>
    <row r="69">
      <c r="A69" s="11" t="inlineStr">
        <is>
          <t>Deferred Tax Liabilities</t>
        </is>
      </c>
      <c r="B69" s="13">
        <f>'Balance Sheet'!B44</f>
        <v/>
      </c>
      <c r="C69" s="13">
        <f>'Balance Sheet'!C44</f>
        <v/>
      </c>
      <c r="D69" s="13">
        <f>'Balance Sheet'!D44</f>
        <v/>
      </c>
      <c r="E69" s="13">
        <f>'Balance Sheet'!E44</f>
        <v/>
      </c>
      <c r="F69" s="13">
        <f>'Balance Sheet'!F44</f>
        <v/>
      </c>
    </row>
    <row r="70">
      <c r="A70" s="11" t="inlineStr">
        <is>
          <t>Net Deferred-Tax Asset Position (DTA − DTL)</t>
        </is>
      </c>
      <c r="B70" s="16" t="n"/>
      <c r="C70" s="16" t="n"/>
      <c r="D70" s="16" t="n"/>
      <c r="E70" s="16" t="n"/>
      <c r="F70" s="16" t="n"/>
    </row>
    <row r="71">
      <c r="A71" s="11" t="inlineStr">
        <is>
          <t>Change in Deferred Tax Assets</t>
        </is>
      </c>
      <c r="C71" s="16" t="n"/>
      <c r="D71" s="16" t="n"/>
      <c r="E71" s="16" t="n"/>
      <c r="F71" s="16" t="n"/>
    </row>
    <row r="72">
      <c r="A72" s="11" t="inlineStr">
        <is>
          <t>Change in Deferred Tax Liabilities</t>
        </is>
      </c>
      <c r="C72" s="16" t="n"/>
      <c r="D72" s="16" t="n"/>
      <c r="E72" s="16" t="n"/>
      <c r="F72" s="16" t="n"/>
    </row>
    <row r="73">
      <c r="A73" s="11" t="inlineStr">
        <is>
          <t>Change in Net Deferred-Tax Asset Position</t>
        </is>
      </c>
      <c r="C73" s="16" t="n"/>
      <c r="D73" s="16" t="n"/>
      <c r="E73" s="16" t="n"/>
      <c r="F73" s="16" t="n"/>
    </row>
    <row r="75">
      <c r="A75" s="11" t="inlineStr">
        <is>
          <t>PP&amp;E CAPEX CONTEXT</t>
        </is>
      </c>
    </row>
    <row r="76">
      <c r="A76" s="11" t="inlineStr">
        <is>
          <t>Payments for Property, Plant &amp; Equipment (reported)</t>
        </is>
      </c>
      <c r="B76" s="13">
        <f>'Cash Flow Statement'!B41</f>
        <v/>
      </c>
      <c r="C76" s="13">
        <f>'Cash Flow Statement'!C41</f>
        <v/>
      </c>
      <c r="D76" s="13">
        <f>'Cash Flow Statement'!D41</f>
        <v/>
      </c>
      <c r="E76" s="13">
        <f>'Cash Flow Statement'!E41</f>
        <v/>
      </c>
      <c r="F76" s="13">
        <f>'Cash Flow Statement'!F41</f>
        <v/>
      </c>
    </row>
    <row r="77">
      <c r="A77" s="11" t="inlineStr">
        <is>
          <t>PP&amp;E Capex (−reported)</t>
        </is>
      </c>
      <c r="B77" s="16" t="n"/>
      <c r="C77" s="16" t="n"/>
      <c r="D77" s="16" t="n"/>
      <c r="E77" s="16" t="n"/>
      <c r="F77" s="16" t="n"/>
    </row>
    <row r="78">
      <c r="A78" s="11" t="inlineStr">
        <is>
          <t>PP&amp;E Capex / Revenue</t>
        </is>
      </c>
      <c r="B78" s="15" t="n"/>
      <c r="C78" s="15" t="n"/>
      <c r="D78" s="15" t="n"/>
      <c r="E78" s="15" t="n"/>
      <c r="F78" s="15" t="n"/>
    </row>
    <row r="80">
      <c r="A80" s="11" t="inlineStr">
        <is>
          <t>OPERATING CASH AFTER PP&amp;E CAPEX</t>
        </is>
      </c>
    </row>
    <row r="81">
      <c r="A81" s="11" t="inlineStr">
        <is>
          <t>Operating Cash Flow (reported)</t>
        </is>
      </c>
      <c r="B81" s="13">
        <f>'Cash Flow Statement'!B30</f>
        <v/>
      </c>
      <c r="C81" s="13">
        <f>'Cash Flow Statement'!C30</f>
        <v/>
      </c>
      <c r="D81" s="13">
        <f>'Cash Flow Statement'!D30</f>
        <v/>
      </c>
      <c r="E81" s="13">
        <f>'Cash Flow Statement'!E30</f>
        <v/>
      </c>
      <c r="F81" s="13">
        <f>'Cash Flow Statement'!F30</f>
        <v/>
      </c>
    </row>
    <row r="82">
      <c r="A82" s="11" t="inlineStr">
        <is>
          <t>Operating cash after PP&amp;E capex</t>
        </is>
      </c>
      <c r="B82" s="16" t="n"/>
      <c r="C82" s="16" t="n"/>
      <c r="D82" s="16" t="n"/>
      <c r="E82" s="16" t="n"/>
      <c r="F82" s="16" t="n"/>
    </row>
    <row r="83">
      <c r="A83" s="11" t="inlineStr">
        <is>
          <t>Operating cash after PP&amp;E capex / Revenue</t>
        </is>
      </c>
      <c r="B83" s="15" t="n"/>
      <c r="C83" s="15" t="n"/>
      <c r="D83" s="15" t="n"/>
      <c r="E83" s="15" t="n"/>
      <c r="F83" s="15" t="n"/>
    </row>
    <row r="85">
      <c r="A85" s="11" t="inlineStr">
        <is>
          <t>LEASE REPAYMENT CONTEXT</t>
        </is>
      </c>
    </row>
    <row r="86">
      <c r="A86" s="11" t="inlineStr">
        <is>
          <t>Repayments of Lease Liabilities (reported)</t>
        </is>
      </c>
      <c r="B86" s="13">
        <f>'Cash Flow Statement'!B47</f>
        <v/>
      </c>
      <c r="C86" s="13">
        <f>'Cash Flow Statement'!C47</f>
        <v/>
      </c>
      <c r="D86" s="13">
        <f>'Cash Flow Statement'!D47</f>
        <v/>
      </c>
      <c r="E86" s="13">
        <f>'Cash Flow Statement'!E47</f>
        <v/>
      </c>
      <c r="F86" s="13">
        <f>'Cash Flow Statement'!F47</f>
        <v/>
      </c>
    </row>
    <row r="87">
      <c r="A87" s="11" t="inlineStr">
        <is>
          <t>Lease Repayments (−reported)</t>
        </is>
      </c>
      <c r="B87" s="16" t="n"/>
      <c r="C87" s="16" t="n"/>
      <c r="D87" s="16" t="n"/>
      <c r="E87" s="16" t="n"/>
      <c r="F87" s="16" t="n"/>
    </row>
    <row r="88">
      <c r="A88" s="11" t="inlineStr">
        <is>
          <t>Lease Repayments / Revenue</t>
        </is>
      </c>
      <c r="B88" s="15" t="n"/>
      <c r="C88" s="15" t="n"/>
      <c r="D88" s="15" t="n"/>
      <c r="E88" s="15" t="n"/>
      <c r="F88" s="15" t="n"/>
    </row>
    <row r="90">
      <c r="A90" s="11" t="inlineStr">
        <is>
          <t>CASH ROLL-FORWARD CONTEXT</t>
        </is>
      </c>
    </row>
    <row r="91">
      <c r="A91" s="11" t="inlineStr">
        <is>
          <t>Net cash from operating activities (reported)</t>
        </is>
      </c>
      <c r="B91" s="13">
        <f>'Cash Flow Statement'!B30</f>
        <v/>
      </c>
      <c r="C91" s="13">
        <f>'Cash Flow Statement'!C30</f>
        <v/>
      </c>
      <c r="D91" s="13">
        <f>'Cash Flow Statement'!D30</f>
        <v/>
      </c>
      <c r="E91" s="13">
        <f>'Cash Flow Statement'!E30</f>
        <v/>
      </c>
      <c r="F91" s="13">
        <f>'Cash Flow Statement'!F30</f>
        <v/>
      </c>
    </row>
    <row r="92">
      <c r="A92" s="11" t="inlineStr">
        <is>
          <t>Net cash from investing activities (reported)</t>
        </is>
      </c>
      <c r="B92" s="13">
        <f>'Cash Flow Statement'!B32</f>
        <v/>
      </c>
      <c r="C92" s="13">
        <f>'Cash Flow Statement'!C32</f>
        <v/>
      </c>
      <c r="D92" s="13">
        <f>'Cash Flow Statement'!D32</f>
        <v/>
      </c>
      <c r="E92" s="13">
        <f>'Cash Flow Statement'!E32</f>
        <v/>
      </c>
      <c r="F92" s="13">
        <f>'Cash Flow Statement'!F32</f>
        <v/>
      </c>
    </row>
    <row r="93">
      <c r="A93" s="11" t="inlineStr">
        <is>
          <t>Net cash from financing activities (reported)</t>
        </is>
      </c>
      <c r="B93" s="13">
        <f>'Cash Flow Statement'!B31</f>
        <v/>
      </c>
      <c r="C93" s="13">
        <f>'Cash Flow Statement'!C31</f>
        <v/>
      </c>
      <c r="D93" s="13">
        <f>'Cash Flow Statement'!D31</f>
        <v/>
      </c>
      <c r="E93" s="13">
        <f>'Cash Flow Statement'!E31</f>
        <v/>
      </c>
      <c r="F93" s="13">
        <f>'Cash Flow Statement'!F31</f>
        <v/>
      </c>
    </row>
    <row r="94">
      <c r="A94" s="11" t="inlineStr">
        <is>
          <t>Effect of FX on cash (reported)</t>
        </is>
      </c>
      <c r="B94" s="13">
        <f>'Cash Flow Statement'!B18</f>
        <v/>
      </c>
      <c r="C94" s="13">
        <f>'Cash Flow Statement'!C18</f>
        <v/>
      </c>
      <c r="D94" s="13">
        <f>'Cash Flow Statement'!D18</f>
        <v/>
      </c>
      <c r="E94" s="13">
        <f>'Cash Flow Statement'!E18</f>
        <v/>
      </c>
      <c r="F94" s="13">
        <f>'Cash Flow Statement'!F18</f>
        <v/>
      </c>
    </row>
    <row r="95">
      <c r="A95" s="11" t="inlineStr">
        <is>
          <t>Cash movement from flows</t>
        </is>
      </c>
      <c r="B95" s="16" t="n"/>
      <c r="C95" s="16" t="n"/>
      <c r="D95" s="16" t="n"/>
      <c r="E95" s="16" t="n"/>
      <c r="F95" s="16" t="n"/>
    </row>
    <row r="96">
      <c r="A96" s="11" t="inlineStr">
        <is>
          <t>Reported cash change</t>
        </is>
      </c>
      <c r="B96" s="13">
        <f>'Cash Flow Statement'!B33</f>
        <v/>
      </c>
      <c r="C96" s="13">
        <f>'Cash Flow Statement'!C33</f>
        <v/>
      </c>
      <c r="D96" s="13">
        <f>'Cash Flow Statement'!D33</f>
        <v/>
      </c>
      <c r="E96" s="13">
        <f>'Cash Flow Statement'!E33</f>
        <v/>
      </c>
      <c r="F96" s="13">
        <f>'Cash Flow Statement'!F33</f>
        <v/>
      </c>
    </row>
    <row r="97">
      <c r="A97" s="11" t="inlineStr">
        <is>
          <t>Cash movement difference</t>
        </is>
      </c>
      <c r="B97" s="16" t="n"/>
      <c r="C97" s="16" t="n"/>
      <c r="D97" s="16" t="n"/>
      <c r="E97" s="16" t="n"/>
      <c r="F97" s="16" t="n"/>
    </row>
    <row r="98">
      <c r="A98" s="11" t="inlineStr">
        <is>
          <t>Cash beginning (reported)</t>
        </is>
      </c>
      <c r="B98" s="13">
        <f>'Cash Flow Statement'!B12</f>
        <v/>
      </c>
      <c r="C98" s="13">
        <f>'Cash Flow Statement'!C12</f>
        <v/>
      </c>
      <c r="D98" s="13">
        <f>'Cash Flow Statement'!D12</f>
        <v/>
      </c>
      <c r="E98" s="13">
        <f>'Cash Flow Statement'!E12</f>
        <v/>
      </c>
      <c r="F98" s="13">
        <f>'Cash Flow Statement'!F12</f>
        <v/>
      </c>
    </row>
    <row r="99">
      <c r="A99" s="11" t="inlineStr">
        <is>
          <t>Cash ending from flows</t>
        </is>
      </c>
      <c r="B99" s="16" t="n"/>
      <c r="C99" s="16" t="n"/>
      <c r="D99" s="16" t="n"/>
      <c r="E99" s="16" t="n"/>
      <c r="F99" s="16" t="n"/>
    </row>
    <row r="100">
      <c r="A100" s="11" t="inlineStr">
        <is>
          <t>Cash ending (reported)</t>
        </is>
      </c>
      <c r="B100" s="13">
        <f>'Cash Flow Statement'!B13</f>
        <v/>
      </c>
      <c r="C100" s="13">
        <f>'Cash Flow Statement'!C13</f>
        <v/>
      </c>
      <c r="D100" s="13">
        <f>'Cash Flow Statement'!D13</f>
        <v/>
      </c>
      <c r="E100" s="13">
        <f>'Cash Flow Statement'!E13</f>
        <v/>
      </c>
      <c r="F100" s="13">
        <f>'Cash Flow Statement'!F13</f>
        <v/>
      </c>
    </row>
    <row r="101">
      <c r="A101" s="11" t="inlineStr">
        <is>
          <t>Cash ending difference</t>
        </is>
      </c>
      <c r="B101" s="16" t="n"/>
      <c r="C101" s="16" t="n"/>
      <c r="D101" s="16" t="n"/>
      <c r="E101" s="16" t="n"/>
      <c r="F101" s="16" t="n"/>
    </row>
    <row r="103">
      <c r="A103" s="11" t="inlineStr">
        <is>
          <t>REPORTED MARGIN BRIDGE CONTEXT</t>
        </is>
      </c>
    </row>
    <row r="104">
      <c r="A104" s="11" t="inlineStr">
        <is>
          <t>Revenue (reported)</t>
        </is>
      </c>
      <c r="B104" s="13">
        <f>'Income Statement'!B21</f>
        <v/>
      </c>
      <c r="C104" s="13">
        <f>'Income Statement'!C21</f>
        <v/>
      </c>
      <c r="D104" s="13">
        <f>'Income Statement'!D21</f>
        <v/>
      </c>
      <c r="E104" s="13">
        <f>'Income Statement'!E21</f>
        <v/>
      </c>
      <c r="F104" s="13">
        <f>'Income Statement'!F21</f>
        <v/>
      </c>
    </row>
    <row r="105">
      <c r="A105" s="11" t="inlineStr">
        <is>
          <t>Gross profit (reported)</t>
        </is>
      </c>
      <c r="B105" s="13">
        <f>'Income Statement'!B12</f>
        <v/>
      </c>
      <c r="C105" s="13">
        <f>'Income Statement'!C12</f>
        <v/>
      </c>
      <c r="D105" s="13">
        <f>'Income Statement'!D12</f>
        <v/>
      </c>
      <c r="E105" s="13">
        <f>'Income Statement'!E12</f>
        <v/>
      </c>
      <c r="F105" s="13">
        <f>'Income Statement'!F12</f>
        <v/>
      </c>
    </row>
    <row r="106">
      <c r="A106" s="11" t="inlineStr">
        <is>
          <t>Operating profit (reported)</t>
        </is>
      </c>
      <c r="B106" s="13">
        <f>'Income Statement'!B15</f>
        <v/>
      </c>
      <c r="C106" s="13">
        <f>'Income Statement'!C15</f>
        <v/>
      </c>
      <c r="D106" s="13">
        <f>'Income Statement'!D15</f>
        <v/>
      </c>
      <c r="E106" s="13">
        <f>'Income Statement'!E15</f>
        <v/>
      </c>
      <c r="F106" s="13">
        <f>'Income Statement'!F15</f>
        <v/>
      </c>
    </row>
    <row r="107">
      <c r="A107" s="11" t="inlineStr">
        <is>
          <t>Gross margin</t>
        </is>
      </c>
      <c r="B107" s="15" t="n"/>
      <c r="C107" s="15" t="n"/>
      <c r="D107" s="15" t="n"/>
      <c r="E107" s="15" t="n"/>
      <c r="F107" s="15" t="n"/>
    </row>
    <row r="108">
      <c r="A108" s="11" t="inlineStr">
        <is>
          <t>Reported operating margin</t>
        </is>
      </c>
      <c r="B108" s="15" t="n"/>
      <c r="C108" s="15" t="n"/>
      <c r="D108" s="15" t="n"/>
      <c r="E108" s="15" t="n"/>
      <c r="F108" s="15" t="n"/>
    </row>
    <row r="109">
      <c r="A109" s="11" t="inlineStr">
        <is>
          <t>Net operating expense burden</t>
        </is>
      </c>
      <c r="B109" s="15" t="n"/>
      <c r="C109" s="15" t="n"/>
      <c r="D109" s="15" t="n"/>
      <c r="E109" s="15" t="n"/>
      <c r="F109" s="15" t="n"/>
    </row>
    <row r="110">
      <c r="A110" s="11" t="inlineStr">
        <is>
          <t>Change in gross margin</t>
        </is>
      </c>
      <c r="C110" s="15" t="n"/>
      <c r="D110" s="15" t="n"/>
      <c r="E110" s="15" t="n"/>
      <c r="F110" s="15" t="n"/>
    </row>
    <row r="111">
      <c r="A111" s="11" t="inlineStr">
        <is>
          <t>Change in net operating expense burden</t>
        </is>
      </c>
      <c r="C111" s="15" t="n"/>
      <c r="D111" s="15" t="n"/>
      <c r="E111" s="15" t="n"/>
      <c r="F111" s="15" t="n"/>
    </row>
    <row r="112">
      <c r="A112" s="11" t="inlineStr">
        <is>
          <t>Reconstructed change in reported operating margin</t>
        </is>
      </c>
      <c r="C112" s="15" t="n"/>
      <c r="D112" s="15" t="n"/>
      <c r="E112" s="15" t="n"/>
      <c r="F112" s="15" t="n"/>
    </row>
    <row r="114">
      <c r="A114" s="11" t="inlineStr">
        <is>
          <t>INVENTORY GROWTH AND INTENSITY CONTEXT</t>
        </is>
      </c>
    </row>
    <row r="115">
      <c r="A115" s="11" t="inlineStr">
        <is>
          <t>Inventory (reported)</t>
        </is>
      </c>
      <c r="B115" s="13">
        <f>'Balance Sheet'!B11</f>
        <v/>
      </c>
      <c r="C115" s="13">
        <f>'Balance Sheet'!C11</f>
        <v/>
      </c>
      <c r="D115" s="13">
        <f>'Balance Sheet'!D11</f>
        <v/>
      </c>
      <c r="E115" s="13">
        <f>'Balance Sheet'!E11</f>
        <v/>
      </c>
      <c r="F115" s="13">
        <f>'Balance Sheet'!F11</f>
        <v/>
      </c>
    </row>
    <row r="116">
      <c r="A116" s="11" t="inlineStr">
        <is>
          <t>Revenue (reported)</t>
        </is>
      </c>
      <c r="B116" s="13">
        <f>'Income Statement'!B21</f>
        <v/>
      </c>
      <c r="C116" s="13">
        <f>'Income Statement'!C21</f>
        <v/>
      </c>
      <c r="D116" s="13">
        <f>'Income Statement'!D21</f>
        <v/>
      </c>
      <c r="E116" s="13">
        <f>'Income Statement'!E21</f>
        <v/>
      </c>
      <c r="F116" s="13">
        <f>'Income Statement'!F21</f>
        <v/>
      </c>
    </row>
    <row r="117">
      <c r="A117" s="11" t="inlineStr">
        <is>
          <t>Inventory intensity</t>
        </is>
      </c>
      <c r="B117" s="15" t="n"/>
      <c r="C117" s="15" t="n"/>
      <c r="D117" s="15" t="n"/>
      <c r="E117" s="15" t="n"/>
      <c r="F117" s="15" t="n"/>
    </row>
    <row r="118">
      <c r="A118" s="11" t="inlineStr">
        <is>
          <t>Change in inventory</t>
        </is>
      </c>
      <c r="C118" s="16" t="n"/>
      <c r="D118" s="16" t="n"/>
      <c r="E118" s="16" t="n"/>
      <c r="F118" s="16" t="n"/>
    </row>
    <row r="119">
      <c r="A119" s="11" t="inlineStr">
        <is>
          <t>Revenue-scale effect on inventory</t>
        </is>
      </c>
      <c r="C119" s="16" t="n"/>
      <c r="D119" s="16" t="n"/>
      <c r="E119" s="16" t="n"/>
      <c r="F119" s="16" t="n"/>
    </row>
    <row r="120">
      <c r="A120" s="11" t="inlineStr">
        <is>
          <t>Intensity effect on inventory</t>
        </is>
      </c>
      <c r="C120" s="16" t="n"/>
      <c r="D120" s="16" t="n"/>
      <c r="E120" s="16" t="n"/>
      <c r="F120" s="16" t="n"/>
    </row>
    <row r="121">
      <c r="A121" s="11" t="inlineStr">
        <is>
          <t>Reconstructed change in inventory</t>
        </is>
      </c>
      <c r="C121" s="16" t="n"/>
      <c r="D121" s="16" t="n"/>
      <c r="E121" s="16" t="n"/>
      <c r="F121" s="16" t="n"/>
    </row>
    <row r="123">
      <c r="A123" s="11" t="inlineStr">
        <is>
          <t>GOODWILL &amp; INTANGIBLES CONTEXT</t>
        </is>
      </c>
    </row>
    <row r="124">
      <c r="A124" s="11" t="inlineStr">
        <is>
          <t>Goodwill</t>
        </is>
      </c>
      <c r="B124" s="13">
        <f>'Balance Sheet'!B37</f>
        <v/>
      </c>
      <c r="C124" s="13">
        <f>'Balance Sheet'!C37</f>
        <v/>
      </c>
      <c r="D124" s="13">
        <f>'Balance Sheet'!D37</f>
        <v/>
      </c>
      <c r="E124" s="13">
        <f>'Balance Sheet'!E37</f>
        <v/>
      </c>
      <c r="F124" s="13">
        <f>'Balance Sheet'!F37</f>
        <v/>
      </c>
    </row>
    <row r="125">
      <c r="A125" s="11" t="inlineStr">
        <is>
          <t>Change in Goodwill</t>
        </is>
      </c>
      <c r="C125" s="16" t="n"/>
      <c r="D125" s="16" t="n"/>
      <c r="E125" s="16" t="n"/>
      <c r="F125" s="16" t="n"/>
    </row>
    <row r="126">
      <c r="A126" s="11" t="inlineStr">
        <is>
          <t>Goodwill Growth</t>
        </is>
      </c>
      <c r="C126" s="15" t="n"/>
      <c r="D126" s="15" t="n"/>
      <c r="E126" s="15" t="n"/>
      <c r="F126" s="15" t="n"/>
    </row>
    <row r="127">
      <c r="A127" s="11" t="inlineStr">
        <is>
          <t>Average Goodwill</t>
        </is>
      </c>
      <c r="C127" s="16" t="n"/>
      <c r="D127" s="16" t="n"/>
      <c r="E127" s="16" t="n"/>
      <c r="F127" s="16" t="n"/>
    </row>
    <row r="128">
      <c r="A128" s="11" t="inlineStr">
        <is>
          <t>Average Goodwill / Revenue</t>
        </is>
      </c>
      <c r="C128" s="15" t="n"/>
      <c r="D128" s="15" t="n"/>
      <c r="E128" s="15" t="n"/>
      <c r="F128" s="15" t="n"/>
    </row>
    <row r="129">
      <c r="A129" s="11" t="inlineStr">
        <is>
          <t>Intangible Assets</t>
        </is>
      </c>
      <c r="B129" s="13">
        <f>'Balance Sheet'!B38</f>
        <v/>
      </c>
      <c r="C129" s="13">
        <f>'Balance Sheet'!C38</f>
        <v/>
      </c>
      <c r="D129" s="13">
        <f>'Balance Sheet'!D38</f>
        <v/>
      </c>
      <c r="E129" s="13">
        <f>'Balance Sheet'!E38</f>
        <v/>
      </c>
      <c r="F129" s="13">
        <f>'Balance Sheet'!F38</f>
        <v/>
      </c>
    </row>
    <row r="130">
      <c r="A130" s="11" t="inlineStr">
        <is>
          <t>Change in Intangible Assets</t>
        </is>
      </c>
      <c r="C130" s="16" t="n"/>
      <c r="D130" s="16" t="n"/>
      <c r="E130" s="16" t="n"/>
      <c r="F130" s="16" t="n"/>
    </row>
    <row r="131">
      <c r="A131" s="11" t="inlineStr">
        <is>
          <t>Intangible Assets Growth</t>
        </is>
      </c>
      <c r="C131" s="15" t="n"/>
      <c r="D131" s="15" t="n"/>
      <c r="E131" s="15" t="n"/>
      <c r="F131" s="15" t="n"/>
    </row>
    <row r="132">
      <c r="A132" s="11" t="inlineStr">
        <is>
          <t>Average Intangible Assets</t>
        </is>
      </c>
      <c r="C132" s="16" t="n"/>
      <c r="D132" s="16" t="n"/>
      <c r="E132" s="16" t="n"/>
      <c r="F132" s="16" t="n"/>
    </row>
    <row r="133">
      <c r="A133" s="11" t="inlineStr">
        <is>
          <t>Average Intangible Assets / Revenue</t>
        </is>
      </c>
      <c r="C133" s="15" t="n"/>
      <c r="D133" s="15" t="n"/>
      <c r="E133" s="15" t="n"/>
      <c r="F133" s="15" t="n"/>
    </row>
    <row r="134">
      <c r="A134" s="11" t="inlineStr">
        <is>
          <t>Goodwill &amp; Intangibles</t>
        </is>
      </c>
      <c r="B134" s="13">
        <f>B124+B129</f>
        <v/>
      </c>
      <c r="C134" s="13">
        <f>C124+C129</f>
        <v/>
      </c>
      <c r="D134" s="13">
        <f>D124+D129</f>
        <v/>
      </c>
      <c r="E134" s="13">
        <f>E124+E129</f>
        <v/>
      </c>
      <c r="F134" s="13">
        <f>F124+F129</f>
        <v/>
      </c>
    </row>
    <row r="135">
      <c r="A135" s="11" t="inlineStr">
        <is>
          <t>Change in Goodwill &amp; Intangibles</t>
        </is>
      </c>
      <c r="C135" s="16" t="n"/>
      <c r="D135" s="16" t="n"/>
      <c r="E135" s="16" t="n"/>
      <c r="F135" s="16" t="n"/>
    </row>
    <row r="136">
      <c r="A136" s="11" t="inlineStr">
        <is>
          <t>Goodwill &amp; Intangibles Growth</t>
        </is>
      </c>
      <c r="C136" s="15" t="n"/>
      <c r="D136" s="15" t="n"/>
      <c r="E136" s="15" t="n"/>
      <c r="F136" s="15" t="n"/>
    </row>
    <row r="137">
      <c r="A137" s="11" t="inlineStr">
        <is>
          <t>Average Goodwill &amp; Intangibles</t>
        </is>
      </c>
      <c r="C137" s="16" t="n"/>
      <c r="D137" s="16" t="n"/>
      <c r="E137" s="16" t="n"/>
      <c r="F137" s="16" t="n"/>
    </row>
    <row r="138">
      <c r="A138" s="11" t="inlineStr">
        <is>
          <t>Average Goodwill &amp; Intangibles / Revenue</t>
        </is>
      </c>
      <c r="C138" s="15" t="n"/>
      <c r="D138" s="15" t="n"/>
      <c r="E138" s="15" t="n"/>
      <c r="F138" s="15" t="n"/>
    </row>
    <row r="139">
      <c r="A139" s="11" t="inlineStr">
        <is>
          <t>Payments for Intangible Assets (reported)</t>
        </is>
      </c>
      <c r="B139" s="13">
        <f>'Cash Flow Statement'!B38</f>
        <v/>
      </c>
      <c r="C139" s="13">
        <f>'Cash Flow Statement'!C38</f>
        <v/>
      </c>
      <c r="D139" s="13">
        <f>'Cash Flow Statement'!D38</f>
        <v/>
      </c>
      <c r="E139" s="13">
        <f>'Cash Flow Statement'!E38</f>
        <v/>
      </c>
      <c r="F139" s="13">
        <f>'Cash Flow Statement'!F38</f>
        <v/>
      </c>
    </row>
    <row r="140">
      <c r="A140" s="11" t="inlineStr">
        <is>
          <t>Intangible Payments (−reported)</t>
        </is>
      </c>
      <c r="B140" s="16" t="n"/>
      <c r="C140" s="16" t="n"/>
      <c r="D140" s="16" t="n"/>
      <c r="E140" s="16" t="n"/>
      <c r="F140" s="16" t="n"/>
    </row>
    <row r="141">
      <c r="A141" s="11" t="inlineStr">
        <is>
          <t>Intangible Payments / Revenue</t>
        </is>
      </c>
      <c r="B141" s="15" t="n"/>
      <c r="C141" s="15" t="n"/>
      <c r="D141" s="15" t="n"/>
      <c r="E141" s="15" t="n"/>
      <c r="F141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28" customWidth="1" min="4" max="4"/>
    <col width="32" customWidth="1" min="5" max="5"/>
    <col width="28" customWidth="1" min="6" max="6"/>
    <col width="40" customWidth="1" min="7" max="7"/>
    <col width="44" customWidth="1" min="8" max="8"/>
  </cols>
  <sheetData>
    <row r="1">
      <c r="A1" s="11" t="inlineStr">
        <is>
          <t>Accounting Judgment</t>
        </is>
      </c>
    </row>
    <row r="2">
      <c r="A2" s="11" t="inlineStr">
        <is>
          <t>The supplied treatment is the model's reference treatment, not a universal accounting truth. Compare it with the listed alternative(s), choose the treatment you would defend, and explain the economic consequence.</t>
        </is>
      </c>
    </row>
    <row r="3">
      <c r="A3" s="11" t="inlineStr">
        <is>
          <t>Choose a treatment in column F only. That choice drives the matching Condensed Financials classification and downstream historical schedules; leaving F blank uses the supplied reference treatment. Columns D:E are display context and must not be edited. Enter your rationale and economic consequence in G:H. Formula Check grades formula cells against the treatment currently selected in F and validates that the generated classification links remain intact; it does not grade the judgment response itself. Do not edit the linked Condensed Financials classification cell directly.</t>
        </is>
      </c>
    </row>
    <row r="4">
      <c r="A4" s="11" t="inlineStr">
        <is>
          <t>Order</t>
        </is>
      </c>
      <c r="B4" s="11" t="inlineStr">
        <is>
          <t>Line item</t>
        </is>
      </c>
      <c r="C4" s="11" t="inlineStr">
        <is>
          <t>Topic</t>
        </is>
      </c>
      <c r="D4" s="11" t="inlineStr">
        <is>
          <t>Supplied reference treatment</t>
        </is>
      </c>
      <c r="E4" s="11" t="inlineStr">
        <is>
          <t>Alternative(s) to evaluate</t>
        </is>
      </c>
      <c r="F4" s="11" t="inlineStr">
        <is>
          <t>Treatment to defend</t>
        </is>
      </c>
      <c r="G4" s="11" t="inlineStr">
        <is>
          <t>Rationale</t>
        </is>
      </c>
      <c r="H4" s="11" t="inlineStr">
        <is>
          <t>Economic consequence</t>
        </is>
      </c>
    </row>
    <row r="5">
      <c r="A5" s="11" t="n">
        <v>1</v>
      </c>
      <c r="B5" s="11" t="inlineStr">
        <is>
          <t>Derivative financial assets</t>
        </is>
      </c>
      <c r="C5" s="11" t="inlineStr">
        <is>
          <t>Current financial asset: financial vs operating</t>
        </is>
      </c>
      <c r="D5" s="11" t="inlineStr">
        <is>
          <t>Financial Asset</t>
        </is>
      </c>
      <c r="E5" s="11" t="inlineStr">
        <is>
          <t>Operating Working Capital Asset</t>
        </is>
      </c>
      <c r="F5" s="18" t="n"/>
      <c r="G5" s="18" t="n"/>
      <c r="H5" s="18" t="n"/>
    </row>
    <row r="6">
      <c r="A6" s="11" t="n">
        <v>2</v>
      </c>
      <c r="B6" s="11" t="inlineStr">
        <is>
          <t>Other assets</t>
        </is>
      </c>
      <c r="C6" s="11" t="inlineStr">
        <is>
          <t>Other current asset: operating vs financial</t>
        </is>
      </c>
      <c r="D6" s="11" t="inlineStr">
        <is>
          <t>Operating Working Capital Asset</t>
        </is>
      </c>
      <c r="E6" s="11" t="inlineStr">
        <is>
          <t>Financial Asset</t>
        </is>
      </c>
      <c r="F6" s="18" t="n"/>
      <c r="G6" s="18" t="n"/>
      <c r="H6" s="18" t="n"/>
    </row>
    <row r="7">
      <c r="A7" s="11" t="n">
        <v>3</v>
      </c>
      <c r="B7" s="11" t="inlineStr">
        <is>
          <t>Other financial assets</t>
        </is>
      </c>
      <c r="C7" s="11" t="inlineStr">
        <is>
          <t>Current financial asset: financial vs operating</t>
        </is>
      </c>
      <c r="D7" s="11" t="inlineStr">
        <is>
          <t>Financial Asset</t>
        </is>
      </c>
      <c r="E7" s="11" t="inlineStr">
        <is>
          <t>Operating Working Capital Asset</t>
        </is>
      </c>
      <c r="F7" s="18" t="n"/>
      <c r="G7" s="18" t="n"/>
      <c r="H7" s="18" t="n"/>
    </row>
    <row r="8">
      <c r="A8" s="11" t="n">
        <v>4</v>
      </c>
      <c r="B8" s="11" t="inlineStr">
        <is>
          <t>Derivative financial liabilities</t>
        </is>
      </c>
      <c r="C8" s="11" t="inlineStr">
        <is>
          <t>Current financial liability: financial vs operating</t>
        </is>
      </c>
      <c r="D8" s="11" t="inlineStr">
        <is>
          <t>Financial Liability</t>
        </is>
      </c>
      <c r="E8" s="11" t="inlineStr">
        <is>
          <t>Operating Working Capital Liability</t>
        </is>
      </c>
      <c r="F8" s="18" t="n"/>
      <c r="G8" s="18" t="n"/>
      <c r="H8" s="18" t="n"/>
    </row>
    <row r="9">
      <c r="A9" s="11" t="n">
        <v>5</v>
      </c>
      <c r="B9" s="11" t="inlineStr">
        <is>
          <t>Lease liabilities</t>
        </is>
      </c>
      <c r="C9" s="11" t="inlineStr">
        <is>
          <t>Lease liability operating vs financing</t>
        </is>
      </c>
      <c r="D9" s="11" t="inlineStr">
        <is>
          <t>Operating Long-Term Liability</t>
        </is>
      </c>
      <c r="E9" s="11" t="inlineStr">
        <is>
          <t>Financial Liability</t>
        </is>
      </c>
      <c r="F9" s="18" t="n"/>
      <c r="G9" s="18" t="n"/>
      <c r="H9" s="18" t="n"/>
    </row>
    <row r="10">
      <c r="A10" s="11" t="n">
        <v>6</v>
      </c>
      <c r="B10" s="11" t="inlineStr">
        <is>
          <t>Other financial liabilities</t>
        </is>
      </c>
      <c r="C10" s="11" t="inlineStr">
        <is>
          <t>Current financial liability: financial vs operating</t>
        </is>
      </c>
      <c r="D10" s="11" t="inlineStr">
        <is>
          <t>Financial Liability</t>
        </is>
      </c>
      <c r="E10" s="11" t="inlineStr">
        <is>
          <t>Operating Working Capital Liability</t>
        </is>
      </c>
      <c r="F10" s="18" t="n"/>
      <c r="G10" s="18" t="n"/>
      <c r="H10" s="18" t="n"/>
    </row>
    <row r="11">
      <c r="A11" s="11" t="n">
        <v>7</v>
      </c>
      <c r="B11" s="11" t="inlineStr">
        <is>
          <t>Other liabilities</t>
        </is>
      </c>
      <c r="C11" s="11" t="inlineStr">
        <is>
          <t>Other current liability: operating vs financial</t>
        </is>
      </c>
      <c r="D11" s="11" t="inlineStr">
        <is>
          <t>Operating Working Capital Liability</t>
        </is>
      </c>
      <c r="E11" s="11" t="inlineStr">
        <is>
          <t>Financial Liability</t>
        </is>
      </c>
      <c r="F11" s="18" t="n"/>
      <c r="G11" s="18" t="n"/>
      <c r="H11" s="18" t="n"/>
    </row>
    <row r="12">
      <c r="A12" s="11" t="n">
        <v>8</v>
      </c>
      <c r="B12" s="11" t="inlineStr">
        <is>
          <t>Derivative financial assets</t>
        </is>
      </c>
      <c r="C12" s="11" t="inlineStr">
        <is>
          <t>Non-current financial asset: financial vs operating</t>
        </is>
      </c>
      <c r="D12" s="11" t="inlineStr">
        <is>
          <t>Financial Asset</t>
        </is>
      </c>
      <c r="E12" s="11" t="inlineStr">
        <is>
          <t>Operating Long-Term Asset</t>
        </is>
      </c>
      <c r="F12" s="18" t="n"/>
      <c r="G12" s="18" t="n"/>
      <c r="H12" s="18" t="n"/>
    </row>
    <row r="13">
      <c r="A13" s="11" t="n">
        <v>9</v>
      </c>
      <c r="B13" s="11" t="inlineStr">
        <is>
          <t>Financial assets</t>
        </is>
      </c>
      <c r="C13" s="11" t="inlineStr">
        <is>
          <t>Non-current financial asset: financial vs operating</t>
        </is>
      </c>
      <c r="D13" s="11" t="inlineStr">
        <is>
          <t>Financial Asset</t>
        </is>
      </c>
      <c r="E13" s="11" t="inlineStr">
        <is>
          <t>Operating Long-Term Asset</t>
        </is>
      </c>
      <c r="F13" s="18" t="n"/>
      <c r="G13" s="18" t="n"/>
      <c r="H13" s="18" t="n"/>
    </row>
    <row r="14">
      <c r="A14" s="11" t="n">
        <v>10</v>
      </c>
      <c r="B14" s="11" t="inlineStr">
        <is>
          <t>Investments in associates accounted for using the equity method</t>
        </is>
      </c>
      <c r="C14" s="11" t="inlineStr">
        <is>
          <t>Equity-method investment operating vs financing</t>
        </is>
      </c>
      <c r="D14" s="11" t="inlineStr">
        <is>
          <t>Operating Long-Term Asset</t>
        </is>
      </c>
      <c r="E14" s="11" t="inlineStr">
        <is>
          <t>Financial Asset</t>
        </is>
      </c>
      <c r="F14" s="18" t="n"/>
      <c r="G14" s="18" t="n"/>
      <c r="H14" s="18" t="n"/>
    </row>
    <row r="15">
      <c r="A15" s="11" t="n">
        <v>11</v>
      </c>
      <c r="B15" s="11" t="inlineStr">
        <is>
          <t>Other assets</t>
        </is>
      </c>
      <c r="C15" s="11" t="inlineStr">
        <is>
          <t>Other non-current asset: operating vs financial</t>
        </is>
      </c>
      <c r="D15" s="11" t="inlineStr">
        <is>
          <t>Operating Long-Term Asset</t>
        </is>
      </c>
      <c r="E15" s="11" t="inlineStr">
        <is>
          <t>Financial Asset</t>
        </is>
      </c>
      <c r="F15" s="18" t="n"/>
      <c r="G15" s="18" t="n"/>
      <c r="H15" s="18" t="n"/>
    </row>
    <row r="16">
      <c r="A16" s="11" t="n">
        <v>12</v>
      </c>
      <c r="B16" s="11" t="inlineStr">
        <is>
          <t>Derivative financial liabilities</t>
        </is>
      </c>
      <c r="C16" s="11" t="inlineStr">
        <is>
          <t>Non-current financial liability: financial vs operating</t>
        </is>
      </c>
      <c r="D16" s="11" t="inlineStr">
        <is>
          <t>Financial Liability</t>
        </is>
      </c>
      <c r="E16" s="11" t="inlineStr">
        <is>
          <t>Operating Long-Term Liability</t>
        </is>
      </c>
      <c r="F16" s="18" t="n"/>
      <c r="G16" s="18" t="n"/>
      <c r="H16" s="18" t="n"/>
    </row>
    <row r="17">
      <c r="A17" s="11" t="n">
        <v>13</v>
      </c>
      <c r="B17" s="11" t="inlineStr">
        <is>
          <t>Financial liabilities</t>
        </is>
      </c>
      <c r="C17" s="11" t="inlineStr">
        <is>
          <t>Non-current financial liability: financial vs operating</t>
        </is>
      </c>
      <c r="D17" s="11" t="inlineStr">
        <is>
          <t>Financial Liability</t>
        </is>
      </c>
      <c r="E17" s="11" t="inlineStr">
        <is>
          <t>Operating Long-Term Liability</t>
        </is>
      </c>
      <c r="F17" s="18" t="n"/>
      <c r="G17" s="18" t="n"/>
      <c r="H17" s="18" t="n"/>
    </row>
    <row r="18">
      <c r="A18" s="11" t="n">
        <v>14</v>
      </c>
      <c r="B18" s="11" t="inlineStr">
        <is>
          <t>Lease liabilities</t>
        </is>
      </c>
      <c r="C18" s="11" t="inlineStr">
        <is>
          <t>Lease liability operating vs financing</t>
        </is>
      </c>
      <c r="D18" s="11" t="inlineStr">
        <is>
          <t>Operating Long-Term Liability</t>
        </is>
      </c>
      <c r="E18" s="11" t="inlineStr">
        <is>
          <t>Financial Liability</t>
        </is>
      </c>
      <c r="F18" s="18" t="n"/>
      <c r="G18" s="18" t="n"/>
      <c r="H18" s="18" t="n"/>
    </row>
    <row r="19">
      <c r="A19" s="11" t="n">
        <v>15</v>
      </c>
      <c r="B19" s="11" t="inlineStr">
        <is>
          <t>Other liabilities</t>
        </is>
      </c>
      <c r="C19" s="11" t="inlineStr">
        <is>
          <t>Other non-current liability: operating vs financial</t>
        </is>
      </c>
      <c r="D19" s="11" t="inlineStr">
        <is>
          <t>Operating Long-Term Liability</t>
        </is>
      </c>
      <c r="E19" s="11" t="inlineStr">
        <is>
          <t>Financial Liability</t>
        </is>
      </c>
      <c r="F19" s="18" t="n"/>
      <c r="G19" s="18" t="n"/>
      <c r="H19" s="18" t="n"/>
    </row>
  </sheetData>
  <dataValidations count="15">
    <dataValidation sqref="F5" showDropDown="0" showInputMessage="0" showErrorMessage="0" allowBlank="1" type="list">
      <formula1>"Financial Asset,Operating Working Capital Asset"</formula1>
    </dataValidation>
    <dataValidation sqref="F6" showDropDown="0" showInputMessage="0" showErrorMessage="0" allowBlank="1" type="list">
      <formula1>"Operating Working Capital Asset,Financial Asset"</formula1>
    </dataValidation>
    <dataValidation sqref="F7" showDropDown="0" showInputMessage="0" showErrorMessage="0" allowBlank="1" type="list">
      <formula1>"Financial Asset,Operating Working Capital Asset"</formula1>
    </dataValidation>
    <dataValidation sqref="F8" showDropDown="0" showInputMessage="0" showErrorMessage="0" allowBlank="1" type="list">
      <formula1>"Financial Liability,Operating Working Capital Liability"</formula1>
    </dataValidation>
    <dataValidation sqref="F9" showDropDown="0" showInputMessage="0" showErrorMessage="0" allowBlank="1" type="list">
      <formula1>"Operating Long-Term Liability,Financial Liability"</formula1>
    </dataValidation>
    <dataValidation sqref="F10" showDropDown="0" showInputMessage="0" showErrorMessage="0" allowBlank="1" type="list">
      <formula1>"Financial Liability,Operating Working Capital Liability"</formula1>
    </dataValidation>
    <dataValidation sqref="F11" showDropDown="0" showInputMessage="0" showErrorMessage="0" allowBlank="1" type="list">
      <formula1>"Operating Working Capital Liability,Financial Liability"</formula1>
    </dataValidation>
    <dataValidation sqref="F12" showDropDown="0" showInputMessage="0" showErrorMessage="0" allowBlank="1" type="list">
      <formula1>"Financial Asset,Operating Long-Term Asset"</formula1>
    </dataValidation>
    <dataValidation sqref="F13" showDropDown="0" showInputMessage="0" showErrorMessage="0" allowBlank="1" type="list">
      <formula1>"Financial Asset,Operating Long-Term Asset"</formula1>
    </dataValidation>
    <dataValidation sqref="F14" showDropDown="0" showInputMessage="0" showErrorMessage="0" allowBlank="1" type="list">
      <formula1>"Operating Long-Term Asset,Financial Asset"</formula1>
    </dataValidation>
    <dataValidation sqref="F15" showDropDown="0" showInputMessage="0" showErrorMessage="0" allowBlank="1" type="list">
      <formula1>"Operating Long-Term Asset,Financial Asset"</formula1>
    </dataValidation>
    <dataValidation sqref="F16" showDropDown="0" showInputMessage="0" showErrorMessage="0" allowBlank="1" type="list">
      <formula1>"Financial Liability,Operating Long-Term Liability"</formula1>
    </dataValidation>
    <dataValidation sqref="F17" showDropDown="0" showInputMessage="0" showErrorMessage="0" allowBlank="1" type="list">
      <formula1>"Financial Liability,Operating Long-Term Liability"</formula1>
    </dataValidation>
    <dataValidation sqref="F18" showDropDown="0" showInputMessage="0" showErrorMessage="0" allowBlank="1" type="list">
      <formula1>"Operating Long-Term Liability,Financial Liability"</formula1>
    </dataValidation>
    <dataValidation sqref="F19" showDropDown="0" showInputMessage="0" showErrorMessage="0" allowBlank="1" type="list">
      <formula1>"Operating Long-Term Liability,Financial Liability"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Ownership Attribution</t>
        </is>
      </c>
    </row>
    <row r="2">
      <c r="A2" s="11" t="inlineStr">
        <is>
          <t>Parent / NCI profit and equity bridges and parent ROE. Consolidated DuPont / NOA / Net Debt remain unchanged; parent ROE is a separate shareholder-attribution diagnostic.</t>
        </is>
      </c>
    </row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Parent Profit</t>
        </is>
      </c>
      <c r="B5" s="16" t="n"/>
      <c r="C5" s="16" t="n"/>
      <c r="D5" s="16" t="n"/>
      <c r="E5" s="16" t="n"/>
      <c r="F5" s="16" t="n"/>
    </row>
    <row r="6">
      <c r="A6" s="11" t="inlineStr">
        <is>
          <t>NCI Profit</t>
        </is>
      </c>
      <c r="B6" s="16" t="n"/>
      <c r="C6" s="16" t="n"/>
      <c r="D6" s="16" t="n"/>
      <c r="E6" s="16" t="n"/>
      <c r="F6" s="16" t="n"/>
    </row>
    <row r="7">
      <c r="A7" s="11" t="inlineStr">
        <is>
          <t>Total Profit</t>
        </is>
      </c>
      <c r="B7" s="13">
        <f>'Income Statement'!B20</f>
        <v/>
      </c>
      <c r="C7" s="13">
        <f>'Income Statement'!C20</f>
        <v/>
      </c>
      <c r="D7" s="13">
        <f>'Income Statement'!D20</f>
        <v/>
      </c>
      <c r="E7" s="13">
        <f>'Income Statement'!E20</f>
        <v/>
      </c>
      <c r="F7" s="13">
        <f>'Income Statement'!F20</f>
        <v/>
      </c>
    </row>
    <row r="8">
      <c r="A8" s="11" t="inlineStr">
        <is>
          <t>Profit Attribution Gap</t>
        </is>
      </c>
      <c r="B8" s="16" t="n"/>
      <c r="C8" s="16" t="n"/>
      <c r="D8" s="16" t="n"/>
      <c r="E8" s="16" t="n"/>
      <c r="F8" s="16" t="n"/>
    </row>
    <row r="10">
      <c r="A10" s="11" t="inlineStr">
        <is>
          <t>Parent Equity</t>
        </is>
      </c>
      <c r="B10" s="16" t="n"/>
      <c r="C10" s="16" t="n"/>
      <c r="D10" s="16" t="n"/>
      <c r="E10" s="16" t="n"/>
      <c r="F10" s="16" t="n"/>
    </row>
    <row r="11">
      <c r="A11" s="11" t="inlineStr">
        <is>
          <t>NCI Equity</t>
        </is>
      </c>
      <c r="B11" s="16" t="n"/>
      <c r="C11" s="16" t="n"/>
      <c r="D11" s="16" t="n"/>
      <c r="E11" s="16" t="n"/>
      <c r="F11" s="16" t="n"/>
    </row>
    <row r="12">
      <c r="A12" s="11" t="inlineStr">
        <is>
          <t>Total Equity</t>
        </is>
      </c>
      <c r="B12" s="13">
        <f>'Balance Sheet'!B30</f>
        <v/>
      </c>
      <c r="C12" s="13">
        <f>'Balance Sheet'!C30</f>
        <v/>
      </c>
      <c r="D12" s="13">
        <f>'Balance Sheet'!D30</f>
        <v/>
      </c>
      <c r="E12" s="13">
        <f>'Balance Sheet'!E30</f>
        <v/>
      </c>
      <c r="F12" s="13">
        <f>'Balance Sheet'!F30</f>
        <v/>
      </c>
    </row>
    <row r="13">
      <c r="A13" s="11" t="inlineStr">
        <is>
          <t>Equity Attribution Gap</t>
        </is>
      </c>
      <c r="B13" s="16" t="n"/>
      <c r="C13" s="16" t="n"/>
      <c r="D13" s="16" t="n"/>
      <c r="E13" s="16" t="n"/>
      <c r="F13" s="16" t="n"/>
    </row>
    <row r="15">
      <c r="A15" s="11" t="inlineStr">
        <is>
          <t>Parent ROE</t>
        </is>
      </c>
      <c r="B15" s="11" t="inlineStr">
        <is>
          <t>N/A</t>
        </is>
      </c>
      <c r="C15" s="15" t="n"/>
      <c r="D15" s="15" t="n"/>
      <c r="E15" s="15" t="n"/>
      <c r="F15" s="1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Earnings Quality</t>
        </is>
      </c>
    </row>
    <row r="2">
      <c r="A2" s="11" t="inlineStr">
        <is>
          <t>Historical cash-conversion and accrual diagnostics. These are mechanical diagnostics, not an automatic quality score.</t>
        </is>
      </c>
    </row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Operating Cash Flow</t>
        </is>
      </c>
      <c r="B5" s="16" t="n"/>
      <c r="C5" s="16" t="n"/>
      <c r="D5" s="16" t="n"/>
      <c r="E5" s="16" t="n"/>
      <c r="F5" s="16" t="n"/>
    </row>
    <row r="6">
      <c r="A6" s="11" t="inlineStr">
        <is>
          <t>Reported Net Income</t>
        </is>
      </c>
      <c r="B6" s="13">
        <f>'Condensed Financials'!B45</f>
        <v/>
      </c>
      <c r="C6" s="13">
        <f>'Condensed Financials'!C45</f>
        <v/>
      </c>
      <c r="D6" s="13">
        <f>'Condensed Financials'!D45</f>
        <v/>
      </c>
      <c r="E6" s="13">
        <f>'Condensed Financials'!E45</f>
        <v/>
      </c>
      <c r="F6" s="13">
        <f>'Condensed Financials'!F45</f>
        <v/>
      </c>
    </row>
    <row r="7">
      <c r="A7" s="11" t="inlineStr">
        <is>
          <t>Cash Conversion Ratio</t>
        </is>
      </c>
      <c r="B7" s="17" t="n"/>
      <c r="C7" s="17" t="n"/>
      <c r="D7" s="17" t="n"/>
      <c r="E7" s="17" t="n"/>
      <c r="F7" s="17" t="n"/>
    </row>
    <row r="8">
      <c r="A8" s="11" t="inlineStr">
        <is>
          <t>Total Accruals (Net Income - CFO)</t>
        </is>
      </c>
      <c r="B8" s="16" t="n"/>
      <c r="C8" s="16" t="n"/>
      <c r="D8" s="16" t="n"/>
      <c r="E8" s="16" t="n"/>
      <c r="F8" s="16" t="n"/>
    </row>
    <row r="10">
      <c r="A10" s="11" t="inlineStr">
        <is>
          <t>Total Assets</t>
        </is>
      </c>
      <c r="B10" s="13">
        <f>'Balance Sheet'!B7</f>
        <v/>
      </c>
      <c r="C10" s="13">
        <f>'Balance Sheet'!C7</f>
        <v/>
      </c>
      <c r="D10" s="13">
        <f>'Balance Sheet'!D7</f>
        <v/>
      </c>
      <c r="E10" s="13">
        <f>'Balance Sheet'!E7</f>
        <v/>
      </c>
      <c r="F10" s="13">
        <f>'Balance Sheet'!F7</f>
        <v/>
      </c>
    </row>
    <row r="11">
      <c r="A11" s="11" t="inlineStr">
        <is>
          <t>Average Total Assets</t>
        </is>
      </c>
      <c r="C11" s="16" t="n"/>
      <c r="D11" s="16" t="n"/>
      <c r="E11" s="16" t="n"/>
      <c r="F11" s="16" t="n"/>
    </row>
    <row r="12">
      <c r="A12" s="11" t="inlineStr">
        <is>
          <t>Accrual Ratio</t>
        </is>
      </c>
      <c r="C12" s="15" t="n"/>
      <c r="D12" s="15" t="n"/>
      <c r="E12" s="15" t="n"/>
      <c r="F12" s="15" t="n"/>
    </row>
    <row r="14">
      <c r="A14" s="11" t="inlineStr">
        <is>
          <t>EARNINGS QUALITY TREND DIAGNOSTICS</t>
        </is>
      </c>
    </row>
    <row r="15">
      <c r="A15" s="11" t="inlineStr">
        <is>
          <t>Change in Operating Cash Flow</t>
        </is>
      </c>
      <c r="B15" s="11" t="inlineStr">
        <is>
          <t>N/A</t>
        </is>
      </c>
      <c r="C15" s="16" t="n"/>
      <c r="D15" s="16" t="n"/>
      <c r="E15" s="16" t="n"/>
      <c r="F15" s="16" t="n"/>
    </row>
    <row r="16">
      <c r="A16" s="11" t="inlineStr">
        <is>
          <t>Change in Cash Conversion Ratio</t>
        </is>
      </c>
      <c r="B16" s="11" t="inlineStr">
        <is>
          <t>N/A</t>
        </is>
      </c>
      <c r="C16" s="17" t="n"/>
      <c r="D16" s="17" t="n"/>
      <c r="E16" s="17" t="n"/>
      <c r="F16" s="17" t="n"/>
    </row>
    <row r="17">
      <c r="A17" s="11" t="inlineStr">
        <is>
          <t>Change in Total Accruals</t>
        </is>
      </c>
      <c r="B17" s="11" t="inlineStr">
        <is>
          <t>N/A</t>
        </is>
      </c>
      <c r="C17" s="16" t="n"/>
      <c r="D17" s="16" t="n"/>
      <c r="E17" s="16" t="n"/>
      <c r="F17" s="16" t="n"/>
    </row>
    <row r="18">
      <c r="A18" s="11" t="inlineStr">
        <is>
          <t>Change in Accrual Ratio</t>
        </is>
      </c>
      <c r="B18" s="11" t="inlineStr">
        <is>
          <t>N/A</t>
        </is>
      </c>
      <c r="C18" s="11" t="inlineStr">
        <is>
          <t>N/A</t>
        </is>
      </c>
      <c r="D18" s="15" t="n"/>
      <c r="E18" s="15" t="n"/>
      <c r="F18" s="15" t="n"/>
    </row>
    <row r="19">
      <c r="A19" s="11" t="inlineStr">
        <is>
          <t>EARNINGS QUALITY CHANGE CHECK</t>
        </is>
      </c>
      <c r="B19" s="11" t="inlineStr">
        <is>
          <t>N/A</t>
        </is>
      </c>
      <c r="C19" s="11">
        <f>IF(ABS(C17-((C6-B6)-C15))&lt;0.01,"OK","CHECK")</f>
        <v/>
      </c>
      <c r="D19" s="11">
        <f>IF(ABS(D17-((D6-C6)-D15))&lt;0.01,"OK","CHECK")</f>
        <v/>
      </c>
      <c r="E19" s="11">
        <f>IF(ABS(E17-((E6-D6)-E15))&lt;0.01,"OK","CHECK")</f>
        <v/>
      </c>
      <c r="F19" s="11">
        <f>IF(ABS(F17-((F6-E6)-F15))&lt;0.01,"OK","CHECK")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Working Capital Analysis</t>
        </is>
      </c>
    </row>
    <row r="2">
      <c r="A2" s="11" t="inlineStr">
        <is>
          <t>Relate classified operating working capital to Revenue and identify how much incremental NOWC accompanies changes in sales.</t>
        </is>
      </c>
    </row>
    <row r="3">
      <c r="A3" s="11" t="inlineStr">
        <is>
          <t>These are diagnostics, not automatic judgments. Positive Change in NOWC is an operating cash use; negative Change in NOWC is a release. Annual data alone does not prove seasonality or deterioration.</t>
        </is>
      </c>
    </row>
    <row r="5">
      <c r="A5" s="11" t="inlineStr">
        <is>
          <t>Metric</t>
        </is>
      </c>
      <c r="B5" s="12" t="n">
        <v>44439</v>
      </c>
      <c r="C5" s="12" t="n">
        <v>44804</v>
      </c>
      <c r="D5" s="12" t="n">
        <v>45169</v>
      </c>
      <c r="E5" s="12" t="n">
        <v>45535</v>
      </c>
      <c r="F5" s="12" t="n">
        <v>45900</v>
      </c>
    </row>
    <row r="6">
      <c r="A6" s="11" t="inlineStr">
        <is>
          <t>Revenue</t>
        </is>
      </c>
      <c r="B6" s="13">
        <f>'Condensed Financials'!B44</f>
        <v/>
      </c>
      <c r="C6" s="13">
        <f>'Condensed Financials'!C44</f>
        <v/>
      </c>
      <c r="D6" s="13">
        <f>'Condensed Financials'!D44</f>
        <v/>
      </c>
      <c r="E6" s="13">
        <f>'Condensed Financials'!E44</f>
        <v/>
      </c>
      <c r="F6" s="13">
        <f>'Condensed Financials'!F44</f>
        <v/>
      </c>
    </row>
    <row r="7">
      <c r="A7" s="11" t="inlineStr">
        <is>
          <t>Operating Working Capital Assets</t>
        </is>
      </c>
      <c r="B7" s="13">
        <f>'Condensed Financials'!B57</f>
        <v/>
      </c>
      <c r="C7" s="13">
        <f>'Condensed Financials'!C57</f>
        <v/>
      </c>
      <c r="D7" s="13">
        <f>'Condensed Financials'!D57</f>
        <v/>
      </c>
      <c r="E7" s="13">
        <f>'Condensed Financials'!E57</f>
        <v/>
      </c>
      <c r="F7" s="13">
        <f>'Condensed Financials'!F57</f>
        <v/>
      </c>
    </row>
    <row r="8">
      <c r="A8" s="11" t="inlineStr">
        <is>
          <t>Operating Working Capital Liabilities</t>
        </is>
      </c>
      <c r="B8" s="13">
        <f>'Condensed Financials'!B58</f>
        <v/>
      </c>
      <c r="C8" s="13">
        <f>'Condensed Financials'!C58</f>
        <v/>
      </c>
      <c r="D8" s="13">
        <f>'Condensed Financials'!D58</f>
        <v/>
      </c>
      <c r="E8" s="13">
        <f>'Condensed Financials'!E58</f>
        <v/>
      </c>
      <c r="F8" s="13">
        <f>'Condensed Financials'!F58</f>
        <v/>
      </c>
    </row>
    <row r="9">
      <c r="A9" s="11" t="inlineStr">
        <is>
          <t>NOWC</t>
        </is>
      </c>
      <c r="B9" s="13">
        <f>'Condensed Financials'!B59</f>
        <v/>
      </c>
      <c r="C9" s="13">
        <f>'Condensed Financials'!C59</f>
        <v/>
      </c>
      <c r="D9" s="13">
        <f>'Condensed Financials'!D59</f>
        <v/>
      </c>
      <c r="E9" s="13">
        <f>'Condensed Financials'!E59</f>
        <v/>
      </c>
      <c r="F9" s="13">
        <f>'Condensed Financials'!F59</f>
        <v/>
      </c>
    </row>
    <row r="11">
      <c r="A11" s="11" t="inlineStr">
        <is>
          <t>OWCA / Revenue</t>
        </is>
      </c>
      <c r="B11" s="15" t="n"/>
      <c r="C11" s="15" t="n"/>
      <c r="D11" s="15" t="n"/>
      <c r="E11" s="15" t="n"/>
      <c r="F11" s="15" t="n"/>
    </row>
    <row r="12">
      <c r="A12" s="11" t="inlineStr">
        <is>
          <t>OWCL / Revenue</t>
        </is>
      </c>
      <c r="B12" s="15" t="n"/>
      <c r="C12" s="15" t="n"/>
      <c r="D12" s="15" t="n"/>
      <c r="E12" s="15" t="n"/>
      <c r="F12" s="15" t="n"/>
    </row>
    <row r="13">
      <c r="A13" s="11" t="inlineStr">
        <is>
          <t>NOWC / Revenue</t>
        </is>
      </c>
      <c r="B13" s="15" t="n"/>
      <c r="C13" s="15" t="n"/>
      <c r="D13" s="15" t="n"/>
      <c r="E13" s="15" t="n"/>
      <c r="F13" s="15" t="n"/>
    </row>
    <row r="14">
      <c r="A14" s="11" t="inlineStr">
        <is>
          <t>Change in Revenue</t>
        </is>
      </c>
      <c r="B14" s="11" t="inlineStr">
        <is>
          <t>N/A</t>
        </is>
      </c>
      <c r="C14" s="16" t="n"/>
      <c r="D14" s="16" t="n"/>
      <c r="E14" s="16" t="n"/>
      <c r="F14" s="16" t="n"/>
    </row>
    <row r="15">
      <c r="A15" s="11" t="inlineStr">
        <is>
          <t>Change in NOWC</t>
        </is>
      </c>
      <c r="B15" s="11" t="inlineStr">
        <is>
          <t>N/A</t>
        </is>
      </c>
      <c r="C15" s="16" t="n"/>
      <c r="D15" s="16" t="n"/>
      <c r="E15" s="16" t="n"/>
      <c r="F15" s="16" t="n"/>
    </row>
    <row r="16">
      <c r="A16" s="11" t="inlineStr">
        <is>
          <t>Incremental NOWC / Change in Revenue</t>
        </is>
      </c>
      <c r="B16" s="11" t="inlineStr">
        <is>
          <t>N/A</t>
        </is>
      </c>
      <c r="C16" s="15" t="n"/>
      <c r="D16" s="15" t="n"/>
      <c r="E16" s="15" t="n"/>
      <c r="F16" s="15" t="n"/>
    </row>
    <row r="18">
      <c r="A18" s="11" t="inlineStr">
        <is>
          <t>WORKING-CAPITAL DRIVER DECOMPOSITION</t>
        </is>
      </c>
    </row>
    <row r="19">
      <c r="A19" s="11" t="inlineStr">
        <is>
          <t>Change in OWCA</t>
        </is>
      </c>
      <c r="B19" s="11" t="inlineStr">
        <is>
          <t>N/A</t>
        </is>
      </c>
      <c r="C19" s="16" t="n"/>
      <c r="D19" s="16" t="n"/>
      <c r="E19" s="16" t="n"/>
      <c r="F19" s="16" t="n"/>
    </row>
    <row r="20">
      <c r="A20" s="11" t="inlineStr">
        <is>
          <t>Change in OWCL</t>
        </is>
      </c>
      <c r="B20" s="11" t="inlineStr">
        <is>
          <t>N/A</t>
        </is>
      </c>
      <c r="C20" s="16" t="n"/>
      <c r="D20" s="16" t="n"/>
      <c r="E20" s="16" t="n"/>
      <c r="F20" s="16" t="n"/>
    </row>
    <row r="21">
      <c r="A21" s="11" t="inlineStr">
        <is>
          <t>Change in NOWC from Components</t>
        </is>
      </c>
      <c r="B21" s="11" t="inlineStr">
        <is>
          <t>N/A</t>
        </is>
      </c>
      <c r="C21" s="16" t="n"/>
      <c r="D21" s="16" t="n"/>
      <c r="E21" s="16" t="n"/>
      <c r="F21" s="16" t="n"/>
    </row>
    <row r="22">
      <c r="A22" s="11" t="inlineStr">
        <is>
          <t>Incremental OWCA / Change in Revenue</t>
        </is>
      </c>
      <c r="B22" s="11" t="inlineStr">
        <is>
          <t>N/A</t>
        </is>
      </c>
      <c r="C22" s="15" t="n"/>
      <c r="D22" s="15" t="n"/>
      <c r="E22" s="15" t="n"/>
      <c r="F22" s="15" t="n"/>
    </row>
    <row r="23">
      <c r="A23" s="11" t="inlineStr">
        <is>
          <t>Incremental OWCL / Change in Revenue</t>
        </is>
      </c>
      <c r="B23" s="11" t="inlineStr">
        <is>
          <t>N/A</t>
        </is>
      </c>
      <c r="C23" s="15" t="n"/>
      <c r="D23" s="15" t="n"/>
      <c r="E23" s="15" t="n"/>
      <c r="F23" s="15" t="n"/>
    </row>
    <row r="24">
      <c r="A24" s="11" t="inlineStr">
        <is>
          <t>DRIVER DECOMPOSITION CHECK</t>
        </is>
      </c>
      <c r="B24" s="11" t="inlineStr">
        <is>
          <t>N/A</t>
        </is>
      </c>
      <c r="C24" s="11">
        <f>IF(ABS(C21-C15)&lt;0.01,"OK","CHECK")</f>
        <v/>
      </c>
      <c r="D24" s="11">
        <f>IF(ABS(D21-D15)&lt;0.01,"OK","CHECK")</f>
        <v/>
      </c>
      <c r="E24" s="11">
        <f>IF(ABS(E21-E15)&lt;0.01,"OK","CHECK")</f>
        <v/>
      </c>
      <c r="F24" s="11">
        <f>IF(ABS(F21-F15)&lt;0.01,"OK","CHECK")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FAST RETAILING CO., LTD. — Per Share Analysis</t>
        </is>
      </c>
    </row>
    <row r="2">
      <c r="A2" s="11" t="inlineStr">
        <is>
          <t>Historical per-share diagnostics using supplied diluted weighted-average shares. Share counts are source inputs, not practice cells.</t>
        </is>
      </c>
    </row>
    <row r="4">
      <c r="A4" s="11" t="inlineStr">
        <is>
          <t>Metric</t>
        </is>
      </c>
      <c r="B4" s="12" t="n">
        <v>44439</v>
      </c>
      <c r="C4" s="12" t="n">
        <v>44804</v>
      </c>
      <c r="D4" s="12" t="n">
        <v>45169</v>
      </c>
      <c r="E4" s="12" t="n">
        <v>45535</v>
      </c>
      <c r="F4" s="12" t="n">
        <v>45900</v>
      </c>
    </row>
    <row r="5">
      <c r="A5" s="11" t="inlineStr">
        <is>
          <t>Parent-Attributable Profit</t>
        </is>
      </c>
      <c r="B5" s="13">
        <f>'Income Statement'!B18</f>
        <v/>
      </c>
      <c r="C5" s="13">
        <f>'Income Statement'!C18</f>
        <v/>
      </c>
      <c r="D5" s="13">
        <f>'Income Statement'!D18</f>
        <v/>
      </c>
      <c r="E5" s="13">
        <f>'Income Statement'!E18</f>
        <v/>
      </c>
      <c r="F5" s="13">
        <f>'Income Statement'!F18</f>
        <v/>
      </c>
    </row>
    <row r="6">
      <c r="A6" s="11" t="inlineStr">
        <is>
          <t>NOPAT</t>
        </is>
      </c>
      <c r="B6" s="13">
        <f>'Condensed Financials'!B54</f>
        <v/>
      </c>
      <c r="C6" s="13">
        <f>'Condensed Financials'!C54</f>
        <v/>
      </c>
      <c r="D6" s="13">
        <f>'Condensed Financials'!D54</f>
        <v/>
      </c>
      <c r="E6" s="13">
        <f>'Condensed Financials'!E54</f>
        <v/>
      </c>
      <c r="F6" s="13">
        <f>'Condensed Financials'!F54</f>
        <v/>
      </c>
    </row>
    <row r="7">
      <c r="A7" s="11" t="inlineStr">
        <is>
          <t>Diluted Weighted-Average Shares</t>
        </is>
      </c>
      <c r="B7" s="19" t="n">
        <v>306.871785</v>
      </c>
      <c r="C7" s="19" t="n">
        <v>306.969624</v>
      </c>
      <c r="D7" s="19" t="n">
        <v>307.13887</v>
      </c>
      <c r="E7" s="19" t="n">
        <v>307.231804</v>
      </c>
      <c r="F7" s="19" t="n">
        <v>307.247804</v>
      </c>
    </row>
    <row r="8">
      <c r="A8" s="11" t="inlineStr">
        <is>
          <t>Share Basis: Split-adjusted comparable basis</t>
        </is>
      </c>
    </row>
    <row r="9">
      <c r="A9" s="11" t="inlineStr">
        <is>
          <t>Diluted EPS (Comparable Basis)</t>
        </is>
      </c>
      <c r="B9" s="20" t="n"/>
      <c r="C9" s="20" t="n"/>
      <c r="D9" s="20" t="n"/>
      <c r="E9" s="20" t="n"/>
      <c r="F9" s="20" t="n"/>
    </row>
    <row r="10">
      <c r="A10" s="11" t="inlineStr">
        <is>
          <t>NOPAT per Diluted Share</t>
        </is>
      </c>
      <c r="B10" s="20" t="n"/>
      <c r="C10" s="20" t="n"/>
      <c r="D10" s="20" t="n"/>
      <c r="E10" s="20" t="n"/>
      <c r="F10" s="20" t="n"/>
    </row>
    <row r="12">
      <c r="A12" s="11" t="inlineStr">
        <is>
          <t>Change in Diluted EPS</t>
        </is>
      </c>
      <c r="B12" s="11" t="inlineStr">
        <is>
          <t>N/A</t>
        </is>
      </c>
      <c r="C12" s="20" t="n"/>
      <c r="D12" s="20" t="n"/>
      <c r="E12" s="20" t="n"/>
      <c r="F12" s="20" t="n"/>
    </row>
    <row r="13">
      <c r="A13" s="11" t="inlineStr">
        <is>
          <t>Change in Diluted Weighted-Average Shares</t>
        </is>
      </c>
      <c r="B13" s="11" t="inlineStr">
        <is>
          <t>N/A</t>
        </is>
      </c>
      <c r="C13" s="21" t="n"/>
      <c r="D13" s="21" t="n"/>
      <c r="E13" s="21" t="n"/>
      <c r="F13" s="21" t="n"/>
    </row>
    <row r="15">
      <c r="A15" s="11" t="inlineStr">
        <is>
          <t>DILUTED EPS CHANGE ATTRIBUTION</t>
        </is>
      </c>
    </row>
    <row r="16">
      <c r="A16" s="11" t="inlineStr">
        <is>
          <t>Change in Per-Share Earnings Numerator</t>
        </is>
      </c>
      <c r="B16" s="11" t="inlineStr">
        <is>
          <t>N/A</t>
        </is>
      </c>
      <c r="C16" s="16" t="n"/>
      <c r="D16" s="16" t="n"/>
      <c r="E16" s="16" t="n"/>
      <c r="F16" s="16" t="n"/>
    </row>
    <row r="17">
      <c r="A17" s="11" t="inlineStr">
        <is>
          <t>Earnings Effect on Change in Diluted EPS</t>
        </is>
      </c>
      <c r="B17" s="11" t="inlineStr">
        <is>
          <t>N/A</t>
        </is>
      </c>
      <c r="C17" s="20" t="n"/>
      <c r="D17" s="20" t="n"/>
      <c r="E17" s="20" t="n"/>
      <c r="F17" s="20" t="n"/>
    </row>
    <row r="18">
      <c r="A18" s="11" t="inlineStr">
        <is>
          <t>Share-Count Effect on Change in Diluted EPS</t>
        </is>
      </c>
      <c r="B18" s="11" t="inlineStr">
        <is>
          <t>N/A</t>
        </is>
      </c>
      <c r="C18" s="20" t="n"/>
      <c r="D18" s="20" t="n"/>
      <c r="E18" s="20" t="n"/>
      <c r="F18" s="20" t="n"/>
    </row>
    <row r="19">
      <c r="A19" s="11" t="inlineStr">
        <is>
          <t>Diluted EPS Change from Drivers</t>
        </is>
      </c>
      <c r="B19" s="11" t="inlineStr">
        <is>
          <t>N/A</t>
        </is>
      </c>
      <c r="C19" s="20" t="n"/>
      <c r="D19" s="20" t="n"/>
      <c r="E19" s="20" t="n"/>
      <c r="F19" s="20" t="n"/>
    </row>
    <row r="20">
      <c r="A20" s="11" t="inlineStr">
        <is>
          <t>DILUTED EPS CHANGE ATTRIBUTION CHECK</t>
        </is>
      </c>
      <c r="B20" s="11" t="inlineStr">
        <is>
          <t>N/A</t>
        </is>
      </c>
      <c r="C20" s="11">
        <f>IF(ABS(C19-C12)&lt;0.0000001,"OK","CHECK")</f>
        <v/>
      </c>
      <c r="D20" s="11">
        <f>IF(ABS(D19-D12)&lt;0.0000001,"OK","CHECK")</f>
        <v/>
      </c>
      <c r="E20" s="11">
        <f>IF(ABS(E19-E12)&lt;0.0000001,"OK","CHECK")</f>
        <v/>
      </c>
      <c r="F20" s="11">
        <f>IF(ABS(F19-F12)&lt;0.0000001,"OK","CHECK")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from historical-only 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2026-09-15T09:12:13Z</dcterms:created>
  <dcterms:modified xsi:type="dcterms:W3CDTF">2026-09-15T09:12:13Z</dcterms:modified>
</cp:coreProperties>
</file>