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C105:F105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C106:F106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C107:F107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C108:F108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C110:F110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C111:F111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C112:F112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C113:F113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C115:F115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C116:F116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C117:F117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C118:F118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B120:F120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B121:F121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B87:F87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B88:F88</t>
        </is>
      </c>
      <c r="F119" s="11" t="inlineStr">
        <is>
          <t>lease_repayments, revenue_link</t>
        </is>
      </c>
    </row>
    <row r="120">
      <c r="A120" s="11" t="n">
        <v>124</v>
      </c>
      <c r="B120" s="11" t="inlineStr">
        <is>
          <t>Operating cash after PP&amp;E capex</t>
        </is>
      </c>
      <c r="C120" s="11" t="inlineStr">
        <is>
          <t>2021–2025 (5 cells)</t>
        </is>
      </c>
      <c r="D120" s="11" t="inlineStr">
        <is>
          <t>ALT DuPont</t>
        </is>
      </c>
      <c r="E120" s="11" t="inlineStr">
        <is>
          <t>B82:F82</t>
        </is>
      </c>
      <c r="F120" s="11" t="inlineStr">
        <is>
          <t>ppe_capex</t>
        </is>
      </c>
    </row>
    <row r="121">
      <c r="A121" s="11" t="n">
        <v>125</v>
      </c>
      <c r="B121" s="11" t="inlineStr">
        <is>
          <t>Operating cash after PP&amp;E capex / Revenue</t>
        </is>
      </c>
      <c r="C121" s="11" t="inlineStr">
        <is>
          <t>2021–2025 (5 cells)</t>
        </is>
      </c>
      <c r="D121" s="11" t="inlineStr">
        <is>
          <t>ALT DuPont</t>
        </is>
      </c>
      <c r="E121" s="11" t="inlineStr">
        <is>
          <t>B83:F83</t>
        </is>
      </c>
      <c r="F121" s="11" t="inlineStr">
        <is>
          <t>cash_after_ppe_capex, revenue_link</t>
        </is>
      </c>
    </row>
    <row r="122">
      <c r="A122" s="11" t="n">
        <v>135</v>
      </c>
      <c r="B122" s="11" t="inlineStr">
        <is>
          <t>Cash movement from flows</t>
        </is>
      </c>
      <c r="C122" s="11" t="inlineStr">
        <is>
          <t>2021–2025 (5 cells)</t>
        </is>
      </c>
      <c r="D122" s="11" t="inlineStr">
        <is>
          <t>ALT DuPont</t>
        </is>
      </c>
      <c r="E122" s="11" t="inlineStr">
        <is>
          <t>B95:F95</t>
        </is>
      </c>
      <c r="F122" s="11" t="inlineStr">
        <is>
          <t>—</t>
        </is>
      </c>
    </row>
    <row r="123">
      <c r="A123" s="11" t="n">
        <v>136</v>
      </c>
      <c r="B123" s="11" t="inlineStr">
        <is>
          <t>Cash movement difference</t>
        </is>
      </c>
      <c r="C123" s="11" t="inlineStr">
        <is>
          <t>2021–2025 (5 cells)</t>
        </is>
      </c>
      <c r="D123" s="11" t="inlineStr">
        <is>
          <t>ALT DuPont</t>
        </is>
      </c>
      <c r="E123" s="11" t="inlineStr">
        <is>
          <t>B97:F97</t>
        </is>
      </c>
      <c r="F123" s="11" t="inlineStr">
        <is>
          <t>cash_movement_from_flows</t>
        </is>
      </c>
    </row>
    <row r="124">
      <c r="A124" s="11" t="n">
        <v>137</v>
      </c>
      <c r="B124" s="11" t="inlineStr">
        <is>
          <t>Cash ending from flows</t>
        </is>
      </c>
      <c r="C124" s="11" t="inlineStr">
        <is>
          <t>2021–2025 (5 cells)</t>
        </is>
      </c>
      <c r="D124" s="11" t="inlineStr">
        <is>
          <t>ALT DuPont</t>
        </is>
      </c>
      <c r="E124" s="11" t="inlineStr">
        <is>
          <t>B99:F99</t>
        </is>
      </c>
      <c r="F124" s="11" t="inlineStr">
        <is>
          <t>cash_movement_from_flows</t>
        </is>
      </c>
    </row>
    <row r="125">
      <c r="A125" s="11" t="n">
        <v>138</v>
      </c>
      <c r="B125" s="11" t="inlineStr">
        <is>
          <t>Cash ending difference</t>
        </is>
      </c>
      <c r="C125" s="11" t="inlineStr">
        <is>
          <t>2021–2025 (5 cells)</t>
        </is>
      </c>
      <c r="D125" s="11" t="inlineStr">
        <is>
          <t>ALT DuPont</t>
        </is>
      </c>
      <c r="E125" s="11" t="inlineStr">
        <is>
          <t>B101:F101</t>
        </is>
      </c>
      <c r="F125" s="11" t="inlineStr">
        <is>
          <t>cash_ending_from_flows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 t="n"/>
      <c r="C44" s="14" t="n"/>
      <c r="D44" s="14" t="n"/>
      <c r="E44" s="14" t="n"/>
      <c r="F44" s="14" t="n"/>
    </row>
    <row r="45">
      <c r="A45" s="11" t="inlineStr">
        <is>
          <t>Net Income</t>
        </is>
      </c>
      <c r="B45" s="14" t="n"/>
      <c r="C45" s="14" t="n"/>
      <c r="D45" s="14" t="n"/>
      <c r="E45" s="14" t="n"/>
      <c r="F45" s="14" t="n"/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 t="n"/>
      <c r="C51" s="15" t="n"/>
      <c r="D51" s="15" t="n"/>
      <c r="E51" s="15" t="n"/>
      <c r="F51" s="15" t="n"/>
    </row>
    <row r="52">
      <c r="A52" s="11" t="inlineStr">
        <is>
          <t>Net Interest</t>
        </is>
      </c>
      <c r="B52" s="16" t="n"/>
      <c r="C52" s="16" t="n"/>
      <c r="D52" s="16" t="n"/>
      <c r="E52" s="16" t="n"/>
      <c r="F52" s="16" t="n"/>
    </row>
    <row r="53">
      <c r="A53" s="11" t="inlineStr">
        <is>
          <t>Net Interest After Tax</t>
        </is>
      </c>
      <c r="B53" s="16" t="n"/>
      <c r="C53" s="16" t="n"/>
      <c r="D53" s="16" t="n"/>
      <c r="E53" s="16" t="n"/>
      <c r="F53" s="16" t="n"/>
    </row>
    <row r="54">
      <c r="A54" s="11" t="inlineStr">
        <is>
          <t>NOPAT</t>
        </is>
      </c>
      <c r="B54" s="16" t="n"/>
      <c r="C54" s="16" t="n"/>
      <c r="D54" s="16" t="n"/>
      <c r="E54" s="16" t="n"/>
      <c r="F54" s="16" t="n"/>
    </row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 t="n"/>
      <c r="C57" s="16" t="n"/>
      <c r="D57" s="16" t="n"/>
      <c r="E57" s="16" t="n"/>
      <c r="F57" s="16" t="n"/>
    </row>
    <row r="58">
      <c r="A58" s="11" t="inlineStr">
        <is>
          <t>Operating Working Capital Liabilities</t>
        </is>
      </c>
      <c r="B58" s="16" t="n"/>
      <c r="C58" s="16" t="n"/>
      <c r="D58" s="16" t="n"/>
      <c r="E58" s="16" t="n"/>
      <c r="F58" s="16" t="n"/>
    </row>
    <row r="59">
      <c r="A59" s="11" t="inlineStr">
        <is>
          <t>NOWC</t>
        </is>
      </c>
      <c r="B59" s="16" t="n"/>
      <c r="C59" s="16" t="n"/>
      <c r="D59" s="16" t="n"/>
      <c r="E59" s="16" t="n"/>
      <c r="F59" s="16" t="n"/>
    </row>
    <row r="60">
      <c r="A60" s="11" t="inlineStr">
        <is>
          <t>Operating Long-Term Assets</t>
        </is>
      </c>
      <c r="B60" s="16" t="n"/>
      <c r="C60" s="16" t="n"/>
      <c r="D60" s="16" t="n"/>
      <c r="E60" s="16" t="n"/>
      <c r="F60" s="16" t="n"/>
    </row>
    <row r="61">
      <c r="A61" s="11" t="inlineStr">
        <is>
          <t>Operating Long-Term Liabilities</t>
        </is>
      </c>
      <c r="B61" s="16" t="n"/>
      <c r="C61" s="16" t="n"/>
      <c r="D61" s="16" t="n"/>
      <c r="E61" s="16" t="n"/>
      <c r="F61" s="16" t="n"/>
    </row>
    <row r="62">
      <c r="A62" s="11" t="inlineStr">
        <is>
          <t>NOLA</t>
        </is>
      </c>
      <c r="B62" s="16" t="n"/>
      <c r="C62" s="16" t="n"/>
      <c r="D62" s="16" t="n"/>
      <c r="E62" s="16" t="n"/>
      <c r="F62" s="16" t="n"/>
    </row>
    <row r="63">
      <c r="A63" s="11" t="inlineStr">
        <is>
          <t>NOA</t>
        </is>
      </c>
      <c r="B63" s="16" t="n"/>
      <c r="C63" s="16" t="n"/>
      <c r="D63" s="16" t="n"/>
      <c r="E63" s="16" t="n"/>
      <c r="F63" s="16" t="n"/>
    </row>
    <row r="64">
      <c r="A64" s="11" t="inlineStr">
        <is>
          <t>Financial Assets</t>
        </is>
      </c>
      <c r="B64" s="16" t="n"/>
      <c r="C64" s="16" t="n"/>
      <c r="D64" s="16" t="n"/>
      <c r="E64" s="16" t="n"/>
      <c r="F64" s="16" t="n"/>
    </row>
    <row r="65">
      <c r="A65" s="11" t="inlineStr">
        <is>
          <t>Financial Liabilities</t>
        </is>
      </c>
      <c r="B65" s="16" t="n"/>
      <c r="C65" s="16" t="n"/>
      <c r="D65" s="16" t="n"/>
      <c r="E65" s="16" t="n"/>
      <c r="F65" s="16" t="n"/>
    </row>
    <row r="66">
      <c r="A66" s="11" t="inlineStr">
        <is>
          <t>Net Debt</t>
        </is>
      </c>
      <c r="B66" s="16" t="n"/>
      <c r="C66" s="16" t="n"/>
      <c r="D66" s="16" t="n"/>
      <c r="E66" s="16" t="n"/>
      <c r="F66" s="16" t="n"/>
    </row>
    <row r="67">
      <c r="A67" s="11" t="inlineStr">
        <is>
          <t>Equity (NOA - Net Debt)</t>
        </is>
      </c>
      <c r="B67" s="16" t="n"/>
      <c r="C67" s="16" t="n"/>
      <c r="D67" s="16" t="n"/>
      <c r="E67" s="16" t="n"/>
      <c r="F67" s="16" t="n"/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 t="n"/>
      <c r="D5" s="15" t="n"/>
      <c r="E5" s="15" t="n"/>
      <c r="F5" s="15" t="n"/>
    </row>
    <row r="6">
      <c r="A6" s="11" t="inlineStr">
        <is>
          <t>NOPAT Margin</t>
        </is>
      </c>
      <c r="B6" s="15" t="n"/>
      <c r="C6" s="15" t="n"/>
      <c r="D6" s="15" t="n"/>
      <c r="E6" s="15" t="n"/>
      <c r="F6" s="15" t="n"/>
    </row>
    <row r="7">
      <c r="A7" s="11" t="inlineStr">
        <is>
          <t>RNOA</t>
        </is>
      </c>
      <c r="B7" s="11" t="inlineStr">
        <is>
          <t>N/A</t>
        </is>
      </c>
      <c r="C7" s="15" t="n"/>
      <c r="D7" s="15" t="n"/>
      <c r="E7" s="15" t="n"/>
      <c r="F7" s="15" t="n"/>
    </row>
    <row r="8">
      <c r="A8" s="11" t="inlineStr">
        <is>
          <t>After-tax CoD</t>
        </is>
      </c>
      <c r="B8" s="11" t="inlineStr">
        <is>
          <t>N/A</t>
        </is>
      </c>
      <c r="C8" s="15" t="n"/>
      <c r="D8" s="15" t="n"/>
      <c r="E8" s="15" t="n"/>
      <c r="F8" s="15" t="n"/>
    </row>
    <row r="9">
      <c r="A9" s="11" t="inlineStr">
        <is>
          <t>Spread</t>
        </is>
      </c>
      <c r="B9" s="11" t="inlineStr">
        <is>
          <t>N/A</t>
        </is>
      </c>
      <c r="C9" s="15" t="n"/>
      <c r="D9" s="15" t="n"/>
      <c r="E9" s="15" t="n"/>
      <c r="F9" s="15" t="n"/>
    </row>
    <row r="10">
      <c r="A10" s="11" t="inlineStr">
        <is>
          <t>FLEV</t>
        </is>
      </c>
      <c r="B10" s="11" t="inlineStr">
        <is>
          <t>N/A</t>
        </is>
      </c>
      <c r="C10" s="14" t="n"/>
      <c r="D10" s="14" t="n"/>
      <c r="E10" s="14" t="n"/>
      <c r="F10" s="14" t="n"/>
    </row>
    <row r="11">
      <c r="A11" s="11" t="inlineStr">
        <is>
          <t>ROE (decomposed)</t>
        </is>
      </c>
      <c r="B11" s="11" t="inlineStr">
        <is>
          <t>N/A</t>
        </is>
      </c>
      <c r="C11" s="15" t="n"/>
      <c r="D11" s="15" t="n"/>
      <c r="E11" s="15" t="n"/>
      <c r="F11" s="15" t="n"/>
    </row>
    <row r="12">
      <c r="A12" s="11" t="inlineStr">
        <is>
          <t>Actual ROE</t>
        </is>
      </c>
      <c r="B12" s="11" t="inlineStr">
        <is>
          <t>N/A</t>
        </is>
      </c>
      <c r="C12" s="15" t="n"/>
      <c r="D12" s="15" t="n"/>
      <c r="E12" s="15" t="n"/>
      <c r="F12" s="15" t="n"/>
    </row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NOA Turnover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NOA Intensity</t>
        </is>
      </c>
      <c r="B17" s="11" t="inlineStr">
        <is>
          <t>N/A</t>
        </is>
      </c>
      <c r="C17" s="17" t="n"/>
      <c r="D17" s="17" t="n"/>
      <c r="E17" s="17" t="n"/>
      <c r="F17" s="17" t="n"/>
    </row>
    <row r="18">
      <c r="A18" s="11" t="inlineStr">
        <is>
          <t>RNOA from Margin × Turnover</t>
        </is>
      </c>
      <c r="B18" s="11" t="inlineStr">
        <is>
          <t>N/A</t>
        </is>
      </c>
      <c r="C18" s="15" t="n"/>
      <c r="D18" s="15" t="n"/>
      <c r="E18" s="15" t="n"/>
      <c r="F18" s="15" t="n"/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 t="n"/>
      <c r="E22" s="15" t="n"/>
      <c r="F22" s="15" t="n"/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 t="n"/>
      <c r="E23" s="17" t="n"/>
      <c r="F23" s="17" t="n"/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 t="n"/>
      <c r="E24" s="15" t="n"/>
      <c r="F24" s="15" t="n"/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 t="n"/>
      <c r="E25" s="15" t="n"/>
      <c r="F25" s="15" t="n"/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 t="n"/>
      <c r="E26" s="15" t="n"/>
      <c r="F26" s="15" t="n"/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 t="n"/>
      <c r="E27" s="15" t="n"/>
      <c r="F27" s="15" t="n"/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 t="n"/>
      <c r="D31" s="15" t="n"/>
      <c r="E31" s="15" t="n"/>
      <c r="F31" s="15" t="n"/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 t="n"/>
      <c r="E35" s="15" t="n"/>
      <c r="F35" s="15" t="n"/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 t="n"/>
      <c r="E36" s="15" t="n"/>
      <c r="F36" s="15" t="n"/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 t="n"/>
      <c r="E37" s="15" t="n"/>
      <c r="F37" s="15" t="n"/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 t="n"/>
      <c r="E38" s="15" t="n"/>
      <c r="F38" s="15" t="n"/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 t="n"/>
      <c r="E39" s="15" t="n"/>
      <c r="F39" s="15" t="n"/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 t="n"/>
      <c r="E40" s="15" t="n"/>
      <c r="F40" s="15" t="n"/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 t="n"/>
      <c r="C44" s="16" t="n"/>
      <c r="D44" s="16" t="n"/>
      <c r="E44" s="16" t="n"/>
      <c r="F44" s="16" t="n"/>
    </row>
    <row r="45">
      <c r="A45" s="11" t="inlineStr">
        <is>
          <t>Depreciation &amp; Amortisation</t>
        </is>
      </c>
      <c r="B45" s="16" t="n"/>
      <c r="C45" s="16" t="n"/>
      <c r="D45" s="16" t="n"/>
      <c r="E45" s="16" t="n"/>
      <c r="F45" s="16" t="n"/>
    </row>
    <row r="46">
      <c r="A46" s="11" t="inlineStr">
        <is>
          <t>Average PP&amp;E</t>
        </is>
      </c>
      <c r="B46" s="11" t="inlineStr">
        <is>
          <t>N/A</t>
        </is>
      </c>
      <c r="C46" s="16" t="n"/>
      <c r="D46" s="16" t="n"/>
      <c r="E46" s="16" t="n"/>
      <c r="F46" s="16" t="n"/>
    </row>
    <row r="47">
      <c r="A47" s="11" t="inlineStr">
        <is>
          <t>PP&amp;E Turnover</t>
        </is>
      </c>
      <c r="B47" s="11" t="inlineStr">
        <is>
          <t>N/A</t>
        </is>
      </c>
      <c r="C47" s="17" t="n"/>
      <c r="D47" s="17" t="n"/>
      <c r="E47" s="17" t="n"/>
      <c r="F47" s="17" t="n"/>
    </row>
    <row r="48">
      <c r="A48" s="11" t="inlineStr">
        <is>
          <t>PP&amp;E Intensity</t>
        </is>
      </c>
      <c r="B48" s="11" t="inlineStr">
        <is>
          <t>N/A</t>
        </is>
      </c>
      <c r="C48" s="15" t="n"/>
      <c r="D48" s="15" t="n"/>
      <c r="E48" s="15" t="n"/>
      <c r="F48" s="15" t="n"/>
    </row>
    <row r="49">
      <c r="A49" s="11" t="inlineStr">
        <is>
          <t>Change in PP&amp;E</t>
        </is>
      </c>
      <c r="B49" s="11" t="inlineStr">
        <is>
          <t>N/A</t>
        </is>
      </c>
      <c r="C49" s="16" t="n"/>
      <c r="D49" s="16" t="n"/>
      <c r="E49" s="16" t="n"/>
      <c r="F49" s="16" t="n"/>
    </row>
    <row r="50">
      <c r="A50" s="11" t="inlineStr">
        <is>
          <t>D&amp;A / Revenue</t>
        </is>
      </c>
      <c r="B50" s="15" t="n"/>
      <c r="C50" s="15" t="n"/>
      <c r="D50" s="15" t="n"/>
      <c r="E50" s="15" t="n"/>
      <c r="F50" s="15" t="n"/>
    </row>
    <row r="51">
      <c r="A51" s="11" t="inlineStr">
        <is>
          <t>D&amp;A / Average PP&amp;E</t>
        </is>
      </c>
      <c r="B51" s="11" t="inlineStr">
        <is>
          <t>N/A</t>
        </is>
      </c>
      <c r="C51" s="15" t="n"/>
      <c r="D51" s="15" t="n"/>
      <c r="E51" s="15" t="n"/>
      <c r="F51" s="15" t="n"/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 t="n"/>
      <c r="C55" s="16" t="n"/>
      <c r="D55" s="16" t="n"/>
      <c r="E55" s="16" t="n"/>
      <c r="F55" s="16" t="n"/>
    </row>
    <row r="56">
      <c r="A56" s="11" t="inlineStr">
        <is>
          <t>Lease Liability / Revenue</t>
        </is>
      </c>
      <c r="B56" s="15" t="n"/>
      <c r="C56" s="15" t="n"/>
      <c r="D56" s="15" t="n"/>
      <c r="E56" s="15" t="n"/>
      <c r="F56" s="15" t="n"/>
    </row>
    <row r="57">
      <c r="A57" s="11" t="inlineStr">
        <is>
          <t>Change in Lease Liability</t>
        </is>
      </c>
      <c r="B57" s="11" t="inlineStr">
        <is>
          <t>N/A</t>
        </is>
      </c>
      <c r="C57" s="16" t="n"/>
      <c r="D57" s="16" t="n"/>
      <c r="E57" s="16" t="n"/>
      <c r="F57" s="16" t="n"/>
    </row>
    <row r="58">
      <c r="A58" s="11" t="inlineStr">
        <is>
          <t>Lease Liability Growth</t>
        </is>
      </c>
      <c r="B58" s="11" t="inlineStr">
        <is>
          <t>N/A</t>
        </is>
      </c>
      <c r="C58" s="15" t="n"/>
      <c r="D58" s="15" t="n"/>
      <c r="E58" s="15" t="n"/>
      <c r="F58" s="15" t="n"/>
    </row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 t="n"/>
      <c r="D62" s="16" t="n"/>
      <c r="E62" s="16" t="n"/>
      <c r="F62" s="16" t="n"/>
    </row>
    <row r="63">
      <c r="A63" s="11" t="inlineStr">
        <is>
          <t>Right-of-use Assets Growth</t>
        </is>
      </c>
      <c r="C63" s="15" t="n"/>
      <c r="D63" s="15" t="n"/>
      <c r="E63" s="15" t="n"/>
      <c r="F63" s="15" t="n"/>
    </row>
    <row r="64">
      <c r="A64" s="11" t="inlineStr">
        <is>
          <t>Average Right-of-use Assets</t>
        </is>
      </c>
      <c r="C64" s="16" t="n"/>
      <c r="D64" s="16" t="n"/>
      <c r="E64" s="16" t="n"/>
      <c r="F64" s="16" t="n"/>
    </row>
    <row r="65">
      <c r="A65" s="11" t="inlineStr">
        <is>
          <t>Average Right-of-use Assets / Revenue</t>
        </is>
      </c>
      <c r="C65" s="15" t="n"/>
      <c r="D65" s="15" t="n"/>
      <c r="E65" s="15" t="n"/>
      <c r="F65" s="15" t="n"/>
    </row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 t="n"/>
      <c r="C70" s="16" t="n"/>
      <c r="D70" s="16" t="n"/>
      <c r="E70" s="16" t="n"/>
      <c r="F70" s="16" t="n"/>
    </row>
    <row r="71">
      <c r="A71" s="11" t="inlineStr">
        <is>
          <t>Change in Deferred Tax Assets</t>
        </is>
      </c>
      <c r="C71" s="16" t="n"/>
      <c r="D71" s="16" t="n"/>
      <c r="E71" s="16" t="n"/>
      <c r="F71" s="16" t="n"/>
    </row>
    <row r="72">
      <c r="A72" s="11" t="inlineStr">
        <is>
          <t>Change in Deferred Tax Liabilities</t>
        </is>
      </c>
      <c r="C72" s="16" t="n"/>
      <c r="D72" s="16" t="n"/>
      <c r="E72" s="16" t="n"/>
      <c r="F72" s="16" t="n"/>
    </row>
    <row r="73">
      <c r="A73" s="11" t="inlineStr">
        <is>
          <t>Change in Net Deferred-Tax Asset Position</t>
        </is>
      </c>
      <c r="C73" s="16" t="n"/>
      <c r="D73" s="16" t="n"/>
      <c r="E73" s="16" t="n"/>
      <c r="F73" s="16" t="n"/>
    </row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 t="n"/>
      <c r="C77" s="16" t="n"/>
      <c r="D77" s="16" t="n"/>
      <c r="E77" s="16" t="n"/>
      <c r="F77" s="16" t="n"/>
    </row>
    <row r="78">
      <c r="A78" s="11" t="inlineStr">
        <is>
          <t>PP&amp;E Capex / Revenue</t>
        </is>
      </c>
      <c r="B78" s="15" t="n"/>
      <c r="C78" s="15" t="n"/>
      <c r="D78" s="15" t="n"/>
      <c r="E78" s="15" t="n"/>
      <c r="F78" s="15" t="n"/>
    </row>
    <row r="80">
      <c r="A80" s="11" t="inlineStr">
        <is>
          <t>OPERATING CASH AFTER PP&amp;E CAPEX</t>
        </is>
      </c>
    </row>
    <row r="81">
      <c r="A81" s="11" t="inlineStr">
        <is>
          <t>Operating Cash Flow (reported)</t>
        </is>
      </c>
      <c r="B81" s="13">
        <f>'Cash Flow Statement'!B30</f>
        <v/>
      </c>
      <c r="C81" s="13">
        <f>'Cash Flow Statement'!C30</f>
        <v/>
      </c>
      <c r="D81" s="13">
        <f>'Cash Flow Statement'!D30</f>
        <v/>
      </c>
      <c r="E81" s="13">
        <f>'Cash Flow Statement'!E30</f>
        <v/>
      </c>
      <c r="F81" s="13">
        <f>'Cash Flow Statement'!F30</f>
        <v/>
      </c>
    </row>
    <row r="82">
      <c r="A82" s="11" t="inlineStr">
        <is>
          <t>Operating cash after PP&amp;E capex</t>
        </is>
      </c>
      <c r="B82" s="16" t="n"/>
      <c r="C82" s="16" t="n"/>
      <c r="D82" s="16" t="n"/>
      <c r="E82" s="16" t="n"/>
      <c r="F82" s="16" t="n"/>
    </row>
    <row r="83">
      <c r="A83" s="11" t="inlineStr">
        <is>
          <t>Operating cash after PP&amp;E capex / Revenue</t>
        </is>
      </c>
      <c r="B83" s="15" t="n"/>
      <c r="C83" s="15" t="n"/>
      <c r="D83" s="15" t="n"/>
      <c r="E83" s="15" t="n"/>
      <c r="F83" s="15" t="n"/>
    </row>
    <row r="85">
      <c r="A85" s="11" t="inlineStr">
        <is>
          <t>LEASE REPAYMENT CONTEXT</t>
        </is>
      </c>
    </row>
    <row r="86">
      <c r="A86" s="11" t="inlineStr">
        <is>
          <t>Repayments of Lease Liabilities (reported)</t>
        </is>
      </c>
      <c r="B86" s="13">
        <f>'Cash Flow Statement'!B47</f>
        <v/>
      </c>
      <c r="C86" s="13">
        <f>'Cash Flow Statement'!C47</f>
        <v/>
      </c>
      <c r="D86" s="13">
        <f>'Cash Flow Statement'!D47</f>
        <v/>
      </c>
      <c r="E86" s="13">
        <f>'Cash Flow Statement'!E47</f>
        <v/>
      </c>
      <c r="F86" s="13">
        <f>'Cash Flow Statement'!F47</f>
        <v/>
      </c>
    </row>
    <row r="87">
      <c r="A87" s="11" t="inlineStr">
        <is>
          <t>Lease Repayments (−reported)</t>
        </is>
      </c>
      <c r="B87" s="16" t="n"/>
      <c r="C87" s="16" t="n"/>
      <c r="D87" s="16" t="n"/>
      <c r="E87" s="16" t="n"/>
      <c r="F87" s="16" t="n"/>
    </row>
    <row r="88">
      <c r="A88" s="11" t="inlineStr">
        <is>
          <t>Lease Repayments / Revenue</t>
        </is>
      </c>
      <c r="B88" s="15" t="n"/>
      <c r="C88" s="15" t="n"/>
      <c r="D88" s="15" t="n"/>
      <c r="E88" s="15" t="n"/>
      <c r="F88" s="15" t="n"/>
    </row>
    <row r="90">
      <c r="A90" s="11" t="inlineStr">
        <is>
          <t>CASH ROLL-FORWARD CONTEXT</t>
        </is>
      </c>
    </row>
    <row r="91">
      <c r="A91" s="11" t="inlineStr">
        <is>
          <t>Net cash from operating activities (reported)</t>
        </is>
      </c>
      <c r="B91" s="13">
        <f>'Cash Flow Statement'!B30</f>
        <v/>
      </c>
      <c r="C91" s="13">
        <f>'Cash Flow Statement'!C30</f>
        <v/>
      </c>
      <c r="D91" s="13">
        <f>'Cash Flow Statement'!D30</f>
        <v/>
      </c>
      <c r="E91" s="13">
        <f>'Cash Flow Statement'!E30</f>
        <v/>
      </c>
      <c r="F91" s="13">
        <f>'Cash Flow Statement'!F30</f>
        <v/>
      </c>
    </row>
    <row r="92">
      <c r="A92" s="11" t="inlineStr">
        <is>
          <t>Net cash from investing activities (reported)</t>
        </is>
      </c>
      <c r="B92" s="13">
        <f>'Cash Flow Statement'!B32</f>
        <v/>
      </c>
      <c r="C92" s="13">
        <f>'Cash Flow Statement'!C32</f>
        <v/>
      </c>
      <c r="D92" s="13">
        <f>'Cash Flow Statement'!D32</f>
        <v/>
      </c>
      <c r="E92" s="13">
        <f>'Cash Flow Statement'!E32</f>
        <v/>
      </c>
      <c r="F92" s="13">
        <f>'Cash Flow Statement'!F32</f>
        <v/>
      </c>
    </row>
    <row r="93">
      <c r="A93" s="11" t="inlineStr">
        <is>
          <t>Net cash from financing activities (reported)</t>
        </is>
      </c>
      <c r="B93" s="13">
        <f>'Cash Flow Statement'!B31</f>
        <v/>
      </c>
      <c r="C93" s="13">
        <f>'Cash Flow Statement'!C31</f>
        <v/>
      </c>
      <c r="D93" s="13">
        <f>'Cash Flow Statement'!D31</f>
        <v/>
      </c>
      <c r="E93" s="13">
        <f>'Cash Flow Statement'!E31</f>
        <v/>
      </c>
      <c r="F93" s="13">
        <f>'Cash Flow Statement'!F31</f>
        <v/>
      </c>
    </row>
    <row r="94">
      <c r="A94" s="11" t="inlineStr">
        <is>
          <t>Effect of FX on cash (reported)</t>
        </is>
      </c>
      <c r="B94" s="13">
        <f>'Cash Flow Statement'!B18</f>
        <v/>
      </c>
      <c r="C94" s="13">
        <f>'Cash Flow Statement'!C18</f>
        <v/>
      </c>
      <c r="D94" s="13">
        <f>'Cash Flow Statement'!D18</f>
        <v/>
      </c>
      <c r="E94" s="13">
        <f>'Cash Flow Statement'!E18</f>
        <v/>
      </c>
      <c r="F94" s="13">
        <f>'Cash Flow Statement'!F18</f>
        <v/>
      </c>
    </row>
    <row r="95">
      <c r="A95" s="11" t="inlineStr">
        <is>
          <t>Cash movement from flows</t>
        </is>
      </c>
      <c r="B95" s="16" t="n"/>
      <c r="C95" s="16" t="n"/>
      <c r="D95" s="16" t="n"/>
      <c r="E95" s="16" t="n"/>
      <c r="F95" s="16" t="n"/>
    </row>
    <row r="96">
      <c r="A96" s="11" t="inlineStr">
        <is>
          <t>Reported cash change</t>
        </is>
      </c>
      <c r="B96" s="13">
        <f>'Cash Flow Statement'!B33</f>
        <v/>
      </c>
      <c r="C96" s="13">
        <f>'Cash Flow Statement'!C33</f>
        <v/>
      </c>
      <c r="D96" s="13">
        <f>'Cash Flow Statement'!D33</f>
        <v/>
      </c>
      <c r="E96" s="13">
        <f>'Cash Flow Statement'!E33</f>
        <v/>
      </c>
      <c r="F96" s="13">
        <f>'Cash Flow Statement'!F33</f>
        <v/>
      </c>
    </row>
    <row r="97">
      <c r="A97" s="11" t="inlineStr">
        <is>
          <t>Cash movement difference</t>
        </is>
      </c>
      <c r="B97" s="16" t="n"/>
      <c r="C97" s="16" t="n"/>
      <c r="D97" s="16" t="n"/>
      <c r="E97" s="16" t="n"/>
      <c r="F97" s="16" t="n"/>
    </row>
    <row r="98">
      <c r="A98" s="11" t="inlineStr">
        <is>
          <t>Cash beginning (reported)</t>
        </is>
      </c>
      <c r="B98" s="13">
        <f>'Cash Flow Statement'!B12</f>
        <v/>
      </c>
      <c r="C98" s="13">
        <f>'Cash Flow Statement'!C12</f>
        <v/>
      </c>
      <c r="D98" s="13">
        <f>'Cash Flow Statement'!D12</f>
        <v/>
      </c>
      <c r="E98" s="13">
        <f>'Cash Flow Statement'!E12</f>
        <v/>
      </c>
      <c r="F98" s="13">
        <f>'Cash Flow Statement'!F12</f>
        <v/>
      </c>
    </row>
    <row r="99">
      <c r="A99" s="11" t="inlineStr">
        <is>
          <t>Cash ending from flows</t>
        </is>
      </c>
      <c r="B99" s="16" t="n"/>
      <c r="C99" s="16" t="n"/>
      <c r="D99" s="16" t="n"/>
      <c r="E99" s="16" t="n"/>
      <c r="F99" s="16" t="n"/>
    </row>
    <row r="100">
      <c r="A100" s="11" t="inlineStr">
        <is>
          <t>Cash ending (reported)</t>
        </is>
      </c>
      <c r="B100" s="13">
        <f>'Cash Flow Statement'!B13</f>
        <v/>
      </c>
      <c r="C100" s="13">
        <f>'Cash Flow Statement'!C13</f>
        <v/>
      </c>
      <c r="D100" s="13">
        <f>'Cash Flow Statement'!D13</f>
        <v/>
      </c>
      <c r="E100" s="13">
        <f>'Cash Flow Statement'!E13</f>
        <v/>
      </c>
      <c r="F100" s="13">
        <f>'Cash Flow Statement'!F13</f>
        <v/>
      </c>
    </row>
    <row r="101">
      <c r="A101" s="11" t="inlineStr">
        <is>
          <t>Cash ending difference</t>
        </is>
      </c>
      <c r="B101" s="16" t="n"/>
      <c r="C101" s="16" t="n"/>
      <c r="D101" s="16" t="n"/>
      <c r="E101" s="16" t="n"/>
      <c r="F101" s="16" t="n"/>
    </row>
    <row r="103">
      <c r="A103" s="11" t="inlineStr">
        <is>
          <t>GOODWILL &amp; INTANGIBLES CONTEXT</t>
        </is>
      </c>
    </row>
    <row r="104">
      <c r="A104" s="11" t="inlineStr">
        <is>
          <t>Goodwill</t>
        </is>
      </c>
      <c r="B104" s="13">
        <f>'Balance Sheet'!B37</f>
        <v/>
      </c>
      <c r="C104" s="13">
        <f>'Balance Sheet'!C37</f>
        <v/>
      </c>
      <c r="D104" s="13">
        <f>'Balance Sheet'!D37</f>
        <v/>
      </c>
      <c r="E104" s="13">
        <f>'Balance Sheet'!E37</f>
        <v/>
      </c>
      <c r="F104" s="13">
        <f>'Balance Sheet'!F37</f>
        <v/>
      </c>
    </row>
    <row r="105">
      <c r="A105" s="11" t="inlineStr">
        <is>
          <t>Change in Goodwill</t>
        </is>
      </c>
      <c r="C105" s="16" t="n"/>
      <c r="D105" s="16" t="n"/>
      <c r="E105" s="16" t="n"/>
      <c r="F105" s="16" t="n"/>
    </row>
    <row r="106">
      <c r="A106" s="11" t="inlineStr">
        <is>
          <t>Goodwill Growth</t>
        </is>
      </c>
      <c r="C106" s="15" t="n"/>
      <c r="D106" s="15" t="n"/>
      <c r="E106" s="15" t="n"/>
      <c r="F106" s="15" t="n"/>
    </row>
    <row r="107">
      <c r="A107" s="11" t="inlineStr">
        <is>
          <t>Average Goodwill</t>
        </is>
      </c>
      <c r="C107" s="16" t="n"/>
      <c r="D107" s="16" t="n"/>
      <c r="E107" s="16" t="n"/>
      <c r="F107" s="16" t="n"/>
    </row>
    <row r="108">
      <c r="A108" s="11" t="inlineStr">
        <is>
          <t>Average Goodwill / Revenue</t>
        </is>
      </c>
      <c r="C108" s="15" t="n"/>
      <c r="D108" s="15" t="n"/>
      <c r="E108" s="15" t="n"/>
      <c r="F108" s="15" t="n"/>
    </row>
    <row r="109">
      <c r="A109" s="11" t="inlineStr">
        <is>
          <t>Intangible Assets</t>
        </is>
      </c>
      <c r="B109" s="13">
        <f>'Balance Sheet'!B38</f>
        <v/>
      </c>
      <c r="C109" s="13">
        <f>'Balance Sheet'!C38</f>
        <v/>
      </c>
      <c r="D109" s="13">
        <f>'Balance Sheet'!D38</f>
        <v/>
      </c>
      <c r="E109" s="13">
        <f>'Balance Sheet'!E38</f>
        <v/>
      </c>
      <c r="F109" s="13">
        <f>'Balance Sheet'!F38</f>
        <v/>
      </c>
    </row>
    <row r="110">
      <c r="A110" s="11" t="inlineStr">
        <is>
          <t>Change in Intangible Assets</t>
        </is>
      </c>
      <c r="C110" s="16" t="n"/>
      <c r="D110" s="16" t="n"/>
      <c r="E110" s="16" t="n"/>
      <c r="F110" s="16" t="n"/>
    </row>
    <row r="111">
      <c r="A111" s="11" t="inlineStr">
        <is>
          <t>Intangible Assets Growth</t>
        </is>
      </c>
      <c r="C111" s="15" t="n"/>
      <c r="D111" s="15" t="n"/>
      <c r="E111" s="15" t="n"/>
      <c r="F111" s="15" t="n"/>
    </row>
    <row r="112">
      <c r="A112" s="11" t="inlineStr">
        <is>
          <t>Average Intangible Assets</t>
        </is>
      </c>
      <c r="C112" s="16" t="n"/>
      <c r="D112" s="16" t="n"/>
      <c r="E112" s="16" t="n"/>
      <c r="F112" s="16" t="n"/>
    </row>
    <row r="113">
      <c r="A113" s="11" t="inlineStr">
        <is>
          <t>Average Intangible Assets / Revenue</t>
        </is>
      </c>
      <c r="C113" s="15" t="n"/>
      <c r="D113" s="15" t="n"/>
      <c r="E113" s="15" t="n"/>
      <c r="F113" s="15" t="n"/>
    </row>
    <row r="114">
      <c r="A114" s="11" t="inlineStr">
        <is>
          <t>Goodwill &amp; Intangibles</t>
        </is>
      </c>
      <c r="B114" s="13">
        <f>B104+B109</f>
        <v/>
      </c>
      <c r="C114" s="13">
        <f>C104+C109</f>
        <v/>
      </c>
      <c r="D114" s="13">
        <f>D104+D109</f>
        <v/>
      </c>
      <c r="E114" s="13">
        <f>E104+E109</f>
        <v/>
      </c>
      <c r="F114" s="13">
        <f>F104+F109</f>
        <v/>
      </c>
    </row>
    <row r="115">
      <c r="A115" s="11" t="inlineStr">
        <is>
          <t>Change in Goodwill &amp; Intangibles</t>
        </is>
      </c>
      <c r="C115" s="16" t="n"/>
      <c r="D115" s="16" t="n"/>
      <c r="E115" s="16" t="n"/>
      <c r="F115" s="16" t="n"/>
    </row>
    <row r="116">
      <c r="A116" s="11" t="inlineStr">
        <is>
          <t>Goodwill &amp; Intangibles Growth</t>
        </is>
      </c>
      <c r="C116" s="15" t="n"/>
      <c r="D116" s="15" t="n"/>
      <c r="E116" s="15" t="n"/>
      <c r="F116" s="15" t="n"/>
    </row>
    <row r="117">
      <c r="A117" s="11" t="inlineStr">
        <is>
          <t>Average Goodwill &amp; Intangibles</t>
        </is>
      </c>
      <c r="C117" s="16" t="n"/>
      <c r="D117" s="16" t="n"/>
      <c r="E117" s="16" t="n"/>
      <c r="F117" s="16" t="n"/>
    </row>
    <row r="118">
      <c r="A118" s="11" t="inlineStr">
        <is>
          <t>Average Goodwill &amp; Intangibles / Revenue</t>
        </is>
      </c>
      <c r="C118" s="15" t="n"/>
      <c r="D118" s="15" t="n"/>
      <c r="E118" s="15" t="n"/>
      <c r="F118" s="15" t="n"/>
    </row>
    <row r="119">
      <c r="A119" s="11" t="inlineStr">
        <is>
          <t>Payments for Intangible Assets (reported)</t>
        </is>
      </c>
      <c r="B119" s="13">
        <f>'Cash Flow Statement'!B38</f>
        <v/>
      </c>
      <c r="C119" s="13">
        <f>'Cash Flow Statement'!C38</f>
        <v/>
      </c>
      <c r="D119" s="13">
        <f>'Cash Flow Statement'!D38</f>
        <v/>
      </c>
      <c r="E119" s="13">
        <f>'Cash Flow Statement'!E38</f>
        <v/>
      </c>
      <c r="F119" s="13">
        <f>'Cash Flow Statement'!F38</f>
        <v/>
      </c>
    </row>
    <row r="120">
      <c r="A120" s="11" t="inlineStr">
        <is>
          <t>Intangible Payments (−reported)</t>
        </is>
      </c>
      <c r="B120" s="16" t="n"/>
      <c r="C120" s="16" t="n"/>
      <c r="D120" s="16" t="n"/>
      <c r="E120" s="16" t="n"/>
      <c r="F120" s="16" t="n"/>
    </row>
    <row r="121">
      <c r="A121" s="11" t="inlineStr">
        <is>
          <t>Intangible Payments / Revenue</t>
        </is>
      </c>
      <c r="B121" s="15" t="n"/>
      <c r="C121" s="15" t="n"/>
      <c r="D121" s="15" t="n"/>
      <c r="E121" s="15" t="n"/>
      <c r="F121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n"/>
      <c r="G5" s="18" t="n"/>
      <c r="H5" s="18" t="n"/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n"/>
      <c r="G6" s="18" t="n"/>
      <c r="H6" s="18" t="n"/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n"/>
      <c r="G7" s="18" t="n"/>
      <c r="H7" s="18" t="n"/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n"/>
      <c r="G8" s="18" t="n"/>
      <c r="H8" s="18" t="n"/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n"/>
      <c r="G9" s="18" t="n"/>
      <c r="H9" s="18" t="n"/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n"/>
      <c r="G10" s="18" t="n"/>
      <c r="H10" s="18" t="n"/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n"/>
      <c r="G11" s="18" t="n"/>
      <c r="H11" s="18" t="n"/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n"/>
      <c r="G12" s="18" t="n"/>
      <c r="H12" s="18" t="n"/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n"/>
      <c r="G13" s="18" t="n"/>
      <c r="H13" s="18" t="n"/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n"/>
      <c r="G14" s="18" t="n"/>
      <c r="H14" s="18" t="n"/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n"/>
      <c r="G15" s="18" t="n"/>
      <c r="H15" s="18" t="n"/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n"/>
      <c r="G16" s="18" t="n"/>
      <c r="H16" s="18" t="n"/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n"/>
      <c r="G17" s="18" t="n"/>
      <c r="H17" s="18" t="n"/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n"/>
      <c r="G18" s="18" t="n"/>
      <c r="H18" s="18" t="n"/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n"/>
      <c r="G19" s="18" t="n"/>
      <c r="H19" s="18" t="n"/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 t="n"/>
      <c r="C5" s="16" t="n"/>
      <c r="D5" s="16" t="n"/>
      <c r="E5" s="16" t="n"/>
      <c r="F5" s="16" t="n"/>
    </row>
    <row r="6">
      <c r="A6" s="11" t="inlineStr">
        <is>
          <t>NCI Profit</t>
        </is>
      </c>
      <c r="B6" s="16" t="n"/>
      <c r="C6" s="16" t="n"/>
      <c r="D6" s="16" t="n"/>
      <c r="E6" s="16" t="n"/>
      <c r="F6" s="16" t="n"/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 t="n"/>
      <c r="C8" s="16" t="n"/>
      <c r="D8" s="16" t="n"/>
      <c r="E8" s="16" t="n"/>
      <c r="F8" s="16" t="n"/>
    </row>
    <row r="10">
      <c r="A10" s="11" t="inlineStr">
        <is>
          <t>Parent Equity</t>
        </is>
      </c>
      <c r="B10" s="16" t="n"/>
      <c r="C10" s="16" t="n"/>
      <c r="D10" s="16" t="n"/>
      <c r="E10" s="16" t="n"/>
      <c r="F10" s="16" t="n"/>
    </row>
    <row r="11">
      <c r="A11" s="11" t="inlineStr">
        <is>
          <t>NCI Equity</t>
        </is>
      </c>
      <c r="B11" s="16" t="n"/>
      <c r="C11" s="16" t="n"/>
      <c r="D11" s="16" t="n"/>
      <c r="E11" s="16" t="n"/>
      <c r="F11" s="16" t="n"/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 t="n"/>
      <c r="C13" s="16" t="n"/>
      <c r="D13" s="16" t="n"/>
      <c r="E13" s="16" t="n"/>
      <c r="F13" s="16" t="n"/>
    </row>
    <row r="15">
      <c r="A15" s="11" t="inlineStr">
        <is>
          <t>Parent ROE</t>
        </is>
      </c>
      <c r="B15" s="11" t="inlineStr">
        <is>
          <t>N/A</t>
        </is>
      </c>
      <c r="C15" s="15" t="n"/>
      <c r="D15" s="15" t="n"/>
      <c r="E15" s="15" t="n"/>
      <c r="F1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 t="n"/>
      <c r="C5" s="16" t="n"/>
      <c r="D5" s="16" t="n"/>
      <c r="E5" s="16" t="n"/>
      <c r="F5" s="16" t="n"/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 t="n"/>
      <c r="C7" s="17" t="n"/>
      <c r="D7" s="17" t="n"/>
      <c r="E7" s="17" t="n"/>
      <c r="F7" s="17" t="n"/>
    </row>
    <row r="8">
      <c r="A8" s="11" t="inlineStr">
        <is>
          <t>Total Accruals (Net Income - CFO)</t>
        </is>
      </c>
      <c r="B8" s="16" t="n"/>
      <c r="C8" s="16" t="n"/>
      <c r="D8" s="16" t="n"/>
      <c r="E8" s="16" t="n"/>
      <c r="F8" s="16" t="n"/>
    </row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 t="n"/>
      <c r="D11" s="16" t="n"/>
      <c r="E11" s="16" t="n"/>
      <c r="F11" s="16" t="n"/>
    </row>
    <row r="12">
      <c r="A12" s="11" t="inlineStr">
        <is>
          <t>Accrual Ratio</t>
        </is>
      </c>
      <c r="C12" s="15" t="n"/>
      <c r="D12" s="15" t="n"/>
      <c r="E12" s="15" t="n"/>
      <c r="F12" s="15" t="n"/>
    </row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Change in Cash Conversion Ratio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Change in Total Accruals</t>
        </is>
      </c>
      <c r="B17" s="11" t="inlineStr">
        <is>
          <t>N/A</t>
        </is>
      </c>
      <c r="C17" s="16" t="n"/>
      <c r="D17" s="16" t="n"/>
      <c r="E17" s="16" t="n"/>
      <c r="F17" s="16" t="n"/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 t="n"/>
      <c r="E18" s="15" t="n"/>
      <c r="F18" s="15" t="n"/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1">
      <c r="A11" s="11" t="inlineStr">
        <is>
          <t>OWCA / Revenue</t>
        </is>
      </c>
      <c r="B11" s="15" t="n"/>
      <c r="C11" s="15" t="n"/>
      <c r="D11" s="15" t="n"/>
      <c r="E11" s="15" t="n"/>
      <c r="F11" s="15" t="n"/>
    </row>
    <row r="12">
      <c r="A12" s="11" t="inlineStr">
        <is>
          <t>OWCL / Revenue</t>
        </is>
      </c>
      <c r="B12" s="15" t="n"/>
      <c r="C12" s="15" t="n"/>
      <c r="D12" s="15" t="n"/>
      <c r="E12" s="15" t="n"/>
      <c r="F12" s="15" t="n"/>
    </row>
    <row r="13">
      <c r="A13" s="11" t="inlineStr">
        <is>
          <t>NOWC / Revenue</t>
        </is>
      </c>
      <c r="B13" s="15" t="n"/>
      <c r="C13" s="15" t="n"/>
      <c r="D13" s="15" t="n"/>
      <c r="E13" s="15" t="n"/>
      <c r="F13" s="15" t="n"/>
    </row>
    <row r="14">
      <c r="A14" s="11" t="inlineStr">
        <is>
          <t>Change in Revenue</t>
        </is>
      </c>
      <c r="B14" s="11" t="inlineStr">
        <is>
          <t>N/A</t>
        </is>
      </c>
      <c r="C14" s="16" t="n"/>
      <c r="D14" s="16" t="n"/>
      <c r="E14" s="16" t="n"/>
      <c r="F14" s="16" t="n"/>
    </row>
    <row r="15">
      <c r="A15" s="11" t="inlineStr">
        <is>
          <t>Change in NOWC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 t="n"/>
      <c r="D16" s="15" t="n"/>
      <c r="E16" s="15" t="n"/>
      <c r="F16" s="15" t="n"/>
    </row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 t="n"/>
      <c r="D19" s="16" t="n"/>
      <c r="E19" s="16" t="n"/>
      <c r="F19" s="16" t="n"/>
    </row>
    <row r="20">
      <c r="A20" s="11" t="inlineStr">
        <is>
          <t>Change in OWCL</t>
        </is>
      </c>
      <c r="B20" s="11" t="inlineStr">
        <is>
          <t>N/A</t>
        </is>
      </c>
      <c r="C20" s="16" t="n"/>
      <c r="D20" s="16" t="n"/>
      <c r="E20" s="16" t="n"/>
      <c r="F20" s="16" t="n"/>
    </row>
    <row r="21">
      <c r="A21" s="11" t="inlineStr">
        <is>
          <t>Change in NOWC from Components</t>
        </is>
      </c>
      <c r="B21" s="11" t="inlineStr">
        <is>
          <t>N/A</t>
        </is>
      </c>
      <c r="C21" s="16" t="n"/>
      <c r="D21" s="16" t="n"/>
      <c r="E21" s="16" t="n"/>
      <c r="F21" s="16" t="n"/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 t="n"/>
      <c r="D22" s="15" t="n"/>
      <c r="E22" s="15" t="n"/>
      <c r="F22" s="15" t="n"/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 t="n"/>
      <c r="D23" s="15" t="n"/>
      <c r="E23" s="15" t="n"/>
      <c r="F23" s="15" t="n"/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 t="n"/>
      <c r="C9" s="20" t="n"/>
      <c r="D9" s="20" t="n"/>
      <c r="E9" s="20" t="n"/>
      <c r="F9" s="20" t="n"/>
    </row>
    <row r="10">
      <c r="A10" s="11" t="inlineStr">
        <is>
          <t>NOPAT per Diluted Share</t>
        </is>
      </c>
      <c r="B10" s="20" t="n"/>
      <c r="C10" s="20" t="n"/>
      <c r="D10" s="20" t="n"/>
      <c r="E10" s="20" t="n"/>
      <c r="F10" s="20" t="n"/>
    </row>
    <row r="12">
      <c r="A12" s="11" t="inlineStr">
        <is>
          <t>Change in Diluted EPS</t>
        </is>
      </c>
      <c r="B12" s="11" t="inlineStr">
        <is>
          <t>N/A</t>
        </is>
      </c>
      <c r="C12" s="20" t="n"/>
      <c r="D12" s="20" t="n"/>
      <c r="E12" s="20" t="n"/>
      <c r="F12" s="20" t="n"/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 t="n"/>
      <c r="D13" s="21" t="n"/>
      <c r="E13" s="21" t="n"/>
      <c r="F13" s="21" t="n"/>
    </row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 t="n"/>
      <c r="D16" s="16" t="n"/>
      <c r="E16" s="16" t="n"/>
      <c r="F16" s="16" t="n"/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 t="n"/>
      <c r="D17" s="20" t="n"/>
      <c r="E17" s="20" t="n"/>
      <c r="F17" s="20" t="n"/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 t="n"/>
      <c r="D18" s="20" t="n"/>
      <c r="E18" s="20" t="n"/>
      <c r="F18" s="20" t="n"/>
    </row>
    <row r="19">
      <c r="A19" s="11" t="inlineStr">
        <is>
          <t>Diluted EPS Change from Drivers</t>
        </is>
      </c>
      <c r="B19" s="11" t="inlineStr">
        <is>
          <t>N/A</t>
        </is>
      </c>
      <c r="C19" s="20" t="n"/>
      <c r="D19" s="20" t="n"/>
      <c r="E19" s="20" t="n"/>
      <c r="F19" s="20" t="n"/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2026-09-15T08:27:32Z</dcterms:created>
  <dcterms:modified xsi:type="dcterms:W3CDTF">2026-09-15T08:27:32Z</dcterms:modified>
</cp:coreProperties>
</file>