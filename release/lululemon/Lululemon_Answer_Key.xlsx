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r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Condensed Financials" sheetId="5" state="visible" r:id="rId5"/>
    <sheet name="ALT DuPont" sheetId="6" state="visible" r:id="rId6"/>
    <sheet name="Accounting Judgment" sheetId="7" state="visible" r:id="rId7"/>
    <sheet name="Earnings Quality" sheetId="8" state="visible" r:id="rId8"/>
    <sheet name="Working Capital Analysis" sheetId="9" state="visible" r:id="rId9"/>
    <sheet name="Per Share Analysis" sheetId="10" state="visible" r:id="rId10"/>
    <sheet name="Model_Bear" sheetId="11" state="hidden" r:id="rId11"/>
    <sheet name="Model_Base" sheetId="12" state="hidden" r:id="rId12"/>
    <sheet name="Model_Bull" sheetId="13" state="hidden" r:id="rId13"/>
    <sheet name="Scenario_Summary" sheetId="14" state="hidden" r:id="rId14"/>
    <sheet name="_ComponentMap" sheetId="15" state="hidden" r:id="rId15"/>
    <sheet name="_CheckContext" sheetId="16" state="hidden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 dd, yyyy"/>
    <numFmt numFmtId="165" formatCode="#,##0;(#,##0)"/>
    <numFmt numFmtId="166" formatCode="0.0%"/>
    <numFmt numFmtId="167" formatCode="0.00x"/>
    <numFmt numFmtId="168" formatCode="#,##0.0;(#,##0.0)"/>
    <numFmt numFmtId="169" formatCode="0.000"/>
  </numFmts>
  <fonts count="4">
    <font>
      <name val="Calibri"/>
      <family val="2"/>
      <color theme="1"/>
      <sz val="11"/>
      <scheme val="minor"/>
    </font>
    <font>
      <b val="1"/>
    </font>
    <font/>
    <font>
      <name val="Aptos Narrow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2" borderId="0" applyAlignment="1" pivotButton="0" quotePrefix="0" xfId="0">
      <alignment vertical="top" wrapText="1"/>
    </xf>
    <xf numFmtId="168" fontId="0" fillId="0" borderId="0" pivotButton="0" quotePrefix="0" xfId="0"/>
    <xf numFmtId="169" fontId="0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2" borderId="1" pivotButton="0" quotePrefix="0" xfId="0"/>
    <xf numFmtId="166" fontId="3" fillId="2" borderId="1" pivotButton="0" quotePrefix="0" xfId="0"/>
    <xf numFmtId="165" fontId="3" fillId="2" borderId="1" pivotButton="0" quotePrefix="0" xfId="0"/>
    <xf numFmtId="167" fontId="3" fillId="2" borderId="1" pivotButton="0" quotePrefix="0" xfId="0"/>
    <xf numFmtId="0" fontId="3" fillId="2" borderId="1" applyAlignment="1" pivotButton="0" quotePrefix="0" xfId="0">
      <alignment vertical="top" wrapText="1"/>
    </xf>
    <xf numFmtId="168" fontId="3" fillId="3" borderId="1" pivotButton="0" quotePrefix="0" xfId="0"/>
    <xf numFmtId="169" fontId="3" fillId="2" borderId="1" pivotButton="0" quotePrefix="0" xfId="0"/>
    <xf numFmtId="168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BAV Trainer</author>
  </authors>
  <commentList>
    <comment ref="B34" authorId="0" shapeId="0">
      <text>
        <t>Link Revenue from the Income Statement into Condensed Financials.</t>
      </text>
    </comment>
    <comment ref="C34" authorId="0" shapeId="0">
      <text>
        <t>Link Revenue from the Income Statement into Condensed Financials.</t>
      </text>
    </comment>
    <comment ref="D34" authorId="0" shapeId="0">
      <text>
        <t>Link Revenue from the Income Statement into Condensed Financials.</t>
      </text>
    </comment>
    <comment ref="E34" authorId="0" shapeId="0">
      <text>
        <t>Link Revenue from the Income Statement into Condensed Financials.</t>
      </text>
    </comment>
    <comment ref="B35" authorId="0" shapeId="0">
      <text>
        <t>Link Net Income from the Income Statement into Condensed Financials.</t>
      </text>
    </comment>
    <comment ref="C35" authorId="0" shapeId="0">
      <text>
        <t>Link Net Income from the Income Statement into Condensed Financials.</t>
      </text>
    </comment>
    <comment ref="D35" authorId="0" shapeId="0">
      <text>
        <t>Link Net Income from the Income Statement into Condensed Financials.</t>
      </text>
    </comment>
    <comment ref="E35" authorId="0" shapeId="0">
      <text>
        <t>Link Net Income from the Income Statement into Condensed Financials.</t>
      </text>
    </comment>
    <comment ref="B38" authorId="0" shapeId="0">
      <text>
        <t>Relate tax expense to pretax income using the model's sign convention.</t>
      </text>
    </comment>
    <comment ref="C38" authorId="0" shapeId="0">
      <text>
        <t>Relate tax expense to pretax income using the model's sign convention.</t>
      </text>
    </comment>
    <comment ref="D38" authorId="0" shapeId="0">
      <text>
        <t>Relate tax expense to pretax income using the model's sign convention.</t>
      </text>
    </comment>
    <comment ref="E38" authorId="0" shapeId="0">
      <text>
        <t>Relate tax expense to pretax income using the model's sign convention.</t>
      </text>
    </comment>
    <comment ref="B44" authorId="0" shapeId="0">
      <text>
        <t>Aggregate the classified balance-sheet detail with the classification column.</t>
      </text>
    </comment>
    <comment ref="C44" authorId="0" shapeId="0">
      <text>
        <t>Aggregate the classified balance-sheet detail with the classification column.</t>
      </text>
    </comment>
    <comment ref="D44" authorId="0" shapeId="0">
      <text>
        <t>Aggregate the classified balance-sheet detail with the classification column.</t>
      </text>
    </comment>
    <comment ref="E44" authorId="0" shapeId="0">
      <text>
        <t>Aggregate the classified balance-sheet detail with the classification column.</t>
      </text>
    </comment>
    <comment ref="B45" authorId="0" shapeId="0">
      <text>
        <t>Aggregate the classified balance-sheet detail with the classification column.</t>
      </text>
    </comment>
    <comment ref="C45" authorId="0" shapeId="0">
      <text>
        <t>Aggregate the classified balance-sheet detail with the classification column.</t>
      </text>
    </comment>
    <comment ref="D45" authorId="0" shapeId="0">
      <text>
        <t>Aggregate the classified balance-sheet detail with the classification column.</t>
      </text>
    </comment>
    <comment ref="E45" authorId="0" shapeId="0">
      <text>
        <t>Aggregate the classified balance-sheet detail with the classification column.</t>
      </text>
    </comment>
    <comment ref="B46" authorId="0" shapeId="0">
      <text>
        <t>Sum operating WC assets minus operating WC liabilities.</t>
      </text>
    </comment>
    <comment ref="C46" authorId="0" shapeId="0">
      <text>
        <t>Sum operating WC assets minus operating WC liabilities.</t>
      </text>
    </comment>
    <comment ref="D46" authorId="0" shapeId="0">
      <text>
        <t>Sum operating WC assets minus operating WC liabilities.</t>
      </text>
    </comment>
    <comment ref="E46" authorId="0" shapeId="0">
      <text>
        <t>Sum operating WC assets minus operating WC liabilities.</t>
      </text>
    </comment>
    <comment ref="B47" authorId="0" shapeId="0">
      <text>
        <t>Aggregate the classified balance-sheet detail with the classification column.</t>
      </text>
    </comment>
    <comment ref="C47" authorId="0" shapeId="0">
      <text>
        <t>Aggregate the classified balance-sheet detail with the classification column.</t>
      </text>
    </comment>
    <comment ref="D47" authorId="0" shapeId="0">
      <text>
        <t>Aggregate the classified balance-sheet detail with the classification column.</t>
      </text>
    </comment>
    <comment ref="E47" authorId="0" shapeId="0">
      <text>
        <t>Aggregate the classified balance-sheet detail with the classification column.</t>
      </text>
    </comment>
    <comment ref="B48" authorId="0" shapeId="0">
      <text>
        <t>Aggregate the classified balance-sheet detail with the classification column.</t>
      </text>
    </comment>
    <comment ref="C48" authorId="0" shapeId="0">
      <text>
        <t>Aggregate the classified balance-sheet detail with the classification column.</t>
      </text>
    </comment>
    <comment ref="D48" authorId="0" shapeId="0">
      <text>
        <t>Aggregate the classified balance-sheet detail with the classification column.</t>
      </text>
    </comment>
    <comment ref="E48" authorId="0" shapeId="0">
      <text>
        <t>Aggregate the classified balance-sheet detail with the classification column.</t>
      </text>
    </comment>
    <comment ref="B49" authorId="0" shapeId="0">
      <text>
        <t>Operating long-term assets less operating long-term liabilities.</t>
      </text>
    </comment>
    <comment ref="C49" authorId="0" shapeId="0">
      <text>
        <t>Operating long-term assets less operating long-term liabilities.</t>
      </text>
    </comment>
    <comment ref="D49" authorId="0" shapeId="0">
      <text>
        <t>Operating long-term assets less operating long-term liabilities.</t>
      </text>
    </comment>
    <comment ref="E49" authorId="0" shapeId="0">
      <text>
        <t>Operating long-term assets less operating long-term liabilities.</t>
      </text>
    </comment>
    <comment ref="B50" authorId="0" shapeId="0">
      <text>
        <t>NOWC plus net operating long-term assets.</t>
      </text>
    </comment>
    <comment ref="C50" authorId="0" shapeId="0">
      <text>
        <t>NOWC plus net operating long-term assets.</t>
      </text>
    </comment>
    <comment ref="D50" authorId="0" shapeId="0">
      <text>
        <t>NOWC plus net operating long-term assets.</t>
      </text>
    </comment>
    <comment ref="E50" authorId="0" shapeId="0">
      <text>
        <t>NOWC plus net operating long-term assets.</t>
      </text>
    </comment>
    <comment ref="B51" authorId="0" shapeId="0">
      <text>
        <t>Aggregate the classified balance-sheet detail with the classification column.</t>
      </text>
    </comment>
    <comment ref="C51" authorId="0" shapeId="0">
      <text>
        <t>Aggregate the classified balance-sheet detail with the classification column.</t>
      </text>
    </comment>
    <comment ref="D51" authorId="0" shapeId="0">
      <text>
        <t>Aggregate the classified balance-sheet detail with the classification column.</t>
      </text>
    </comment>
    <comment ref="E51" authorId="0" shapeId="0">
      <text>
        <t>Aggregate the classified balance-sheet detail with the classification column.</t>
      </text>
    </comment>
    <comment ref="B52" authorId="0" shapeId="0">
      <text>
        <t>Aggregate the classified balance-sheet detail with the classification column.</t>
      </text>
    </comment>
    <comment ref="C52" authorId="0" shapeId="0">
      <text>
        <t>Aggregate the classified balance-sheet detail with the classification column.</t>
      </text>
    </comment>
    <comment ref="D52" authorId="0" shapeId="0">
      <text>
        <t>Aggregate the classified balance-sheet detail with the classification column.</t>
      </text>
    </comment>
    <comment ref="E52" authorId="0" shapeId="0">
      <text>
        <t>Aggregate the classified balance-sheet detail with the classification column.</t>
      </text>
    </comment>
    <comment ref="B53" authorId="0" shapeId="0">
      <text>
        <t>Financial liabilities minus financial assets.</t>
      </text>
    </comment>
    <comment ref="C53" authorId="0" shapeId="0">
      <text>
        <t>Financial liabilities minus financial assets.</t>
      </text>
    </comment>
    <comment ref="D53" authorId="0" shapeId="0">
      <text>
        <t>Financial liabilities minus financial assets.</t>
      </text>
    </comment>
    <comment ref="E53" authorId="0" shapeId="0">
      <text>
        <t>Financial liabilities minus financial assets.</t>
      </text>
    </comment>
    <comment ref="B54" authorId="0" shapeId="0">
      <text>
        <t>Use the operating/financing identity linking NOA, Net Debt, and Equity.</t>
      </text>
    </comment>
    <comment ref="C54" authorId="0" shapeId="0">
      <text>
        <t>Use the operating/financing identity linking NOA, Net Debt, and Equity.</t>
      </text>
    </comment>
    <comment ref="D54" authorId="0" shapeId="0">
      <text>
        <t>Use the operating/financing identity linking NOA, Net Debt, and Equity.</t>
      </text>
    </comment>
    <comment ref="E54" authorId="0" shapeId="0">
      <text>
        <t>Use the operating/financing identity linking NOA, Net Debt, and Equity.</t>
      </text>
    </comment>
  </commentList>
</comments>
</file>

<file path=xl/comments/comment2.xml><?xml version="1.0" encoding="utf-8"?>
<comments xmlns="http://schemas.openxmlformats.org/spreadsheetml/2006/main">
  <authors>
    <author>BAV Trainer</author>
  </authors>
  <commentList>
    <comment ref="C5" authorId="0" shapeId="0">
      <text>
        <t>Current Revenue relative to the immediately preceding fiscal year.</t>
      </text>
    </comment>
    <comment ref="D5" authorId="0" shapeId="0">
      <text>
        <t>Current Revenue relative to the immediately preceding fiscal year.</t>
      </text>
    </comment>
    <comment ref="E5" authorId="0" shapeId="0">
      <text>
        <t>Current Revenue relative to the immediately preceding fiscal year.</t>
      </text>
    </comment>
    <comment ref="C10" authorId="0" shapeId="0">
      <text>
        <t>Relate average net debt to average reformulated equity.</t>
      </text>
    </comment>
    <comment ref="D10" authorId="0" shapeId="0">
      <text>
        <t>Relate average net debt to average reformulated equity.</t>
      </text>
    </comment>
    <comment ref="E10" authorId="0" shapeId="0">
      <text>
        <t>Relate average net debt to average reformulated equity.</t>
      </text>
    </comment>
    <comment ref="C12" authorId="0" shapeId="0">
      <text>
        <t>Relate net income to average reformulated equity.</t>
      </text>
    </comment>
    <comment ref="D12" authorId="0" shapeId="0">
      <text>
        <t>Relate net income to average reformulated equity.</t>
      </text>
    </comment>
    <comment ref="E12" authorId="0" shapeId="0">
      <text>
        <t>Relate net income to average reformulated equity.</t>
      </text>
    </comment>
    <comment ref="C15" authorId="0" shapeId="0">
      <text>
        <t>Average beginning and ending NOA for the comparable period.</t>
      </text>
    </comment>
    <comment ref="D15" authorId="0" shapeId="0">
      <text>
        <t>Average beginning and ending NOA for the comparable period.</t>
      </text>
    </comment>
    <comment ref="E15" authorId="0" shapeId="0">
      <text>
        <t>Average beginning and ending NOA for the comparable period.</t>
      </text>
    </comment>
    <comment ref="C16" authorId="0" shapeId="0">
      <text>
        <t>Revenue divided by Average NOA.</t>
      </text>
    </comment>
    <comment ref="D16" authorId="0" shapeId="0">
      <text>
        <t>Revenue divided by Average NOA.</t>
      </text>
    </comment>
    <comment ref="E16" authorId="0" shapeId="0">
      <text>
        <t>Revenue divided by Average NOA.</t>
      </text>
    </comment>
    <comment ref="C17" authorId="0" shapeId="0">
      <text>
        <t>Average NOA divided by Revenue.</t>
      </text>
    </comment>
    <comment ref="D17" authorId="0" shapeId="0">
      <text>
        <t>Average NOA divided by Revenue.</t>
      </text>
    </comment>
    <comment ref="E17" authorId="0" shapeId="0">
      <text>
        <t>Average NOA divided by Revenue.</t>
      </text>
    </comment>
    <comment ref="D23" authorId="0" shapeId="0">
      <text>
        <t>Current NOA Turnover minus prior comparable NOA Turnover.</t>
      </text>
    </comment>
    <comment ref="E23" authorId="0" shapeId="0">
      <text>
        <t>Current NOA Turnover minus prior comparable NOA Turnover.</t>
      </text>
    </comment>
    <comment ref="B44" authorId="0" shapeId="0">
      <text>
        <t>Link reported PP&amp;E for the same fiscal period.</t>
      </text>
    </comment>
    <comment ref="C44" authorId="0" shapeId="0">
      <text>
        <t>Link reported PP&amp;E for the same fiscal period.</t>
      </text>
    </comment>
    <comment ref="D44" authorId="0" shapeId="0">
      <text>
        <t>Link reported PP&amp;E for the same fiscal period.</t>
      </text>
    </comment>
    <comment ref="E44" authorId="0" shapeId="0">
      <text>
        <t>Link reported PP&amp;E for the same fiscal period.</t>
      </text>
    </comment>
    <comment ref="B45" authorId="0" shapeId="0">
      <text>
        <t>Link reported combined D&amp;A for the same fiscal period.</t>
      </text>
    </comment>
    <comment ref="C45" authorId="0" shapeId="0">
      <text>
        <t>Link reported combined D&amp;A for the same fiscal period.</t>
      </text>
    </comment>
    <comment ref="D45" authorId="0" shapeId="0">
      <text>
        <t>Link reported combined D&amp;A for the same fiscal period.</t>
      </text>
    </comment>
    <comment ref="E45" authorId="0" shapeId="0">
      <text>
        <t>Link reported combined D&amp;A for the same fiscal period.</t>
      </text>
    </comment>
    <comment ref="C46" authorId="0" shapeId="0">
      <text>
        <t>Average beginning and ending PP&amp;E.</t>
      </text>
    </comment>
    <comment ref="D46" authorId="0" shapeId="0">
      <text>
        <t>Average beginning and ending PP&amp;E.</t>
      </text>
    </comment>
    <comment ref="E46" authorId="0" shapeId="0">
      <text>
        <t>Average beginning and ending PP&amp;E.</t>
      </text>
    </comment>
    <comment ref="C47" authorId="0" shapeId="0">
      <text>
        <t>Revenue divided by Average PP&amp;E.</t>
      </text>
    </comment>
    <comment ref="D47" authorId="0" shapeId="0">
      <text>
        <t>Revenue divided by Average PP&amp;E.</t>
      </text>
    </comment>
    <comment ref="E47" authorId="0" shapeId="0">
      <text>
        <t>Revenue divided by Average PP&amp;E.</t>
      </text>
    </comment>
    <comment ref="C48" authorId="0" shapeId="0">
      <text>
        <t>Average PP&amp;E divided by Revenue.</t>
      </text>
    </comment>
    <comment ref="D48" authorId="0" shapeId="0">
      <text>
        <t>Average PP&amp;E divided by Revenue.</t>
      </text>
    </comment>
    <comment ref="E48" authorId="0" shapeId="0">
      <text>
        <t>Average PP&amp;E divided by Revenue.</t>
      </text>
    </comment>
    <comment ref="C49" authorId="0" shapeId="0">
      <text>
        <t>Current PP&amp;E minus prior PP&amp;E.</t>
      </text>
    </comment>
    <comment ref="D49" authorId="0" shapeId="0">
      <text>
        <t>Current PP&amp;E minus prior PP&amp;E.</t>
      </text>
    </comment>
    <comment ref="E49" authorId="0" shapeId="0">
      <text>
        <t>Current PP&amp;E minus prior PP&amp;E.</t>
      </text>
    </comment>
    <comment ref="B50" authorId="0" shapeId="0">
      <text>
        <t>Combined D&amp;A divided by Revenue.</t>
      </text>
    </comment>
    <comment ref="C50" authorId="0" shapeId="0">
      <text>
        <t>Combined D&amp;A divided by Revenue.</t>
      </text>
    </comment>
    <comment ref="D50" authorId="0" shapeId="0">
      <text>
        <t>Combined D&amp;A divided by Revenue.</t>
      </text>
    </comment>
    <comment ref="E50" authorId="0" shapeId="0">
      <text>
        <t>Combined D&amp;A divided by Revenue.</t>
      </text>
    </comment>
    <comment ref="C51" authorId="0" shapeId="0">
      <text>
        <t>Combined D&amp;A divided by Average PP&amp;E (context ratio only).</t>
      </text>
    </comment>
    <comment ref="D51" authorId="0" shapeId="0">
      <text>
        <t>Combined D&amp;A divided by Average PP&amp;E (context ratio only).</t>
      </text>
    </comment>
    <comment ref="E51" authorId="0" shapeId="0">
      <text>
        <t>Combined D&amp;A divided by Average PP&amp;E (context ratio only).</t>
      </text>
    </comment>
    <comment ref="B55" authorId="0" shapeId="0">
      <text>
        <t>Link the reported aggregate lease-liability balance.</t>
      </text>
    </comment>
    <comment ref="C55" authorId="0" shapeId="0">
      <text>
        <t>Link the reported aggregate lease-liability balance.</t>
      </text>
    </comment>
    <comment ref="D55" authorId="0" shapeId="0">
      <text>
        <t>Link the reported aggregate lease-liability balance.</t>
      </text>
    </comment>
    <comment ref="E55" authorId="0" shapeId="0">
      <text>
        <t>Link the reported aggregate lease-liability balance.</t>
      </text>
    </comment>
    <comment ref="B56" authorId="0" shapeId="0">
      <text>
        <t>Reported lease liability divided by Revenue.</t>
      </text>
    </comment>
    <comment ref="C56" authorId="0" shapeId="0">
      <text>
        <t>Reported lease liability divided by Revenue.</t>
      </text>
    </comment>
    <comment ref="D56" authorId="0" shapeId="0">
      <text>
        <t>Reported lease liability divided by Revenue.</t>
      </text>
    </comment>
    <comment ref="E56" authorId="0" shapeId="0">
      <text>
        <t>Reported lease liability divided by Revenue.</t>
      </text>
    </comment>
    <comment ref="C57" authorId="0" shapeId="0">
      <text>
        <t>Current lease liability minus prior lease liability.</t>
      </text>
    </comment>
    <comment ref="D57" authorId="0" shapeId="0">
      <text>
        <t>Current lease liability minus prior lease liability.</t>
      </text>
    </comment>
    <comment ref="E57" authorId="0" shapeId="0">
      <text>
        <t>Current lease liability minus prior lease liability.</t>
      </text>
    </comment>
    <comment ref="C58" authorId="0" shapeId="0">
      <text>
        <t>Percentage change in reported lease liability.</t>
      </text>
    </comment>
    <comment ref="D58" authorId="0" shapeId="0">
      <text>
        <t>Percentage change in reported lease liability.</t>
      </text>
    </comment>
    <comment ref="E58" authorId="0" shapeId="0">
      <text>
        <t>Percentage change in reported lease liability.</t>
      </text>
    </comment>
    <comment ref="B62" authorId="0" shapeId="0">
      <text>
        <t>Presented as −reported payments for property, plant and equipment.</t>
      </text>
    </comment>
    <comment ref="C62" authorId="0" shapeId="0">
      <text>
        <t>Presented as −reported payments for property, plant and equipment.</t>
      </text>
    </comment>
    <comment ref="D62" authorId="0" shapeId="0">
      <text>
        <t>Presented as −reported payments for property, plant and equipment.</t>
      </text>
    </comment>
    <comment ref="E62" authorId="0" shapeId="0">
      <text>
        <t>Presented as −reported payments for property, plant and equipment.</t>
      </text>
    </comment>
    <comment ref="B63" authorId="0" shapeId="0">
      <text>
        <t>Presented PP&amp;E capex divided by same-period Revenue.</t>
      </text>
    </comment>
    <comment ref="C63" authorId="0" shapeId="0">
      <text>
        <t>Presented PP&amp;E capex divided by same-period Revenue.</t>
      </text>
    </comment>
    <comment ref="D63" authorId="0" shapeId="0">
      <text>
        <t>Presented PP&amp;E capex divided by same-period Revenue.</t>
      </text>
    </comment>
    <comment ref="E63" authorId="0" shapeId="0">
      <text>
        <t>Presented PP&amp;E capex divided by same-period Revenue.</t>
      </text>
    </comment>
    <comment ref="C67" authorId="0" shapeId="0">
      <text>
        <t>Current goodwill − prior goodwill. Flat goodwill does not establish absence of impairment disclosed elsewhere.</t>
      </text>
    </comment>
    <comment ref="D67" authorId="0" shapeId="0">
      <text>
        <t>Current goodwill − prior goodwill. Flat goodwill does not establish absence of impairment disclosed elsewhere.</t>
      </text>
    </comment>
    <comment ref="E67" authorId="0" shapeId="0">
      <text>
        <t>Current goodwill − prior goodwill. Flat goodwill does not establish absence of impairment disclosed elsewhere.</t>
      </text>
    </comment>
    <comment ref="C68" authorId="0" shapeId="0">
      <text>
        <t>Percentage change in reported goodwill.</t>
      </text>
    </comment>
    <comment ref="D68" authorId="0" shapeId="0">
      <text>
        <t>Percentage change in reported goodwill.</t>
      </text>
    </comment>
    <comment ref="E68" authorId="0" shapeId="0">
      <text>
        <t>Percentage change in reported goodwill.</t>
      </text>
    </comment>
    <comment ref="C69" authorId="0" shapeId="0">
      <text>
        <t>Average beginning and ending goodwill.</t>
      </text>
    </comment>
    <comment ref="D69" authorId="0" shapeId="0">
      <text>
        <t>Average beginning and ending goodwill.</t>
      </text>
    </comment>
    <comment ref="E69" authorId="0" shapeId="0">
      <text>
        <t>Average beginning and ending goodwill.</t>
      </text>
    </comment>
    <comment ref="C70" authorId="0" shapeId="0">
      <text>
        <t>Average goodwill divided by Revenue (average-balance intensity).</t>
      </text>
    </comment>
    <comment ref="D70" authorId="0" shapeId="0">
      <text>
        <t>Average goodwill divided by Revenue (average-balance intensity).</t>
      </text>
    </comment>
    <comment ref="E70" authorId="0" shapeId="0">
      <text>
        <t>Average goodwill divided by Revenue (average-balance intensity).</t>
      </text>
    </comment>
    <comment ref="C72" authorId="0" shapeId="0">
      <text>
        <t>Current intangible assets − prior intangible assets.</t>
      </text>
    </comment>
    <comment ref="D72" authorId="0" shapeId="0">
      <text>
        <t>Current intangible assets − prior intangible assets.</t>
      </text>
    </comment>
    <comment ref="E72" authorId="0" shapeId="0">
      <text>
        <t>Current intangible assets − prior intangible assets.</t>
      </text>
    </comment>
    <comment ref="C73" authorId="0" shapeId="0">
      <text>
        <t>Percentage change in reported intangible assets.</t>
      </text>
    </comment>
    <comment ref="D73" authorId="0" shapeId="0">
      <text>
        <t>Percentage change in reported intangible assets.</t>
      </text>
    </comment>
    <comment ref="E73" authorId="0" shapeId="0">
      <text>
        <t>Percentage change in reported intangible assets.</t>
      </text>
    </comment>
    <comment ref="C74" authorId="0" shapeId="0">
      <text>
        <t>Average beginning and ending intangible assets.</t>
      </text>
    </comment>
    <comment ref="D74" authorId="0" shapeId="0">
      <text>
        <t>Average beginning and ending intangible assets.</t>
      </text>
    </comment>
    <comment ref="E74" authorId="0" shapeId="0">
      <text>
        <t>Average beginning and ending intangible assets.</t>
      </text>
    </comment>
    <comment ref="C75" authorId="0" shapeId="0">
      <text>
        <t>Average intangible assets divided by Revenue (average-balance intensity).</t>
      </text>
    </comment>
    <comment ref="D75" authorId="0" shapeId="0">
      <text>
        <t>Average intangible assets divided by Revenue (average-balance intensity).</t>
      </text>
    </comment>
    <comment ref="E75" authorId="0" shapeId="0">
      <text>
        <t>Average intangible assets divided by Revenue (average-balance intensity).</t>
      </text>
    </comment>
    <comment ref="C77" authorId="0" shapeId="0">
      <text>
        <t>Current combined total − prior combined total.</t>
      </text>
    </comment>
    <comment ref="D77" authorId="0" shapeId="0">
      <text>
        <t>Current combined total − prior combined total.</t>
      </text>
    </comment>
    <comment ref="E77" authorId="0" shapeId="0">
      <text>
        <t>Current combined total − prior combined total.</t>
      </text>
    </comment>
    <comment ref="C78" authorId="0" shapeId="0">
      <text>
        <t>Percentage change in the combined goodwill and intangibles total.</t>
      </text>
    </comment>
    <comment ref="D78" authorId="0" shapeId="0">
      <text>
        <t>Percentage change in the combined goodwill and intangibles total.</t>
      </text>
    </comment>
    <comment ref="E78" authorId="0" shapeId="0">
      <text>
        <t>Percentage change in the combined goodwill and intangibles total.</t>
      </text>
    </comment>
    <comment ref="C79" authorId="0" shapeId="0">
      <text>
        <t>Average beginning and ending combined goodwill and intangibles.</t>
      </text>
    </comment>
    <comment ref="D79" authorId="0" shapeId="0">
      <text>
        <t>Average beginning and ending combined goodwill and intangibles.</t>
      </text>
    </comment>
    <comment ref="E79" authorId="0" shapeId="0">
      <text>
        <t>Average beginning and ending combined goodwill and intangibles.</t>
      </text>
    </comment>
    <comment ref="C80" authorId="0" shapeId="0">
      <text>
        <t>Average combined goodwill and intangibles divided by Revenue.</t>
      </text>
    </comment>
    <comment ref="D80" authorId="0" shapeId="0">
      <text>
        <t>Average combined goodwill and intangibles divided by Revenue.</t>
      </text>
    </comment>
    <comment ref="E80" authorId="0" shapeId="0">
      <text>
        <t>Average combined goodwill and intangibles divided by Revenue.</t>
      </text>
    </comment>
  </commentList>
</comments>
</file>

<file path=xl/comments/comment3.xml><?xml version="1.0" encoding="utf-8"?>
<comments xmlns="http://schemas.openxmlformats.org/spreadsheetml/2006/main">
  <authors>
    <author>BAV Trainer</author>
  </authors>
  <commentList>
    <comment ref="B5" authorId="0" shapeId="0">
      <text>
        <t>Link net cash from operating activities for the same fiscal period.</t>
      </text>
    </comment>
    <comment ref="C5" authorId="0" shapeId="0">
      <text>
        <t>Link net cash from operating activities for the same fiscal period.</t>
      </text>
    </comment>
    <comment ref="D5" authorId="0" shapeId="0">
      <text>
        <t>Link net cash from operating activities for the same fiscal period.</t>
      </text>
    </comment>
    <comment ref="E5" authorId="0" shapeId="0">
      <text>
        <t>Link net cash from operating activities for the same fiscal period.</t>
      </text>
    </comment>
    <comment ref="B7" authorId="0" shapeId="0">
      <text>
        <t>Compare operating cash flow with reported Net Income.</t>
      </text>
    </comment>
    <comment ref="C7" authorId="0" shapeId="0">
      <text>
        <t>Compare operating cash flow with reported Net Income.</t>
      </text>
    </comment>
    <comment ref="D7" authorId="0" shapeId="0">
      <text>
        <t>Compare operating cash flow with reported Net Income.</t>
      </text>
    </comment>
    <comment ref="E7" authorId="0" shapeId="0">
      <text>
        <t>Compare operating cash flow with reported Net Income.</t>
      </text>
    </comment>
    <comment ref="B8" authorId="0" shapeId="0">
      <text>
        <t>Reported Net Income minus operating cash flow.</t>
      </text>
    </comment>
    <comment ref="C8" authorId="0" shapeId="0">
      <text>
        <t>Reported Net Income minus operating cash flow.</t>
      </text>
    </comment>
    <comment ref="D8" authorId="0" shapeId="0">
      <text>
        <t>Reported Net Income minus operating cash flow.</t>
      </text>
    </comment>
    <comment ref="E8" authorId="0" shapeId="0">
      <text>
        <t>Reported Net Income minus operating cash flow.</t>
      </text>
    </comment>
    <comment ref="C11" authorId="0" shapeId="0">
      <text>
        <t>Average beginning and ending reported total assets.</t>
      </text>
    </comment>
    <comment ref="D11" authorId="0" shapeId="0">
      <text>
        <t>Average beginning and ending reported total assets.</t>
      </text>
    </comment>
    <comment ref="E11" authorId="0" shapeId="0">
      <text>
        <t>Average beginning and ending reported total assets.</t>
      </text>
    </comment>
    <comment ref="C12" authorId="0" shapeId="0">
      <text>
        <t>Scale total accruals by average total assets.</t>
      </text>
    </comment>
    <comment ref="D12" authorId="0" shapeId="0">
      <text>
        <t>Scale total accruals by average total assets.</t>
      </text>
    </comment>
    <comment ref="E12" authorId="0" shapeId="0">
      <text>
        <t>Scale total accruals by average total assets.</t>
      </text>
    </comment>
    <comment ref="C15" authorId="0" shapeId="0">
      <text>
        <t>Current CFO minus prior CFO.</t>
      </text>
    </comment>
    <comment ref="D15" authorId="0" shapeId="0">
      <text>
        <t>Current CFO minus prior CFO.</t>
      </text>
    </comment>
    <comment ref="E15" authorId="0" shapeId="0">
      <text>
        <t>Current CFO minus prior CFO.</t>
      </text>
    </comment>
    <comment ref="C16" authorId="0" shapeId="0">
      <text>
        <t>Current cash conversion ratio minus prior ratio.</t>
      </text>
    </comment>
    <comment ref="D16" authorId="0" shapeId="0">
      <text>
        <t>Current cash conversion ratio minus prior ratio.</t>
      </text>
    </comment>
    <comment ref="E16" authorId="0" shapeId="0">
      <text>
        <t>Current cash conversion ratio minus prior ratio.</t>
      </text>
    </comment>
    <comment ref="C17" authorId="0" shapeId="0">
      <text>
        <t>Current Total Accruals minus prior Total Accruals.</t>
      </text>
    </comment>
    <comment ref="D17" authorId="0" shapeId="0">
      <text>
        <t>Current Total Accruals minus prior Total Accruals.</t>
      </text>
    </comment>
    <comment ref="E17" authorId="0" shapeId="0">
      <text>
        <t>Current Total Accruals minus prior Total Accruals.</t>
      </text>
    </comment>
    <comment ref="D18" authorId="0" shapeId="0">
      <text>
        <t>Current accrual ratio minus prior comparable accrual ratio.</t>
      </text>
    </comment>
    <comment ref="E18" authorId="0" shapeId="0">
      <text>
        <t>Current accrual ratio minus prior comparable accrual ratio.</t>
      </text>
    </comment>
  </commentList>
</comments>
</file>

<file path=xl/comments/comment4.xml><?xml version="1.0" encoding="utf-8"?>
<comments xmlns="http://schemas.openxmlformats.org/spreadsheetml/2006/main">
  <authors>
    <author>BAV Trainer</author>
  </authors>
  <commentList>
    <comment ref="B11" authorId="0" shapeId="0">
      <text>
        <t>OWCA divided by Revenue for the same fiscal period.</t>
      </text>
    </comment>
    <comment ref="C11" authorId="0" shapeId="0">
      <text>
        <t>OWCA divided by Revenue for the same fiscal period.</t>
      </text>
    </comment>
    <comment ref="D11" authorId="0" shapeId="0">
      <text>
        <t>OWCA divided by Revenue for the same fiscal period.</t>
      </text>
    </comment>
    <comment ref="E11" authorId="0" shapeId="0">
      <text>
        <t>OWCA divided by Revenue for the same fiscal period.</t>
      </text>
    </comment>
    <comment ref="B12" authorId="0" shapeId="0">
      <text>
        <t>OWCL divided by Revenue for the same fiscal period.</t>
      </text>
    </comment>
    <comment ref="C12" authorId="0" shapeId="0">
      <text>
        <t>OWCL divided by Revenue for the same fiscal period.</t>
      </text>
    </comment>
    <comment ref="D12" authorId="0" shapeId="0">
      <text>
        <t>OWCL divided by Revenue for the same fiscal period.</t>
      </text>
    </comment>
    <comment ref="E12" authorId="0" shapeId="0">
      <text>
        <t>OWCL divided by Revenue for the same fiscal period.</t>
      </text>
    </comment>
    <comment ref="B13" authorId="0" shapeId="0">
      <text>
        <t>NOWC divided by Revenue for the same fiscal period.</t>
      </text>
    </comment>
    <comment ref="C13" authorId="0" shapeId="0">
      <text>
        <t>NOWC divided by Revenue for the same fiscal period.</t>
      </text>
    </comment>
    <comment ref="D13" authorId="0" shapeId="0">
      <text>
        <t>NOWC divided by Revenue for the same fiscal period.</t>
      </text>
    </comment>
    <comment ref="E13" authorId="0" shapeId="0">
      <text>
        <t>NOWC divided by Revenue for the same fiscal period.</t>
      </text>
    </comment>
    <comment ref="C14" authorId="0" shapeId="0">
      <text>
        <t>Absolute year-on-year change in Revenue.</t>
      </text>
    </comment>
    <comment ref="D14" authorId="0" shapeId="0">
      <text>
        <t>Absolute year-on-year change in Revenue.</t>
      </text>
    </comment>
    <comment ref="E14" authorId="0" shapeId="0">
      <text>
        <t>Absolute year-on-year change in Revenue.</t>
      </text>
    </comment>
    <comment ref="C15" authorId="0" shapeId="0">
      <text>
        <t>Absolute year-on-year change in NOWC.</t>
      </text>
    </comment>
    <comment ref="D15" authorId="0" shapeId="0">
      <text>
        <t>Absolute year-on-year change in NOWC.</t>
      </text>
    </comment>
    <comment ref="E15" authorId="0" shapeId="0">
      <text>
        <t>Absolute year-on-year change in NOWC.</t>
      </text>
    </comment>
    <comment ref="C16" authorId="0" shapeId="0">
      <text>
        <t>Change in NOWC divided by Change in Revenue.</t>
      </text>
    </comment>
    <comment ref="D16" authorId="0" shapeId="0">
      <text>
        <t>Change in NOWC divided by Change in Revenue.</t>
      </text>
    </comment>
    <comment ref="E16" authorId="0" shapeId="0">
      <text>
        <t>Change in NOWC divided by Change in Revenue.</t>
      </text>
    </comment>
    <comment ref="C19" authorId="0" shapeId="0">
      <text>
        <t>Absolute year-on-year change in OWCA.</t>
      </text>
    </comment>
    <comment ref="D19" authorId="0" shapeId="0">
      <text>
        <t>Absolute year-on-year change in OWCA.</t>
      </text>
    </comment>
    <comment ref="E19" authorId="0" shapeId="0">
      <text>
        <t>Absolute year-on-year change in OWCA.</t>
      </text>
    </comment>
    <comment ref="C20" authorId="0" shapeId="0">
      <text>
        <t>Absolute year-on-year change in OWCL.</t>
      </text>
    </comment>
    <comment ref="D20" authorId="0" shapeId="0">
      <text>
        <t>Absolute year-on-year change in OWCL.</t>
      </text>
    </comment>
    <comment ref="E20" authorId="0" shapeId="0">
      <text>
        <t>Absolute year-on-year change in OWCL.</t>
      </text>
    </comment>
    <comment ref="C21" authorId="0" shapeId="0">
      <text>
        <t>Change in OWCA minus Change in OWCL.</t>
      </text>
    </comment>
    <comment ref="D21" authorId="0" shapeId="0">
      <text>
        <t>Change in OWCA minus Change in OWCL.</t>
      </text>
    </comment>
    <comment ref="E21" authorId="0" shapeId="0">
      <text>
        <t>Change in OWCA minus Change in OWCL.</t>
      </text>
    </comment>
    <comment ref="C22" authorId="0" shapeId="0">
      <text>
        <t>Change in OWCA divided by Change in Revenue.</t>
      </text>
    </comment>
    <comment ref="D22" authorId="0" shapeId="0">
      <text>
        <t>Change in OWCA divided by Change in Revenue.</t>
      </text>
    </comment>
    <comment ref="E22" authorId="0" shapeId="0">
      <text>
        <t>Change in OWCA divided by Change in Revenue.</t>
      </text>
    </comment>
    <comment ref="C23" authorId="0" shapeId="0">
      <text>
        <t>Change in OWCL divided by Change in Revenue.</t>
      </text>
    </comment>
    <comment ref="D23" authorId="0" shapeId="0">
      <text>
        <t>Change in OWCL divided by Change in Revenue.</t>
      </text>
    </comment>
    <comment ref="E23" authorId="0" shapeId="0">
      <text>
        <t>Change in OWCL divided by Change in Revenue.</t>
      </text>
    </comment>
  </commentList>
</comments>
</file>

<file path=xl/comments/comment5.xml><?xml version="1.0" encoding="utf-8"?>
<comments xmlns="http://schemas.openxmlformats.org/spreadsheetml/2006/main">
  <authors>
    <author>BAV Trainer</author>
  </authors>
  <commentList>
    <comment ref="B9" authorId="0" shapeId="0">
      <text>
        <t>Earnings numerator / diluted weighted-average shares on the supplied comparable share basis.</t>
      </text>
    </comment>
    <comment ref="C9" authorId="0" shapeId="0">
      <text>
        <t>Earnings numerator / diluted weighted-average shares on the supplied comparable share basis.</t>
      </text>
    </comment>
    <comment ref="D9" authorId="0" shapeId="0">
      <text>
        <t>Earnings numerator / diluted weighted-average shares on the supplied comparable share basis.</t>
      </text>
    </comment>
    <comment ref="E9" authorId="0" shapeId="0">
      <text>
        <t>Earnings numerator / diluted weighted-average shares on the supplied comparable share basis.</t>
      </text>
    </comment>
    <comment ref="C12" authorId="0" shapeId="0">
      <text>
        <t>Current comparable-basis Diluted EPS minus prior EPS.</t>
      </text>
    </comment>
    <comment ref="D12" authorId="0" shapeId="0">
      <text>
        <t>Current comparable-basis Diluted EPS minus prior EPS.</t>
      </text>
    </comment>
    <comment ref="E12" authorId="0" shapeId="0">
      <text>
        <t>Current comparable-basis Diluted EPS minus prior EPS.</t>
      </text>
    </comment>
    <comment ref="C13" authorId="0" shapeId="0">
      <text>
        <t>Current diluted weighted-average shares minus prior shares.</t>
      </text>
    </comment>
    <comment ref="D13" authorId="0" shapeId="0">
      <text>
        <t>Current diluted weighted-average shares minus prior shares.</t>
      </text>
    </comment>
    <comment ref="E13" authorId="0" shapeId="0">
      <text>
        <t>Current diluted weighted-average shares minus prior shares.</t>
      </text>
    </comment>
    <comment ref="C16" authorId="0" shapeId="0">
      <text>
        <t>Current per-share earnings numerator minus prior per-share earnings numerator.</t>
      </text>
    </comment>
    <comment ref="D16" authorId="0" shapeId="0">
      <text>
        <t>Current per-share earnings numerator minus prior per-share earnings numerator.</t>
      </text>
    </comment>
    <comment ref="E16" authorId="0" shapeId="0">
      <text>
        <t>Current per-share earnings numerator minus prior per-share earnings numerator.</t>
      </text>
    </comment>
    <comment ref="C17" authorId="0" shapeId="0">
      <text>
        <t>Change in per-share earnings numerator multiplied by midpoint inverse diluted shares.</t>
      </text>
    </comment>
    <comment ref="D17" authorId="0" shapeId="0">
      <text>
        <t>Change in per-share earnings numerator multiplied by midpoint inverse diluted shares.</t>
      </text>
    </comment>
    <comment ref="E17" authorId="0" shapeId="0">
      <text>
        <t>Change in per-share earnings numerator multiplied by midpoint inverse diluted shares.</t>
      </text>
    </comment>
    <comment ref="C18" authorId="0" shapeId="0">
      <text>
        <t>Change in inverse diluted shares multiplied by midpoint per-share earnings numerator.</t>
      </text>
    </comment>
    <comment ref="D18" authorId="0" shapeId="0">
      <text>
        <t>Change in inverse diluted shares multiplied by midpoint per-share earnings numerator.</t>
      </text>
    </comment>
    <comment ref="E18" authorId="0" shapeId="0">
      <text>
        <t>Change in inverse diluted shares multiplied by midpoint per-share earnings numerator.</t>
      </text>
    </comment>
    <comment ref="C19" authorId="0" shapeId="0">
      <text>
        <t>Earnings Effect plus Share-Count Effect.</t>
      </text>
    </comment>
    <comment ref="D19" authorId="0" shapeId="0">
      <text>
        <t>Earnings Effect plus Share-Count Effect.</t>
      </text>
    </comment>
    <comment ref="E19" authorId="0" shapeId="0">
      <text>
        <t>Earnings Effect plus Share-Count Effect.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0" t="inlineStr">
        <is>
          <t>BAV Excel Trainer</t>
        </is>
      </c>
    </row>
    <row r="2">
      <c r="A2" s="10" t="inlineStr">
        <is>
          <t>Complete each historical model-construction and earnings-quality diagnostic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3"/>
    <row r="4">
      <c r="A4" s="10" t="inlineStr">
        <is>
          <t>Order</t>
        </is>
      </c>
      <c r="B4" s="10" t="inlineStr">
        <is>
          <t>Schedule</t>
        </is>
      </c>
      <c r="C4" s="10" t="inlineStr">
        <is>
          <t>Period scope</t>
        </is>
      </c>
      <c r="D4" s="10" t="inlineStr">
        <is>
          <t>Tab</t>
        </is>
      </c>
      <c r="E4" s="10" t="inlineStr">
        <is>
          <t>Practice cells</t>
        </is>
      </c>
      <c r="F4" s="10" t="inlineStr">
        <is>
          <t>Depends on</t>
        </is>
      </c>
    </row>
    <row r="5">
      <c r="A5" s="10" t="n">
        <v>1</v>
      </c>
      <c r="B5" s="10" t="inlineStr">
        <is>
          <t>Revenue historical source link</t>
        </is>
      </c>
      <c r="C5" s="10" t="inlineStr">
        <is>
          <t>2023–2026 (4 cells)</t>
        </is>
      </c>
      <c r="D5" s="10" t="inlineStr">
        <is>
          <t>Condensed Financials</t>
        </is>
      </c>
      <c r="E5" s="10" t="inlineStr">
        <is>
          <t>B34:E34</t>
        </is>
      </c>
      <c r="F5" s="10" t="inlineStr">
        <is>
          <t>—</t>
        </is>
      </c>
    </row>
    <row r="6">
      <c r="A6" s="10" t="n">
        <v>2</v>
      </c>
      <c r="B6" s="10" t="inlineStr">
        <is>
          <t>Net Income historical source link</t>
        </is>
      </c>
      <c r="C6" s="10" t="inlineStr">
        <is>
          <t>2023–2026 (4 cells)</t>
        </is>
      </c>
      <c r="D6" s="10" t="inlineStr">
        <is>
          <t>Condensed Financials</t>
        </is>
      </c>
      <c r="E6" s="10" t="inlineStr">
        <is>
          <t>B35:E35</t>
        </is>
      </c>
      <c r="F6" s="10" t="inlineStr">
        <is>
          <t>—</t>
        </is>
      </c>
    </row>
    <row r="7">
      <c r="A7" s="10" t="n">
        <v>3</v>
      </c>
      <c r="B7" s="10" t="inlineStr">
        <is>
          <t>Effective tax rate</t>
        </is>
      </c>
      <c r="C7" s="10" t="inlineStr">
        <is>
          <t>2023–2026 (4 cells)</t>
        </is>
      </c>
      <c r="D7" s="10" t="inlineStr">
        <is>
          <t>Condensed Financials</t>
        </is>
      </c>
      <c r="E7" s="10" t="inlineStr">
        <is>
          <t>B38:E38</t>
        </is>
      </c>
      <c r="F7" s="10" t="inlineStr">
        <is>
          <t>—</t>
        </is>
      </c>
    </row>
    <row r="8">
      <c r="A8" s="10" t="n">
        <v>7</v>
      </c>
      <c r="B8" s="10" t="inlineStr">
        <is>
          <t>Operating working capital assets</t>
        </is>
      </c>
      <c r="C8" s="10" t="inlineStr">
        <is>
          <t>2023–2026 (4 cells)</t>
        </is>
      </c>
      <c r="D8" s="10" t="inlineStr">
        <is>
          <t>Condensed Financials</t>
        </is>
      </c>
      <c r="E8" s="10" t="inlineStr">
        <is>
          <t>B44:E44</t>
        </is>
      </c>
      <c r="F8" s="10" t="inlineStr">
        <is>
          <t>—</t>
        </is>
      </c>
    </row>
    <row r="9">
      <c r="A9" s="10" t="n">
        <v>8</v>
      </c>
      <c r="B9" s="10" t="inlineStr">
        <is>
          <t>Operating working capital liabilities</t>
        </is>
      </c>
      <c r="C9" s="10" t="inlineStr">
        <is>
          <t>2023–2026 (4 cells)</t>
        </is>
      </c>
      <c r="D9" s="10" t="inlineStr">
        <is>
          <t>Condensed Financials</t>
        </is>
      </c>
      <c r="E9" s="10" t="inlineStr">
        <is>
          <t>B45:E45</t>
        </is>
      </c>
      <c r="F9" s="10" t="inlineStr">
        <is>
          <t>—</t>
        </is>
      </c>
    </row>
    <row r="10">
      <c r="A10" s="10" t="n">
        <v>9</v>
      </c>
      <c r="B10" s="10" t="inlineStr">
        <is>
          <t>Net Operating Working Capital (NOWC)</t>
        </is>
      </c>
      <c r="C10" s="10" t="inlineStr">
        <is>
          <t>2023–2026 (4 cells)</t>
        </is>
      </c>
      <c r="D10" s="10" t="inlineStr">
        <is>
          <t>Condensed Financials</t>
        </is>
      </c>
      <c r="E10" s="10" t="inlineStr">
        <is>
          <t>B46:E46</t>
        </is>
      </c>
      <c r="F10" s="10" t="inlineStr">
        <is>
          <t>owca_agg, owcl_agg</t>
        </is>
      </c>
    </row>
    <row r="11">
      <c r="A11" s="10" t="n">
        <v>10</v>
      </c>
      <c r="B11" s="10" t="inlineStr">
        <is>
          <t>Operating long-term assets</t>
        </is>
      </c>
      <c r="C11" s="10" t="inlineStr">
        <is>
          <t>2023–2026 (4 cells)</t>
        </is>
      </c>
      <c r="D11" s="10" t="inlineStr">
        <is>
          <t>Condensed Financials</t>
        </is>
      </c>
      <c r="E11" s="10" t="inlineStr">
        <is>
          <t>B47:E47</t>
        </is>
      </c>
      <c r="F11" s="10" t="inlineStr">
        <is>
          <t>—</t>
        </is>
      </c>
    </row>
    <row r="12">
      <c r="A12" s="10" t="n">
        <v>11</v>
      </c>
      <c r="B12" s="10" t="inlineStr">
        <is>
          <t>Operating long-term liabilities</t>
        </is>
      </c>
      <c r="C12" s="10" t="inlineStr">
        <is>
          <t>2023–2026 (4 cells)</t>
        </is>
      </c>
      <c r="D12" s="10" t="inlineStr">
        <is>
          <t>Condensed Financials</t>
        </is>
      </c>
      <c r="E12" s="10" t="inlineStr">
        <is>
          <t>B48:E48</t>
        </is>
      </c>
      <c r="F12" s="10" t="inlineStr">
        <is>
          <t>—</t>
        </is>
      </c>
    </row>
    <row r="13">
      <c r="A13" s="10" t="n">
        <v>12</v>
      </c>
      <c r="B13" s="10" t="inlineStr">
        <is>
          <t>Net operating long-term assets (NOLA)</t>
        </is>
      </c>
      <c r="C13" s="10" t="inlineStr">
        <is>
          <t>2023–2026 (4 cells)</t>
        </is>
      </c>
      <c r="D13" s="10" t="inlineStr">
        <is>
          <t>Condensed Financials</t>
        </is>
      </c>
      <c r="E13" s="10" t="inlineStr">
        <is>
          <t>B49:E49</t>
        </is>
      </c>
      <c r="F13" s="10" t="inlineStr">
        <is>
          <t>olta_agg, oltl_agg</t>
        </is>
      </c>
    </row>
    <row r="14">
      <c r="A14" s="10" t="n">
        <v>13</v>
      </c>
      <c r="B14" s="10" t="inlineStr">
        <is>
          <t>Net Operating Assets (NOA)</t>
        </is>
      </c>
      <c r="C14" s="10" t="inlineStr">
        <is>
          <t>2023–2026 (4 cells)</t>
        </is>
      </c>
      <c r="D14" s="10" t="inlineStr">
        <is>
          <t>Condensed Financials</t>
        </is>
      </c>
      <c r="E14" s="10" t="inlineStr">
        <is>
          <t>B50:E50</t>
        </is>
      </c>
      <c r="F14" s="10" t="inlineStr">
        <is>
          <t>nowc_agg, nola_agg</t>
        </is>
      </c>
    </row>
    <row r="15">
      <c r="A15" s="10" t="n">
        <v>14</v>
      </c>
      <c r="B15" s="10" t="inlineStr">
        <is>
          <t>Financial assets</t>
        </is>
      </c>
      <c r="C15" s="10" t="inlineStr">
        <is>
          <t>2023–2026 (4 cells)</t>
        </is>
      </c>
      <c r="D15" s="10" t="inlineStr">
        <is>
          <t>Condensed Financials</t>
        </is>
      </c>
      <c r="E15" s="10" t="inlineStr">
        <is>
          <t>B51:E51</t>
        </is>
      </c>
      <c r="F15" s="10" t="inlineStr">
        <is>
          <t>—</t>
        </is>
      </c>
    </row>
    <row r="16">
      <c r="A16" s="10" t="n">
        <v>15</v>
      </c>
      <c r="B16" s="10" t="inlineStr">
        <is>
          <t>Financial liabilities</t>
        </is>
      </c>
      <c r="C16" s="10" t="inlineStr">
        <is>
          <t>2023–2026 (4 cells)</t>
        </is>
      </c>
      <c r="D16" s="10" t="inlineStr">
        <is>
          <t>Condensed Financials</t>
        </is>
      </c>
      <c r="E16" s="10" t="inlineStr">
        <is>
          <t>B52:E52</t>
        </is>
      </c>
      <c r="F16" s="10" t="inlineStr">
        <is>
          <t>—</t>
        </is>
      </c>
    </row>
    <row r="17">
      <c r="A17" s="10" t="n">
        <v>16</v>
      </c>
      <c r="B17" s="10" t="inlineStr">
        <is>
          <t>Net Debt</t>
        </is>
      </c>
      <c r="C17" s="10" t="inlineStr">
        <is>
          <t>2023–2026 (4 cells)</t>
        </is>
      </c>
      <c r="D17" s="10" t="inlineStr">
        <is>
          <t>Condensed Financials</t>
        </is>
      </c>
      <c r="E17" s="10" t="inlineStr">
        <is>
          <t>B53:E53</t>
        </is>
      </c>
      <c r="F17" s="10" t="inlineStr">
        <is>
          <t>financial_assets_agg, financial_liabilities_agg</t>
        </is>
      </c>
    </row>
    <row r="18">
      <c r="A18" s="10" t="n">
        <v>17</v>
      </c>
      <c r="B18" s="10" t="inlineStr">
        <is>
          <t>Reformulated equity</t>
        </is>
      </c>
      <c r="C18" s="10" t="inlineStr">
        <is>
          <t>2023–2026 (4 cells)</t>
        </is>
      </c>
      <c r="D18" s="10" t="inlineStr">
        <is>
          <t>Condensed Financials</t>
        </is>
      </c>
      <c r="E18" s="10" t="inlineStr">
        <is>
          <t>B54:E54</t>
        </is>
      </c>
      <c r="F18" s="10" t="inlineStr">
        <is>
          <t>noa_agg, net_debt</t>
        </is>
      </c>
    </row>
    <row r="19">
      <c r="A19" s="10" t="n">
        <v>18</v>
      </c>
      <c r="B19" s="10" t="inlineStr">
        <is>
          <t>Sales Growth</t>
        </is>
      </c>
      <c r="C19" s="10" t="inlineStr">
        <is>
          <t>2024–2026 (3 cells)</t>
        </is>
      </c>
      <c r="D19" s="10" t="inlineStr">
        <is>
          <t>ALT DuPont</t>
        </is>
      </c>
      <c r="E19" s="10" t="inlineStr">
        <is>
          <t>C5:E5</t>
        </is>
      </c>
      <c r="F19" s="10" t="inlineStr">
        <is>
          <t>revenue_link</t>
        </is>
      </c>
    </row>
    <row r="20">
      <c r="A20" s="10" t="n">
        <v>23</v>
      </c>
      <c r="B20" s="10" t="inlineStr">
        <is>
          <t>Financial leverage (FLEV)</t>
        </is>
      </c>
      <c r="C20" s="10" t="inlineStr">
        <is>
          <t>2024–2026 (3 cells)</t>
        </is>
      </c>
      <c r="D20" s="10" t="inlineStr">
        <is>
          <t>ALT DuPont</t>
        </is>
      </c>
      <c r="E20" s="10" t="inlineStr">
        <is>
          <t>C10:E10</t>
        </is>
      </c>
      <c r="F20" s="10" t="inlineStr">
        <is>
          <t>net_debt, equity_reformulated_fy</t>
        </is>
      </c>
    </row>
    <row r="21">
      <c r="A21" s="10" t="n">
        <v>25</v>
      </c>
      <c r="B21" s="10" t="inlineStr">
        <is>
          <t>Actual ROE</t>
        </is>
      </c>
      <c r="C21" s="10" t="inlineStr">
        <is>
          <t>2024–2026 (3 cells)</t>
        </is>
      </c>
      <c r="D21" s="10" t="inlineStr">
        <is>
          <t>ALT DuPont</t>
        </is>
      </c>
      <c r="E21" s="10" t="inlineStr">
        <is>
          <t>C12:E12</t>
        </is>
      </c>
      <c r="F21" s="10" t="inlineStr">
        <is>
          <t>net_income_link, equity_reformulated_fy</t>
        </is>
      </c>
    </row>
    <row r="22">
      <c r="A22" s="10" t="n">
        <v>30</v>
      </c>
      <c r="B22" s="10" t="inlineStr">
        <is>
          <t>Operating cash flow historical source link</t>
        </is>
      </c>
      <c r="C22" s="10" t="inlineStr">
        <is>
          <t>2023–2026 (4 cells)</t>
        </is>
      </c>
      <c r="D22" s="10" t="inlineStr">
        <is>
          <t>Earnings Quality</t>
        </is>
      </c>
      <c r="E22" s="10" t="inlineStr">
        <is>
          <t>B5:E5</t>
        </is>
      </c>
      <c r="F22" s="10" t="inlineStr">
        <is>
          <t>—</t>
        </is>
      </c>
    </row>
    <row r="23">
      <c r="A23" s="10" t="n">
        <v>31</v>
      </c>
      <c r="B23" s="10" t="inlineStr">
        <is>
          <t>Cash conversion ratio</t>
        </is>
      </c>
      <c r="C23" s="10" t="inlineStr">
        <is>
          <t>2023–2026 (4 cells)</t>
        </is>
      </c>
      <c r="D23" s="10" t="inlineStr">
        <is>
          <t>Earnings Quality</t>
        </is>
      </c>
      <c r="E23" s="10" t="inlineStr">
        <is>
          <t>B7:E7</t>
        </is>
      </c>
      <c r="F23" s="10" t="inlineStr">
        <is>
          <t>operating_cash_flow_link, net_income_link</t>
        </is>
      </c>
    </row>
    <row r="24">
      <c r="A24" s="10" t="n">
        <v>32</v>
      </c>
      <c r="B24" s="10" t="inlineStr">
        <is>
          <t>Total accruals</t>
        </is>
      </c>
      <c r="C24" s="10" t="inlineStr">
        <is>
          <t>2023–2026 (4 cells)</t>
        </is>
      </c>
      <c r="D24" s="10" t="inlineStr">
        <is>
          <t>Earnings Quality</t>
        </is>
      </c>
      <c r="E24" s="10" t="inlineStr">
        <is>
          <t>B8:E8</t>
        </is>
      </c>
      <c r="F24" s="10" t="inlineStr">
        <is>
          <t>operating_cash_flow_link, net_income_link</t>
        </is>
      </c>
    </row>
    <row r="25">
      <c r="A25" s="10" t="n">
        <v>33</v>
      </c>
      <c r="B25" s="10" t="inlineStr">
        <is>
          <t>Average total assets</t>
        </is>
      </c>
      <c r="C25" s="10" t="inlineStr">
        <is>
          <t>2024–2026 (3 cells)</t>
        </is>
      </c>
      <c r="D25" s="10" t="inlineStr">
        <is>
          <t>Earnings Quality</t>
        </is>
      </c>
      <c r="E25" s="10" t="inlineStr">
        <is>
          <t>C11:E11</t>
        </is>
      </c>
      <c r="F25" s="10" t="inlineStr">
        <is>
          <t>—</t>
        </is>
      </c>
    </row>
    <row r="26">
      <c r="A26" s="10" t="n">
        <v>34</v>
      </c>
      <c r="B26" s="10" t="inlineStr">
        <is>
          <t>Accrual ratio</t>
        </is>
      </c>
      <c r="C26" s="10" t="inlineStr">
        <is>
          <t>2024–2026 (3 cells)</t>
        </is>
      </c>
      <c r="D26" s="10" t="inlineStr">
        <is>
          <t>Earnings Quality</t>
        </is>
      </c>
      <c r="E26" s="10" t="inlineStr">
        <is>
          <t>C12:E12</t>
        </is>
      </c>
      <c r="F26" s="10" t="inlineStr">
        <is>
          <t>total_accruals, average_total_assets</t>
        </is>
      </c>
    </row>
    <row r="27">
      <c r="A27" s="10" t="n">
        <v>35</v>
      </c>
      <c r="B27" s="10" t="inlineStr">
        <is>
          <t>Operating working capital assets / Revenue</t>
        </is>
      </c>
      <c r="C27" s="10" t="inlineStr">
        <is>
          <t>2023–2026 (4 cells)</t>
        </is>
      </c>
      <c r="D27" s="10" t="inlineStr">
        <is>
          <t>Working Capital Analysis</t>
        </is>
      </c>
      <c r="E27" s="10" t="inlineStr">
        <is>
          <t>B11:E11</t>
        </is>
      </c>
      <c r="F27" s="10" t="inlineStr">
        <is>
          <t>—</t>
        </is>
      </c>
    </row>
    <row r="28">
      <c r="A28" s="10" t="n">
        <v>36</v>
      </c>
      <c r="B28" s="10" t="inlineStr">
        <is>
          <t>Operating working capital liabilities / Revenue</t>
        </is>
      </c>
      <c r="C28" s="10" t="inlineStr">
        <is>
          <t>2023–2026 (4 cells)</t>
        </is>
      </c>
      <c r="D28" s="10" t="inlineStr">
        <is>
          <t>Working Capital Analysis</t>
        </is>
      </c>
      <c r="E28" s="10" t="inlineStr">
        <is>
          <t>B12:E12</t>
        </is>
      </c>
      <c r="F28" s="10" t="inlineStr">
        <is>
          <t>—</t>
        </is>
      </c>
    </row>
    <row r="29">
      <c r="A29" s="10" t="n">
        <v>37</v>
      </c>
      <c r="B29" s="10" t="inlineStr">
        <is>
          <t>NOWC / Revenue</t>
        </is>
      </c>
      <c r="C29" s="10" t="inlineStr">
        <is>
          <t>2023–2026 (4 cells)</t>
        </is>
      </c>
      <c r="D29" s="10" t="inlineStr">
        <is>
          <t>Working Capital Analysis</t>
        </is>
      </c>
      <c r="E29" s="10" t="inlineStr">
        <is>
          <t>B13:E13</t>
        </is>
      </c>
      <c r="F29" s="10" t="inlineStr">
        <is>
          <t>—</t>
        </is>
      </c>
    </row>
    <row r="30">
      <c r="A30" s="10" t="n">
        <v>38</v>
      </c>
      <c r="B30" s="10" t="inlineStr">
        <is>
          <t>Change in Revenue</t>
        </is>
      </c>
      <c r="C30" s="10" t="inlineStr">
        <is>
          <t>2024–2026 (3 cells)</t>
        </is>
      </c>
      <c r="D30" s="10" t="inlineStr">
        <is>
          <t>Working Capital Analysis</t>
        </is>
      </c>
      <c r="E30" s="10" t="inlineStr">
        <is>
          <t>C14:E14</t>
        </is>
      </c>
      <c r="F30" s="10" t="inlineStr">
        <is>
          <t>—</t>
        </is>
      </c>
    </row>
    <row r="31">
      <c r="A31" s="10" t="n">
        <v>39</v>
      </c>
      <c r="B31" s="10" t="inlineStr">
        <is>
          <t>Change in NOWC</t>
        </is>
      </c>
      <c r="C31" s="10" t="inlineStr">
        <is>
          <t>2024–2026 (3 cells)</t>
        </is>
      </c>
      <c r="D31" s="10" t="inlineStr">
        <is>
          <t>Working Capital Analysis</t>
        </is>
      </c>
      <c r="E31" s="10" t="inlineStr">
        <is>
          <t>C15:E15</t>
        </is>
      </c>
      <c r="F31" s="10" t="inlineStr">
        <is>
          <t>—</t>
        </is>
      </c>
    </row>
    <row r="32">
      <c r="A32" s="10" t="n">
        <v>40</v>
      </c>
      <c r="B32" s="10" t="inlineStr">
        <is>
          <t>Incremental NOWC / Change in Revenue</t>
        </is>
      </c>
      <c r="C32" s="10" t="inlineStr">
        <is>
          <t>2024–2026 (3 cells)</t>
        </is>
      </c>
      <c r="D32" s="10" t="inlineStr">
        <is>
          <t>Working Capital Analysis</t>
        </is>
      </c>
      <c r="E32" s="10" t="inlineStr">
        <is>
          <t>C16:E16</t>
        </is>
      </c>
      <c r="F32" s="10" t="inlineStr">
        <is>
          <t>nowc_change, revenue_change</t>
        </is>
      </c>
    </row>
    <row r="33">
      <c r="A33" s="10" t="n">
        <v>41</v>
      </c>
      <c r="B33" s="10" t="inlineStr">
        <is>
          <t>Change in Operating Working Capital Assets</t>
        </is>
      </c>
      <c r="C33" s="10" t="inlineStr">
        <is>
          <t>2024–2026 (3 cells)</t>
        </is>
      </c>
      <c r="D33" s="10" t="inlineStr">
        <is>
          <t>Working Capital Analysis</t>
        </is>
      </c>
      <c r="E33" s="10" t="inlineStr">
        <is>
          <t>C19:E19</t>
        </is>
      </c>
      <c r="F33" s="10" t="inlineStr">
        <is>
          <t>owca_agg</t>
        </is>
      </c>
    </row>
    <row r="34">
      <c r="A34" s="10" t="n">
        <v>42</v>
      </c>
      <c r="B34" s="10" t="inlineStr">
        <is>
          <t>Change in Operating Working Capital Liabilities</t>
        </is>
      </c>
      <c r="C34" s="10" t="inlineStr">
        <is>
          <t>2024–2026 (3 cells)</t>
        </is>
      </c>
      <c r="D34" s="10" t="inlineStr">
        <is>
          <t>Working Capital Analysis</t>
        </is>
      </c>
      <c r="E34" s="10" t="inlineStr">
        <is>
          <t>C20:E20</t>
        </is>
      </c>
      <c r="F34" s="10" t="inlineStr">
        <is>
          <t>owcl_agg</t>
        </is>
      </c>
    </row>
    <row r="35">
      <c r="A35" s="10" t="n">
        <v>43</v>
      </c>
      <c r="B35" s="10" t="inlineStr">
        <is>
          <t>Change in NOWC from OWCA / OWCL bridge</t>
        </is>
      </c>
      <c r="C35" s="10" t="inlineStr">
        <is>
          <t>2024–2026 (3 cells)</t>
        </is>
      </c>
      <c r="D35" s="10" t="inlineStr">
        <is>
          <t>Working Capital Analysis</t>
        </is>
      </c>
      <c r="E35" s="10" t="inlineStr">
        <is>
          <t>C21:E21</t>
        </is>
      </c>
      <c r="F35" s="10" t="inlineStr">
        <is>
          <t>owca_change, owcl_change</t>
        </is>
      </c>
    </row>
    <row r="36">
      <c r="A36" s="10" t="n">
        <v>44</v>
      </c>
      <c r="B36" s="10" t="inlineStr">
        <is>
          <t>Incremental OWCA / Change in Revenue</t>
        </is>
      </c>
      <c r="C36" s="10" t="inlineStr">
        <is>
          <t>2024–2026 (3 cells)</t>
        </is>
      </c>
      <c r="D36" s="10" t="inlineStr">
        <is>
          <t>Working Capital Analysis</t>
        </is>
      </c>
      <c r="E36" s="10" t="inlineStr">
        <is>
          <t>C22:E22</t>
        </is>
      </c>
      <c r="F36" s="10" t="inlineStr">
        <is>
          <t>owca_change, revenue_change</t>
        </is>
      </c>
    </row>
    <row r="37">
      <c r="A37" s="10" t="n">
        <v>45</v>
      </c>
      <c r="B37" s="10" t="inlineStr">
        <is>
          <t>Incremental OWCL / Change in Revenue</t>
        </is>
      </c>
      <c r="C37" s="10" t="inlineStr">
        <is>
          <t>2024–2026 (3 cells)</t>
        </is>
      </c>
      <c r="D37" s="10" t="inlineStr">
        <is>
          <t>Working Capital Analysis</t>
        </is>
      </c>
      <c r="E37" s="10" t="inlineStr">
        <is>
          <t>C23:E23</t>
        </is>
      </c>
      <c r="F37" s="10" t="inlineStr">
        <is>
          <t>owcl_change, revenue_change</t>
        </is>
      </c>
    </row>
    <row r="38">
      <c r="A38" s="10" t="n">
        <v>46</v>
      </c>
      <c r="B38" s="10" t="inlineStr">
        <is>
          <t>Average Net Operating Assets</t>
        </is>
      </c>
      <c r="C38" s="10" t="inlineStr">
        <is>
          <t>2024–2026 (3 cells)</t>
        </is>
      </c>
      <c r="D38" s="10" t="inlineStr">
        <is>
          <t>ALT DuPont</t>
        </is>
      </c>
      <c r="E38" s="10" t="inlineStr">
        <is>
          <t>C15:E15</t>
        </is>
      </c>
      <c r="F38" s="10" t="inlineStr">
        <is>
          <t>noa_agg</t>
        </is>
      </c>
    </row>
    <row r="39">
      <c r="A39" s="10" t="n">
        <v>47</v>
      </c>
      <c r="B39" s="10" t="inlineStr">
        <is>
          <t>Net Operating Asset Turnover</t>
        </is>
      </c>
      <c r="C39" s="10" t="inlineStr">
        <is>
          <t>2024–2026 (3 cells)</t>
        </is>
      </c>
      <c r="D39" s="10" t="inlineStr">
        <is>
          <t>ALT DuPont</t>
        </is>
      </c>
      <c r="E39" s="10" t="inlineStr">
        <is>
          <t>C16:E16</t>
        </is>
      </c>
      <c r="F39" s="10" t="inlineStr">
        <is>
          <t>revenue_link, average_noa</t>
        </is>
      </c>
    </row>
    <row r="40">
      <c r="A40" s="10" t="n">
        <v>48</v>
      </c>
      <c r="B40" s="10" t="inlineStr">
        <is>
          <t>Net Operating Asset Intensity</t>
        </is>
      </c>
      <c r="C40" s="10" t="inlineStr">
        <is>
          <t>2024–2026 (3 cells)</t>
        </is>
      </c>
      <c r="D40" s="10" t="inlineStr">
        <is>
          <t>ALT DuPont</t>
        </is>
      </c>
      <c r="E40" s="10" t="inlineStr">
        <is>
          <t>C17:E17</t>
        </is>
      </c>
      <c r="F40" s="10" t="inlineStr">
        <is>
          <t>average_noa, revenue_link</t>
        </is>
      </c>
    </row>
    <row r="41">
      <c r="A41" s="10" t="n">
        <v>51</v>
      </c>
      <c r="B41" s="10" t="inlineStr">
        <is>
          <t>Change in NOA Turnover</t>
        </is>
      </c>
      <c r="C41" s="10" t="inlineStr">
        <is>
          <t>2025–2026 (2 cells)</t>
        </is>
      </c>
      <c r="D41" s="10" t="inlineStr">
        <is>
          <t>ALT DuPont</t>
        </is>
      </c>
      <c r="E41" s="10" t="inlineStr">
        <is>
          <t>D23:E23</t>
        </is>
      </c>
      <c r="F41" s="10" t="inlineStr">
        <is>
          <t>noa_turnover</t>
        </is>
      </c>
    </row>
    <row r="42">
      <c r="A42" s="10" t="n">
        <v>63</v>
      </c>
      <c r="B42" s="10" t="inlineStr">
        <is>
          <t>Change in Operating Cash Flow</t>
        </is>
      </c>
      <c r="C42" s="10" t="inlineStr">
        <is>
          <t>2024–2026 (3 cells)</t>
        </is>
      </c>
      <c r="D42" s="10" t="inlineStr">
        <is>
          <t>Earnings Quality</t>
        </is>
      </c>
      <c r="E42" s="10" t="inlineStr">
        <is>
          <t>C15:E15</t>
        </is>
      </c>
      <c r="F42" s="10" t="inlineStr">
        <is>
          <t>operating_cash_flow_link</t>
        </is>
      </c>
    </row>
    <row r="43">
      <c r="A43" s="10" t="n">
        <v>64</v>
      </c>
      <c r="B43" s="10" t="inlineStr">
        <is>
          <t>Change in Cash Conversion Ratio</t>
        </is>
      </c>
      <c r="C43" s="10" t="inlineStr">
        <is>
          <t>2024–2026 (3 cells)</t>
        </is>
      </c>
      <c r="D43" s="10" t="inlineStr">
        <is>
          <t>Earnings Quality</t>
        </is>
      </c>
      <c r="E43" s="10" t="inlineStr">
        <is>
          <t>C16:E16</t>
        </is>
      </c>
      <c r="F43" s="10" t="inlineStr">
        <is>
          <t>cash_conversion_ratio</t>
        </is>
      </c>
    </row>
    <row r="44">
      <c r="A44" s="10" t="n">
        <v>65</v>
      </c>
      <c r="B44" s="10" t="inlineStr">
        <is>
          <t>Change in Total Accruals</t>
        </is>
      </c>
      <c r="C44" s="10" t="inlineStr">
        <is>
          <t>2024–2026 (3 cells)</t>
        </is>
      </c>
      <c r="D44" s="10" t="inlineStr">
        <is>
          <t>Earnings Quality</t>
        </is>
      </c>
      <c r="E44" s="10" t="inlineStr">
        <is>
          <t>C17:E17</t>
        </is>
      </c>
      <c r="F44" s="10" t="inlineStr">
        <is>
          <t>total_accruals</t>
        </is>
      </c>
    </row>
    <row r="45">
      <c r="A45" s="10" t="n">
        <v>66</v>
      </c>
      <c r="B45" s="10" t="inlineStr">
        <is>
          <t>Change in Accrual Ratio</t>
        </is>
      </c>
      <c r="C45" s="10" t="inlineStr">
        <is>
          <t>2025–2026 (2 cells)</t>
        </is>
      </c>
      <c r="D45" s="10" t="inlineStr">
        <is>
          <t>Earnings Quality</t>
        </is>
      </c>
      <c r="E45" s="10" t="inlineStr">
        <is>
          <t>D18:E18</t>
        </is>
      </c>
      <c r="F45" s="10" t="inlineStr">
        <is>
          <t>accrual_ratio</t>
        </is>
      </c>
    </row>
    <row r="46">
      <c r="A46" s="10" t="n">
        <v>67</v>
      </c>
      <c r="B46" s="10" t="inlineStr">
        <is>
          <t>Diluted EPS (Comparable Basis)</t>
        </is>
      </c>
      <c r="C46" s="10" t="inlineStr">
        <is>
          <t>2023–2026 (4 cells)</t>
        </is>
      </c>
      <c r="D46" s="10" t="inlineStr">
        <is>
          <t>Per Share Analysis</t>
        </is>
      </c>
      <c r="E46" s="10" t="inlineStr">
        <is>
          <t>B9:E9</t>
        </is>
      </c>
      <c r="F46" s="10" t="inlineStr">
        <is>
          <t>net_income_link</t>
        </is>
      </c>
    </row>
    <row r="47">
      <c r="A47" s="10" t="n">
        <v>69</v>
      </c>
      <c r="B47" s="10" t="inlineStr">
        <is>
          <t>Change in Diluted EPS</t>
        </is>
      </c>
      <c r="C47" s="10" t="inlineStr">
        <is>
          <t>2024–2026 (3 cells)</t>
        </is>
      </c>
      <c r="D47" s="10" t="inlineStr">
        <is>
          <t>Per Share Analysis</t>
        </is>
      </c>
      <c r="E47" s="10" t="inlineStr">
        <is>
          <t>C12:E12</t>
        </is>
      </c>
      <c r="F47" s="10" t="inlineStr">
        <is>
          <t>reported_diluted_eps</t>
        </is>
      </c>
    </row>
    <row r="48">
      <c r="A48" s="10" t="n">
        <v>70</v>
      </c>
      <c r="B48" s="10" t="inlineStr">
        <is>
          <t>Change in Diluted Weighted-Average Shares</t>
        </is>
      </c>
      <c r="C48" s="10" t="inlineStr">
        <is>
          <t>2024–2026 (3 cells)</t>
        </is>
      </c>
      <c r="D48" s="10" t="inlineStr">
        <is>
          <t>Per Share Analysis</t>
        </is>
      </c>
      <c r="E48" s="10" t="inlineStr">
        <is>
          <t>C13:E13</t>
        </is>
      </c>
      <c r="F48" s="10" t="inlineStr">
        <is>
          <t>—</t>
        </is>
      </c>
    </row>
    <row r="49">
      <c r="A49" s="10" t="n">
        <v>71</v>
      </c>
      <c r="B49" s="10" t="inlineStr">
        <is>
          <t>Change in Per-Share Earnings Numerator</t>
        </is>
      </c>
      <c r="C49" s="10" t="inlineStr">
        <is>
          <t>2024–2026 (3 cells)</t>
        </is>
      </c>
      <c r="D49" s="10" t="inlineStr">
        <is>
          <t>Per Share Analysis</t>
        </is>
      </c>
      <c r="E49" s="10" t="inlineStr">
        <is>
          <t>C16:E16</t>
        </is>
      </c>
      <c r="F49" s="10" t="inlineStr">
        <is>
          <t>net_income_link</t>
        </is>
      </c>
    </row>
    <row r="50">
      <c r="A50" s="10" t="n">
        <v>72</v>
      </c>
      <c r="B50" s="10" t="inlineStr">
        <is>
          <t>Earnings Effect on Change in Diluted EPS</t>
        </is>
      </c>
      <c r="C50" s="10" t="inlineStr">
        <is>
          <t>2024–2026 (3 cells)</t>
        </is>
      </c>
      <c r="D50" s="10" t="inlineStr">
        <is>
          <t>Per Share Analysis</t>
        </is>
      </c>
      <c r="E50" s="10" t="inlineStr">
        <is>
          <t>C17:E17</t>
        </is>
      </c>
      <c r="F50" s="10" t="inlineStr">
        <is>
          <t>reported_net_income_change</t>
        </is>
      </c>
    </row>
    <row r="51">
      <c r="A51" s="10" t="n">
        <v>73</v>
      </c>
      <c r="B51" s="10" t="inlineStr">
        <is>
          <t>Share-Count Effect on Change in Diluted EPS</t>
        </is>
      </c>
      <c r="C51" s="10" t="inlineStr">
        <is>
          <t>2024–2026 (3 cells)</t>
        </is>
      </c>
      <c r="D51" s="10" t="inlineStr">
        <is>
          <t>Per Share Analysis</t>
        </is>
      </c>
      <c r="E51" s="10" t="inlineStr">
        <is>
          <t>C18:E18</t>
        </is>
      </c>
      <c r="F51" s="10" t="inlineStr">
        <is>
          <t>diluted_share_count_change, net_income_link</t>
        </is>
      </c>
    </row>
    <row r="52">
      <c r="A52" s="10" t="n">
        <v>74</v>
      </c>
      <c r="B52" s="10" t="inlineStr">
        <is>
          <t>Change in Diluted EPS from Earnings + Share-Count Effects</t>
        </is>
      </c>
      <c r="C52" s="10" t="inlineStr">
        <is>
          <t>2024–2026 (3 cells)</t>
        </is>
      </c>
      <c r="D52" s="10" t="inlineStr">
        <is>
          <t>Per Share Analysis</t>
        </is>
      </c>
      <c r="E52" s="10" t="inlineStr">
        <is>
          <t>C19:E19</t>
        </is>
      </c>
      <c r="F52" s="10" t="inlineStr">
        <is>
          <t>earnings_effect_on_diluted_eps_change, share_count_effect_on_diluted_eps_change</t>
        </is>
      </c>
    </row>
    <row r="53">
      <c r="A53" s="10" t="n">
        <v>79</v>
      </c>
      <c r="B53" s="10" t="inlineStr">
        <is>
          <t>Property, Plant &amp; Equipment</t>
        </is>
      </c>
      <c r="C53" s="10" t="inlineStr">
        <is>
          <t>2023–2026 (4 cells)</t>
        </is>
      </c>
      <c r="D53" s="10" t="inlineStr">
        <is>
          <t>ALT DuPont</t>
        </is>
      </c>
      <c r="E53" s="10" t="inlineStr">
        <is>
          <t>B44:E44</t>
        </is>
      </c>
      <c r="F53" s="10" t="inlineStr">
        <is>
          <t>—</t>
        </is>
      </c>
    </row>
    <row r="54">
      <c r="A54" s="10" t="n">
        <v>80</v>
      </c>
      <c r="B54" s="10" t="inlineStr">
        <is>
          <t>Depreciation &amp; Amortisation</t>
        </is>
      </c>
      <c r="C54" s="10" t="inlineStr">
        <is>
          <t>2023–2026 (4 cells)</t>
        </is>
      </c>
      <c r="D54" s="10" t="inlineStr">
        <is>
          <t>ALT DuPont</t>
        </is>
      </c>
      <c r="E54" s="10" t="inlineStr">
        <is>
          <t>B45:E45</t>
        </is>
      </c>
      <c r="F54" s="10" t="inlineStr">
        <is>
          <t>—</t>
        </is>
      </c>
    </row>
    <row r="55">
      <c r="A55" s="10" t="n">
        <v>81</v>
      </c>
      <c r="B55" s="10" t="inlineStr">
        <is>
          <t>Average PP&amp;E</t>
        </is>
      </c>
      <c r="C55" s="10" t="inlineStr">
        <is>
          <t>2024–2026 (3 cells)</t>
        </is>
      </c>
      <c r="D55" s="10" t="inlineStr">
        <is>
          <t>ALT DuPont</t>
        </is>
      </c>
      <c r="E55" s="10" t="inlineStr">
        <is>
          <t>C46:E46</t>
        </is>
      </c>
      <c r="F55" s="10" t="inlineStr">
        <is>
          <t>ppe_source_link</t>
        </is>
      </c>
    </row>
    <row r="56">
      <c r="A56" s="10" t="n">
        <v>82</v>
      </c>
      <c r="B56" s="10" t="inlineStr">
        <is>
          <t>PP&amp;E Turnover</t>
        </is>
      </c>
      <c r="C56" s="10" t="inlineStr">
        <is>
          <t>2024–2026 (3 cells)</t>
        </is>
      </c>
      <c r="D56" s="10" t="inlineStr">
        <is>
          <t>ALT DuPont</t>
        </is>
      </c>
      <c r="E56" s="10" t="inlineStr">
        <is>
          <t>C47:E47</t>
        </is>
      </c>
      <c r="F56" s="10" t="inlineStr">
        <is>
          <t>revenue_link, average_ppe</t>
        </is>
      </c>
    </row>
    <row r="57">
      <c r="A57" s="10" t="n">
        <v>83</v>
      </c>
      <c r="B57" s="10" t="inlineStr">
        <is>
          <t>PP&amp;E Intensity</t>
        </is>
      </c>
      <c r="C57" s="10" t="inlineStr">
        <is>
          <t>2024–2026 (3 cells)</t>
        </is>
      </c>
      <c r="D57" s="10" t="inlineStr">
        <is>
          <t>ALT DuPont</t>
        </is>
      </c>
      <c r="E57" s="10" t="inlineStr">
        <is>
          <t>C48:E48</t>
        </is>
      </c>
      <c r="F57" s="10" t="inlineStr">
        <is>
          <t>revenue_link, average_ppe</t>
        </is>
      </c>
    </row>
    <row r="58">
      <c r="A58" s="10" t="n">
        <v>84</v>
      </c>
      <c r="B58" s="10" t="inlineStr">
        <is>
          <t>Change in PP&amp;E</t>
        </is>
      </c>
      <c r="C58" s="10" t="inlineStr">
        <is>
          <t>2024–2026 (3 cells)</t>
        </is>
      </c>
      <c r="D58" s="10" t="inlineStr">
        <is>
          <t>ALT DuPont</t>
        </is>
      </c>
      <c r="E58" s="10" t="inlineStr">
        <is>
          <t>C49:E49</t>
        </is>
      </c>
      <c r="F58" s="10" t="inlineStr">
        <is>
          <t>ppe_source_link</t>
        </is>
      </c>
    </row>
    <row r="59">
      <c r="A59" s="10" t="n">
        <v>85</v>
      </c>
      <c r="B59" s="10" t="inlineStr">
        <is>
          <t>D&amp;A / Revenue</t>
        </is>
      </c>
      <c r="C59" s="10" t="inlineStr">
        <is>
          <t>2023–2026 (4 cells)</t>
        </is>
      </c>
      <c r="D59" s="10" t="inlineStr">
        <is>
          <t>ALT DuPont</t>
        </is>
      </c>
      <c r="E59" s="10" t="inlineStr">
        <is>
          <t>B50:E50</t>
        </is>
      </c>
      <c r="F59" s="10" t="inlineStr">
        <is>
          <t>da_source_link, revenue_link</t>
        </is>
      </c>
    </row>
    <row r="60">
      <c r="A60" s="10" t="n">
        <v>86</v>
      </c>
      <c r="B60" s="10" t="inlineStr">
        <is>
          <t>D&amp;A / Average PP&amp;E</t>
        </is>
      </c>
      <c r="C60" s="10" t="inlineStr">
        <is>
          <t>2024–2026 (3 cells)</t>
        </is>
      </c>
      <c r="D60" s="10" t="inlineStr">
        <is>
          <t>ALT DuPont</t>
        </is>
      </c>
      <c r="E60" s="10" t="inlineStr">
        <is>
          <t>C51:E51</t>
        </is>
      </c>
      <c r="F60" s="10" t="inlineStr">
        <is>
          <t>da_source_link, average_ppe</t>
        </is>
      </c>
    </row>
    <row r="61">
      <c r="A61" s="10" t="n">
        <v>87</v>
      </c>
      <c r="B61" s="10" t="inlineStr">
        <is>
          <t>Lease Liability</t>
        </is>
      </c>
      <c r="C61" s="10" t="inlineStr">
        <is>
          <t>2023–2026 (4 cells)</t>
        </is>
      </c>
      <c r="D61" s="10" t="inlineStr">
        <is>
          <t>ALT DuPont</t>
        </is>
      </c>
      <c r="E61" s="10" t="inlineStr">
        <is>
          <t>B55:E55</t>
        </is>
      </c>
      <c r="F61" s="10" t="inlineStr">
        <is>
          <t>—</t>
        </is>
      </c>
    </row>
    <row r="62">
      <c r="A62" s="10" t="n">
        <v>88</v>
      </c>
      <c r="B62" s="10" t="inlineStr">
        <is>
          <t>Lease Liability / Revenue</t>
        </is>
      </c>
      <c r="C62" s="10" t="inlineStr">
        <is>
          <t>2023–2026 (4 cells)</t>
        </is>
      </c>
      <c r="D62" s="10" t="inlineStr">
        <is>
          <t>ALT DuPont</t>
        </is>
      </c>
      <c r="E62" s="10" t="inlineStr">
        <is>
          <t>B56:E56</t>
        </is>
      </c>
      <c r="F62" s="10" t="inlineStr">
        <is>
          <t>lease_liability_source_link, revenue_link</t>
        </is>
      </c>
    </row>
    <row r="63">
      <c r="A63" s="10" t="n">
        <v>89</v>
      </c>
      <c r="B63" s="10" t="inlineStr">
        <is>
          <t>Change in Lease Liability</t>
        </is>
      </c>
      <c r="C63" s="10" t="inlineStr">
        <is>
          <t>2024–2026 (3 cells)</t>
        </is>
      </c>
      <c r="D63" s="10" t="inlineStr">
        <is>
          <t>ALT DuPont</t>
        </is>
      </c>
      <c r="E63" s="10" t="inlineStr">
        <is>
          <t>C57:E57</t>
        </is>
      </c>
      <c r="F63" s="10" t="inlineStr">
        <is>
          <t>lease_liability_source_link</t>
        </is>
      </c>
    </row>
    <row r="64">
      <c r="A64" s="10" t="n">
        <v>90</v>
      </c>
      <c r="B64" s="10" t="inlineStr">
        <is>
          <t>Lease Liability Growth</t>
        </is>
      </c>
      <c r="C64" s="10" t="inlineStr">
        <is>
          <t>2024–2026 (3 cells)</t>
        </is>
      </c>
      <c r="D64" s="10" t="inlineStr">
        <is>
          <t>ALT DuPont</t>
        </is>
      </c>
      <c r="E64" s="10" t="inlineStr">
        <is>
          <t>C58:E58</t>
        </is>
      </c>
      <c r="F64" s="10" t="inlineStr">
        <is>
          <t>lease_liability_source_link</t>
        </is>
      </c>
    </row>
    <row r="65">
      <c r="A65" s="10" t="n">
        <v>98</v>
      </c>
      <c r="B65" s="10" t="inlineStr">
        <is>
          <t>Change in Goodwill</t>
        </is>
      </c>
      <c r="C65" s="10" t="inlineStr">
        <is>
          <t>2024–2026 (3 cells)</t>
        </is>
      </c>
      <c r="D65" s="10" t="inlineStr">
        <is>
          <t>ALT DuPont</t>
        </is>
      </c>
      <c r="E65" s="10" t="inlineStr">
        <is>
          <t>C67:E67</t>
        </is>
      </c>
      <c r="F65" s="10" t="inlineStr">
        <is>
          <t>—</t>
        </is>
      </c>
    </row>
    <row r="66">
      <c r="A66" s="10" t="n">
        <v>99</v>
      </c>
      <c r="B66" s="10" t="inlineStr">
        <is>
          <t>Goodwill Growth</t>
        </is>
      </c>
      <c r="C66" s="10" t="inlineStr">
        <is>
          <t>2024–2026 (3 cells)</t>
        </is>
      </c>
      <c r="D66" s="10" t="inlineStr">
        <is>
          <t>ALT DuPont</t>
        </is>
      </c>
      <c r="E66" s="10" t="inlineStr">
        <is>
          <t>C68:E68</t>
        </is>
      </c>
      <c r="F66" s="10" t="inlineStr">
        <is>
          <t>goodwill_change</t>
        </is>
      </c>
    </row>
    <row r="67">
      <c r="A67" s="10" t="n">
        <v>100</v>
      </c>
      <c r="B67" s="10" t="inlineStr">
        <is>
          <t>Average Goodwill</t>
        </is>
      </c>
      <c r="C67" s="10" t="inlineStr">
        <is>
          <t>2024–2026 (3 cells)</t>
        </is>
      </c>
      <c r="D67" s="10" t="inlineStr">
        <is>
          <t>ALT DuPont</t>
        </is>
      </c>
      <c r="E67" s="10" t="inlineStr">
        <is>
          <t>C69:E69</t>
        </is>
      </c>
      <c r="F67" s="10" t="inlineStr">
        <is>
          <t>—</t>
        </is>
      </c>
    </row>
    <row r="68">
      <c r="A68" s="10" t="n">
        <v>101</v>
      </c>
      <c r="B68" s="10" t="inlineStr">
        <is>
          <t>Average Goodwill / Revenue</t>
        </is>
      </c>
      <c r="C68" s="10" t="inlineStr">
        <is>
          <t>2024–2026 (3 cells)</t>
        </is>
      </c>
      <c r="D68" s="10" t="inlineStr">
        <is>
          <t>ALT DuPont</t>
        </is>
      </c>
      <c r="E68" s="10" t="inlineStr">
        <is>
          <t>C70:E70</t>
        </is>
      </c>
      <c r="F68" s="10" t="inlineStr">
        <is>
          <t>average_goodwill, revenue_link</t>
        </is>
      </c>
    </row>
    <row r="69">
      <c r="A69" s="10" t="n">
        <v>102</v>
      </c>
      <c r="B69" s="10" t="inlineStr">
        <is>
          <t>Change in Intangible Assets</t>
        </is>
      </c>
      <c r="C69" s="10" t="inlineStr">
        <is>
          <t>2024–2026 (3 cells)</t>
        </is>
      </c>
      <c r="D69" s="10" t="inlineStr">
        <is>
          <t>ALT DuPont</t>
        </is>
      </c>
      <c r="E69" s="10" t="inlineStr">
        <is>
          <t>C72:E72</t>
        </is>
      </c>
      <c r="F69" s="10" t="inlineStr">
        <is>
          <t>—</t>
        </is>
      </c>
    </row>
    <row r="70">
      <c r="A70" s="10" t="n">
        <v>103</v>
      </c>
      <c r="B70" s="10" t="inlineStr">
        <is>
          <t>Intangible Assets Growth</t>
        </is>
      </c>
      <c r="C70" s="10" t="inlineStr">
        <is>
          <t>2024–2026 (3 cells)</t>
        </is>
      </c>
      <c r="D70" s="10" t="inlineStr">
        <is>
          <t>ALT DuPont</t>
        </is>
      </c>
      <c r="E70" s="10" t="inlineStr">
        <is>
          <t>C73:E73</t>
        </is>
      </c>
      <c r="F70" s="10" t="inlineStr">
        <is>
          <t>intangible_assets_change</t>
        </is>
      </c>
    </row>
    <row r="71">
      <c r="A71" s="10" t="n">
        <v>104</v>
      </c>
      <c r="B71" s="10" t="inlineStr">
        <is>
          <t>Average Intangible Assets</t>
        </is>
      </c>
      <c r="C71" s="10" t="inlineStr">
        <is>
          <t>2024–2026 (3 cells)</t>
        </is>
      </c>
      <c r="D71" s="10" t="inlineStr">
        <is>
          <t>ALT DuPont</t>
        </is>
      </c>
      <c r="E71" s="10" t="inlineStr">
        <is>
          <t>C74:E74</t>
        </is>
      </c>
      <c r="F71" s="10" t="inlineStr">
        <is>
          <t>—</t>
        </is>
      </c>
    </row>
    <row r="72">
      <c r="A72" s="10" t="n">
        <v>105</v>
      </c>
      <c r="B72" s="10" t="inlineStr">
        <is>
          <t>Average Intangible Assets / Revenue</t>
        </is>
      </c>
      <c r="C72" s="10" t="inlineStr">
        <is>
          <t>2024–2026 (3 cells)</t>
        </is>
      </c>
      <c r="D72" s="10" t="inlineStr">
        <is>
          <t>ALT DuPont</t>
        </is>
      </c>
      <c r="E72" s="10" t="inlineStr">
        <is>
          <t>C75:E75</t>
        </is>
      </c>
      <c r="F72" s="10" t="inlineStr">
        <is>
          <t>average_intangible_assets, revenue_link</t>
        </is>
      </c>
    </row>
    <row r="73">
      <c r="A73" s="10" t="n">
        <v>106</v>
      </c>
      <c r="B73" s="10" t="inlineStr">
        <is>
          <t>Change in Goodwill &amp; Intangibles</t>
        </is>
      </c>
      <c r="C73" s="10" t="inlineStr">
        <is>
          <t>2024–2026 (3 cells)</t>
        </is>
      </c>
      <c r="D73" s="10" t="inlineStr">
        <is>
          <t>ALT DuPont</t>
        </is>
      </c>
      <c r="E73" s="10" t="inlineStr">
        <is>
          <t>C77:E77</t>
        </is>
      </c>
      <c r="F73" s="10" t="inlineStr">
        <is>
          <t>—</t>
        </is>
      </c>
    </row>
    <row r="74">
      <c r="A74" s="10" t="n">
        <v>107</v>
      </c>
      <c r="B74" s="10" t="inlineStr">
        <is>
          <t>Goodwill &amp; Intangibles Growth</t>
        </is>
      </c>
      <c r="C74" s="10" t="inlineStr">
        <is>
          <t>2024–2026 (3 cells)</t>
        </is>
      </c>
      <c r="D74" s="10" t="inlineStr">
        <is>
          <t>ALT DuPont</t>
        </is>
      </c>
      <c r="E74" s="10" t="inlineStr">
        <is>
          <t>C78:E78</t>
        </is>
      </c>
      <c r="F74" s="10" t="inlineStr">
        <is>
          <t>goodwill_and_intangibles_change</t>
        </is>
      </c>
    </row>
    <row r="75">
      <c r="A75" s="10" t="n">
        <v>108</v>
      </c>
      <c r="B75" s="10" t="inlineStr">
        <is>
          <t>Average Goodwill &amp; Intangibles</t>
        </is>
      </c>
      <c r="C75" s="10" t="inlineStr">
        <is>
          <t>2024–2026 (3 cells)</t>
        </is>
      </c>
      <c r="D75" s="10" t="inlineStr">
        <is>
          <t>ALT DuPont</t>
        </is>
      </c>
      <c r="E75" s="10" t="inlineStr">
        <is>
          <t>C79:E79</t>
        </is>
      </c>
      <c r="F75" s="10" t="inlineStr">
        <is>
          <t>—</t>
        </is>
      </c>
    </row>
    <row r="76">
      <c r="A76" s="10" t="n">
        <v>109</v>
      </c>
      <c r="B76" s="10" t="inlineStr">
        <is>
          <t>Average Goodwill &amp; Intangibles / Revenue</t>
        </is>
      </c>
      <c r="C76" s="10" t="inlineStr">
        <is>
          <t>2024–2026 (3 cells)</t>
        </is>
      </c>
      <c r="D76" s="10" t="inlineStr">
        <is>
          <t>ALT DuPont</t>
        </is>
      </c>
      <c r="E76" s="10" t="inlineStr">
        <is>
          <t>C80:E80</t>
        </is>
      </c>
      <c r="F76" s="10" t="inlineStr">
        <is>
          <t>average_goodwill_and_intangibles, revenue_link</t>
        </is>
      </c>
    </row>
    <row r="77">
      <c r="A77" s="10" t="n">
        <v>120</v>
      </c>
      <c r="B77" s="10" t="inlineStr">
        <is>
          <t>PP&amp;E Capex (−reported)</t>
        </is>
      </c>
      <c r="C77" s="10" t="inlineStr">
        <is>
          <t>2023–2026 (4 cells)</t>
        </is>
      </c>
      <c r="D77" s="10" t="inlineStr">
        <is>
          <t>ALT DuPont</t>
        </is>
      </c>
      <c r="E77" s="10" t="inlineStr">
        <is>
          <t>B62:E62</t>
        </is>
      </c>
      <c r="F77" s="10" t="inlineStr">
        <is>
          <t>—</t>
        </is>
      </c>
    </row>
    <row r="78">
      <c r="A78" s="10" t="n">
        <v>121</v>
      </c>
      <c r="B78" s="10" t="inlineStr">
        <is>
          <t>PP&amp;E Capex / Revenue</t>
        </is>
      </c>
      <c r="C78" s="10" t="inlineStr">
        <is>
          <t>2023–2026 (4 cells)</t>
        </is>
      </c>
      <c r="D78" s="10" t="inlineStr">
        <is>
          <t>ALT DuPont</t>
        </is>
      </c>
      <c r="E78" s="10" t="inlineStr">
        <is>
          <t>B63:E63</t>
        </is>
      </c>
      <c r="F78" s="10" t="inlineStr">
        <is>
          <t>ppe_capex, revenue_link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Income Statement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5"/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Foreign currency translation adjustment</t>
        </is>
      </c>
      <c r="B7" s="12" t="n">
        <v>-65571</v>
      </c>
      <c r="C7" s="12" t="n">
        <v>-23077</v>
      </c>
      <c r="D7" s="12" t="n">
        <v>-253209</v>
      </c>
      <c r="E7" s="12" t="n">
        <v>253160</v>
      </c>
    </row>
    <row r="8">
      <c r="A8" s="10" t="inlineStr">
        <is>
          <t>Net investment hedge gains (losses)</t>
        </is>
      </c>
      <c r="B8" s="12" t="n">
        <v>8904</v>
      </c>
      <c r="C8" s="12" t="n">
        <v>11405</v>
      </c>
      <c r="D8" s="12" t="n">
        <v>93024</v>
      </c>
      <c r="E8" s="12" t="n">
        <v>-59409</v>
      </c>
    </row>
    <row r="9">
      <c r="A9" s="10" t="inlineStr">
        <is>
          <t>Amortization of intangible assets</t>
        </is>
      </c>
      <c r="B9" s="12" t="n">
        <v>8752</v>
      </c>
      <c r="C9" s="12" t="n">
        <v>5010</v>
      </c>
      <c r="D9" s="12" t="n">
        <v>2735</v>
      </c>
      <c r="E9" s="12" t="n">
        <v>6961</v>
      </c>
    </row>
    <row r="10">
      <c r="A10" s="10" t="inlineStr">
        <is>
          <t>Basic earnings per share</t>
        </is>
      </c>
      <c r="B10" s="12" t="n">
        <v>6.7</v>
      </c>
      <c r="C10" s="12" t="n">
        <v>12.23</v>
      </c>
      <c r="D10" s="12" t="n">
        <v>14.67</v>
      </c>
      <c r="E10" s="12" t="n">
        <v>13.27</v>
      </c>
    </row>
    <row r="11">
      <c r="A11" s="10" t="inlineStr">
        <is>
          <t>Comprehensive income</t>
        </is>
      </c>
      <c r="B11" s="12" t="n">
        <v>798133</v>
      </c>
      <c r="C11" s="12" t="n">
        <v>1538518</v>
      </c>
      <c r="D11" s="12" t="n">
        <v>1654431</v>
      </c>
      <c r="E11" s="12" t="n">
        <v>1772934</v>
      </c>
    </row>
    <row r="12">
      <c r="A12" s="10" t="inlineStr">
        <is>
          <t>Cost of goods sold</t>
        </is>
      </c>
      <c r="B12" s="12" t="n">
        <v>3618178</v>
      </c>
      <c r="C12" s="12" t="n">
        <v>4009873</v>
      </c>
      <c r="D12" s="12" t="n">
        <v>4317315</v>
      </c>
      <c r="E12" s="12" t="n">
        <v>4818468</v>
      </c>
    </row>
    <row r="13">
      <c r="A13" s="10" t="inlineStr">
        <is>
          <t>Diluted earnings per share</t>
        </is>
      </c>
      <c r="B13" s="12" t="n">
        <v>6.68</v>
      </c>
      <c r="C13" s="12" t="n">
        <v>12.2</v>
      </c>
      <c r="D13" s="12" t="n">
        <v>14.64</v>
      </c>
      <c r="E13" s="12" t="n">
        <v>13.26</v>
      </c>
    </row>
    <row r="14">
      <c r="A14" s="10" t="inlineStr">
        <is>
          <t>Gross profit</t>
        </is>
      </c>
      <c r="B14" s="12" t="n">
        <v>4492340</v>
      </c>
      <c r="C14" s="12" t="n">
        <v>5609405</v>
      </c>
      <c r="D14" s="12" t="n">
        <v>6270811</v>
      </c>
      <c r="E14" s="12" t="n">
        <v>6284132</v>
      </c>
    </row>
    <row r="15">
      <c r="A15" s="10" t="inlineStr">
        <is>
          <t>Income before income tax expense</t>
        </is>
      </c>
      <c r="B15" s="12" t="n">
        <v>1332571</v>
      </c>
      <c r="C15" s="12" t="n">
        <v>2175735</v>
      </c>
      <c r="D15" s="12" t="n">
        <v>2576077</v>
      </c>
      <c r="E15" s="12" t="n">
        <v>2238967</v>
      </c>
    </row>
    <row r="16">
      <c r="A16" s="10" t="inlineStr">
        <is>
          <t>Income from operations</t>
        </is>
      </c>
      <c r="B16" s="12" t="n">
        <v>1328408</v>
      </c>
      <c r="C16" s="12" t="n">
        <v>2132676</v>
      </c>
      <c r="D16" s="12" t="n">
        <v>2505697</v>
      </c>
      <c r="E16" s="12" t="n">
        <v>2210615</v>
      </c>
    </row>
    <row r="17">
      <c r="A17" s="10" t="inlineStr">
        <is>
          <t>Income tax expense</t>
        </is>
      </c>
      <c r="B17" s="12" t="n">
        <v>477771</v>
      </c>
      <c r="C17" s="12" t="n">
        <v>625545</v>
      </c>
      <c r="D17" s="12" t="n">
        <v>761461</v>
      </c>
      <c r="E17" s="12" t="n">
        <v>659784</v>
      </c>
    </row>
    <row r="18">
      <c r="A18" s="10" t="inlineStr">
        <is>
          <t>Net income</t>
        </is>
      </c>
      <c r="B18" s="12" t="n">
        <v>854800</v>
      </c>
      <c r="C18" s="12" t="n">
        <v>1550190</v>
      </c>
      <c r="D18" s="12" t="n">
        <v>1814616</v>
      </c>
      <c r="E18" s="12" t="n">
        <v>1579183</v>
      </c>
    </row>
    <row r="19">
      <c r="A19" s="10" t="inlineStr">
        <is>
          <t>Net revenue</t>
        </is>
      </c>
      <c r="B19" s="12" t="n">
        <v>8110518</v>
      </c>
      <c r="C19" s="12" t="n">
        <v>9619278</v>
      </c>
      <c r="D19" s="12" t="n">
        <v>10588126</v>
      </c>
      <c r="E19" s="12" t="n">
        <v>11102600</v>
      </c>
    </row>
    <row r="20">
      <c r="A20" s="10" t="inlineStr">
        <is>
          <t>Other comprehensive income (loss), net of tax</t>
        </is>
      </c>
      <c r="B20" s="12" t="n">
        <v>-56667</v>
      </c>
      <c r="C20" s="12" t="n">
        <v>-11672</v>
      </c>
      <c r="D20" s="12" t="n">
        <v>-160185</v>
      </c>
      <c r="E20" s="12" t="n">
        <v>193751</v>
      </c>
    </row>
    <row r="21">
      <c r="A21" s="10" t="inlineStr">
        <is>
          <t>Other income (expense), net</t>
        </is>
      </c>
      <c r="B21" s="12" t="n">
        <v>4163</v>
      </c>
      <c r="C21" s="12" t="n">
        <v>43059</v>
      </c>
      <c r="D21" s="12" t="n">
        <v>70380</v>
      </c>
      <c r="E21" s="12" t="n">
        <v>28352</v>
      </c>
    </row>
    <row r="22">
      <c r="A22" s="10" t="inlineStr">
        <is>
          <t>Selling, general and administrative expenses</t>
        </is>
      </c>
      <c r="B22" s="12" t="n">
        <v>2757447</v>
      </c>
      <c r="C22" s="12" t="n">
        <v>3397218</v>
      </c>
      <c r="D22" s="12" t="n">
        <v>3762379</v>
      </c>
      <c r="E22" s="12" t="n">
        <v>4066556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Balance Sheet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5"/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Accounts receivable, net</t>
        </is>
      </c>
      <c r="B7" s="12" t="n">
        <v>132906</v>
      </c>
      <c r="C7" s="12" t="n">
        <v>124769</v>
      </c>
      <c r="D7" s="12" t="n">
        <v>120173</v>
      </c>
      <c r="E7" s="12" t="n">
        <v>190657</v>
      </c>
    </row>
    <row r="8">
      <c r="A8" s="10" t="inlineStr">
        <is>
          <t>Cash and cash equivalents</t>
        </is>
      </c>
      <c r="B8" s="12" t="n">
        <v>1154867</v>
      </c>
      <c r="C8" s="12" t="n">
        <v>2243971</v>
      </c>
      <c r="D8" s="12" t="n">
        <v>1984336</v>
      </c>
      <c r="E8" s="12" t="n">
        <v>1807202</v>
      </c>
    </row>
    <row r="9">
      <c r="A9" s="10" t="inlineStr">
        <is>
          <t>Inventories</t>
        </is>
      </c>
      <c r="B9" s="12" t="n">
        <v>1447367</v>
      </c>
      <c r="C9" s="12" t="n">
        <v>1323602</v>
      </c>
      <c r="D9" s="12" t="n">
        <v>1442081</v>
      </c>
      <c r="E9" s="12" t="n">
        <v>1700753</v>
      </c>
    </row>
    <row r="10">
      <c r="A10" s="10" t="inlineStr">
        <is>
          <t>Prepaid and receivable income taxes</t>
        </is>
      </c>
      <c r="B10" s="12" t="n">
        <v>185641</v>
      </c>
      <c r="C10" s="12" t="n">
        <v>183733</v>
      </c>
      <c r="D10" s="12" t="n">
        <v>182253</v>
      </c>
      <c r="E10" s="12" t="n">
        <v>352469</v>
      </c>
    </row>
    <row r="11">
      <c r="A11" s="10" t="inlineStr">
        <is>
          <t>Prepaid expenses and other current assets</t>
        </is>
      </c>
      <c r="B11" s="12" t="n">
        <v>238672</v>
      </c>
      <c r="C11" s="12" t="n">
        <v>184502</v>
      </c>
      <c r="D11" s="12" t="n">
        <v>251459</v>
      </c>
      <c r="E11" s="12" t="n">
        <v>211620</v>
      </c>
    </row>
    <row r="12">
      <c r="A12" s="10" t="inlineStr">
        <is>
          <t>Total current assets</t>
        </is>
      </c>
      <c r="B12" s="12" t="n">
        <v>3159453</v>
      </c>
      <c r="C12" s="12" t="n">
        <v>4060577</v>
      </c>
      <c r="D12" s="12" t="n">
        <v>3980302</v>
      </c>
      <c r="E12" s="12" t="n">
        <v>4262701</v>
      </c>
    </row>
    <row r="13">
      <c r="A13" s="10" t="inlineStr">
        <is>
          <t>Accounts payable</t>
        </is>
      </c>
      <c r="B13" s="12" t="n">
        <v>172732</v>
      </c>
      <c r="C13" s="12" t="n">
        <v>348441</v>
      </c>
      <c r="D13" s="12" t="n">
        <v>271406</v>
      </c>
      <c r="E13" s="12" t="n">
        <v>331421</v>
      </c>
    </row>
    <row r="14">
      <c r="A14" s="10" t="inlineStr">
        <is>
          <t>Accrued compensation and related expenses</t>
        </is>
      </c>
      <c r="B14" s="12" t="n">
        <v>248167</v>
      </c>
      <c r="C14" s="12" t="n">
        <v>326110</v>
      </c>
      <c r="D14" s="12" t="n">
        <v>204543</v>
      </c>
      <c r="E14" s="12" t="n">
        <v>187887</v>
      </c>
    </row>
    <row r="15">
      <c r="A15" s="10" t="inlineStr">
        <is>
          <t>Accrued liabilities and other</t>
        </is>
      </c>
      <c r="B15" s="12" t="n">
        <v>399223</v>
      </c>
      <c r="C15" s="12" t="n">
        <v>348555</v>
      </c>
      <c r="D15" s="12" t="n">
        <v>559463</v>
      </c>
      <c r="E15" s="12" t="n">
        <v>662982</v>
      </c>
    </row>
    <row r="16">
      <c r="A16" s="10" t="inlineStr">
        <is>
          <t>Current income taxes payable</t>
        </is>
      </c>
      <c r="B16" s="12" t="n">
        <v>174221</v>
      </c>
      <c r="C16" s="12" t="n">
        <v>12098</v>
      </c>
      <c r="D16" s="12" t="n">
        <v>183126</v>
      </c>
      <c r="E16" s="12" t="n">
        <v>43948</v>
      </c>
    </row>
    <row r="17">
      <c r="A17" s="10" t="inlineStr">
        <is>
          <t>Current lease liabilities</t>
        </is>
      </c>
      <c r="B17" s="12" t="n">
        <v>207972</v>
      </c>
      <c r="C17" s="12" t="n">
        <v>249270</v>
      </c>
      <c r="D17" s="12" t="n">
        <v>275154</v>
      </c>
      <c r="E17" s="12" t="n">
        <v>298724</v>
      </c>
    </row>
    <row r="18">
      <c r="A18" s="10" t="inlineStr">
        <is>
          <t>Other current liabilities</t>
        </is>
      </c>
      <c r="B18" s="12" t="n">
        <v>38405</v>
      </c>
      <c r="C18" s="12" t="n">
        <v>40308</v>
      </c>
      <c r="D18" s="12" t="n">
        <v>37586</v>
      </c>
      <c r="E18" s="12" t="n">
        <v>45954</v>
      </c>
    </row>
    <row r="19">
      <c r="A19" s="10" t="inlineStr">
        <is>
          <t>Total current liabilities</t>
        </is>
      </c>
      <c r="B19" s="12" t="n">
        <v>1492198</v>
      </c>
      <c r="C19" s="12" t="n">
        <v>1631261</v>
      </c>
      <c r="D19" s="12" t="n">
        <v>1839630</v>
      </c>
      <c r="E19" s="12" t="n">
        <v>1887548</v>
      </c>
    </row>
    <row r="20">
      <c r="A20" s="10" t="inlineStr">
        <is>
          <t>Unredeemed gift card liability</t>
        </is>
      </c>
      <c r="B20" s="12" t="n">
        <v>251478</v>
      </c>
      <c r="C20" s="12" t="n">
        <v>306479</v>
      </c>
      <c r="D20" s="12" t="n">
        <v>308352</v>
      </c>
      <c r="E20" s="12" t="n">
        <v>316632</v>
      </c>
    </row>
    <row r="21">
      <c r="A21" s="10" t="inlineStr">
        <is>
          <t>Deferred income tax assets</t>
        </is>
      </c>
      <c r="B21" s="12" t="n">
        <v>6402</v>
      </c>
      <c r="C21" s="12" t="n">
        <v>9176</v>
      </c>
      <c r="D21" s="12" t="n">
        <v>17085</v>
      </c>
      <c r="E21" s="12" t="n">
        <v>24037</v>
      </c>
    </row>
    <row r="22">
      <c r="A22" s="10" t="inlineStr">
        <is>
          <t>Goodwill</t>
        </is>
      </c>
      <c r="B22" s="12" t="n">
        <v>24144</v>
      </c>
      <c r="C22" s="12" t="n">
        <v>24083</v>
      </c>
      <c r="D22" s="12" t="n">
        <v>159518</v>
      </c>
      <c r="E22" s="12" t="n">
        <v>184911</v>
      </c>
    </row>
    <row r="23">
      <c r="A23" s="10" t="inlineStr">
        <is>
          <t>Intangible assets, net</t>
        </is>
      </c>
      <c r="B23" s="12" t="n">
        <v>21961</v>
      </c>
      <c r="C23" s="12" t="n">
        <v>0</v>
      </c>
      <c r="D23" s="12" t="n">
        <v>11673</v>
      </c>
      <c r="E23" s="12" t="n">
        <v>6283</v>
      </c>
    </row>
    <row r="24">
      <c r="A24" s="10" t="inlineStr">
        <is>
          <t>Other non-current assets</t>
        </is>
      </c>
      <c r="B24" s="12" t="n">
        <v>156045</v>
      </c>
      <c r="C24" s="12" t="n">
        <v>186684</v>
      </c>
      <c r="D24" s="12" t="n">
        <v>237841</v>
      </c>
      <c r="E24" s="12" t="n">
        <v>314910</v>
      </c>
    </row>
    <row r="25">
      <c r="A25" s="10" t="inlineStr">
        <is>
          <t>Property and equipment, net</t>
        </is>
      </c>
      <c r="B25" s="12" t="n">
        <v>1269614</v>
      </c>
      <c r="C25" s="12" t="n">
        <v>1545811</v>
      </c>
      <c r="D25" s="12" t="n">
        <v>1780617</v>
      </c>
      <c r="E25" s="12" t="n">
        <v>2033720</v>
      </c>
    </row>
    <row r="26">
      <c r="A26" s="10" t="inlineStr">
        <is>
          <t>Right-of-use lease assets</t>
        </is>
      </c>
      <c r="B26" s="12" t="n">
        <v>969419</v>
      </c>
      <c r="C26" s="12" t="n">
        <v>1265610</v>
      </c>
      <c r="D26" s="12" t="n">
        <v>1416256</v>
      </c>
      <c r="E26" s="12" t="n">
        <v>1630181</v>
      </c>
    </row>
    <row r="27">
      <c r="A27" s="10" t="inlineStr">
        <is>
          <t>Deferred income tax liabilities</t>
        </is>
      </c>
      <c r="B27" s="12" t="n">
        <v>55084</v>
      </c>
      <c r="C27" s="12" t="n">
        <v>29522</v>
      </c>
      <c r="D27" s="12" t="n">
        <v>98188</v>
      </c>
      <c r="E27" s="12" t="n">
        <v>52278</v>
      </c>
    </row>
    <row r="28">
      <c r="A28" s="10" t="inlineStr">
        <is>
          <t>Non-current income taxes payable</t>
        </is>
      </c>
      <c r="B28" s="12" t="n">
        <v>28555</v>
      </c>
      <c r="C28" s="12" t="n">
        <v>15864</v>
      </c>
      <c r="D28" s="12" t="n">
        <v>0</v>
      </c>
      <c r="E28" s="12" t="n"/>
    </row>
    <row r="29">
      <c r="A29" s="10" t="inlineStr">
        <is>
          <t>Non-current lease liabilities</t>
        </is>
      </c>
      <c r="B29" s="12" t="n">
        <v>862362</v>
      </c>
      <c r="C29" s="12" t="n">
        <v>1154012</v>
      </c>
      <c r="D29" s="12" t="n">
        <v>1300637</v>
      </c>
      <c r="E29" s="12" t="n">
        <v>1499717</v>
      </c>
    </row>
    <row r="30">
      <c r="A30" s="10" t="inlineStr">
        <is>
          <t>Other non-current liabilities</t>
        </is>
      </c>
      <c r="B30" s="12" t="n">
        <v>20040</v>
      </c>
      <c r="C30" s="12" t="n">
        <v>29201</v>
      </c>
      <c r="D30" s="12" t="n">
        <v>40790</v>
      </c>
      <c r="E30" s="12" t="n">
        <v>55360</v>
      </c>
    </row>
    <row r="31">
      <c r="A31" s="10" t="inlineStr">
        <is>
          <t>Accumulated other comprehensive loss</t>
        </is>
      </c>
      <c r="B31" s="12" t="n">
        <v>-252584</v>
      </c>
      <c r="C31" s="12" t="n">
        <v>-264256</v>
      </c>
      <c r="D31" s="12" t="n">
        <v>-424441</v>
      </c>
      <c r="E31" s="12" t="n">
        <v>-230690</v>
      </c>
    </row>
    <row r="32">
      <c r="A32" s="10" t="inlineStr">
        <is>
          <t>Additional paid-in capital</t>
        </is>
      </c>
      <c r="B32" s="12" t="n">
        <v>474645</v>
      </c>
      <c r="C32" s="12" t="n">
        <v>575369</v>
      </c>
      <c r="D32" s="12" t="n">
        <v>638190</v>
      </c>
      <c r="E32" s="12" t="n">
        <v>669392</v>
      </c>
    </row>
    <row r="33">
      <c r="A33" s="10" t="inlineStr">
        <is>
          <t>Common stock</t>
        </is>
      </c>
      <c r="B33" s="12" t="n">
        <v>611</v>
      </c>
      <c r="C33" s="12" t="n">
        <v>606</v>
      </c>
      <c r="D33" s="12" t="n">
        <v>581</v>
      </c>
      <c r="E33" s="12" t="n">
        <v>557</v>
      </c>
    </row>
    <row r="34">
      <c r="A34" s="10" t="inlineStr">
        <is>
          <t>Retained earnings</t>
        </is>
      </c>
      <c r="B34" s="12" t="n">
        <v>2926127</v>
      </c>
      <c r="C34" s="12" t="n">
        <v>3920362</v>
      </c>
      <c r="D34" s="12" t="n">
        <v>4109717</v>
      </c>
      <c r="E34" s="12" t="n">
        <v>4522581</v>
      </c>
    </row>
    <row r="35">
      <c r="A35" s="10" t="inlineStr">
        <is>
          <t>Total stockholders' equity</t>
        </is>
      </c>
      <c r="B35" s="12" t="n">
        <v>3148799</v>
      </c>
      <c r="C35" s="12" t="n">
        <v>4232081</v>
      </c>
      <c r="D35" s="12" t="n">
        <v>4324047</v>
      </c>
      <c r="E35" s="12" t="n">
        <v>4961840</v>
      </c>
    </row>
    <row r="36">
      <c r="A36" s="10" t="inlineStr">
        <is>
          <t>Total assets</t>
        </is>
      </c>
      <c r="B36" s="12" t="n">
        <v>5607038</v>
      </c>
      <c r="C36" s="12" t="n">
        <v>7091941</v>
      </c>
      <c r="D36" s="12" t="n">
        <v>7603292</v>
      </c>
      <c r="E36" s="12" t="n">
        <v>8456743</v>
      </c>
    </row>
    <row r="37">
      <c r="A37" s="10" t="inlineStr">
        <is>
          <t>Total liabilities and stockholders' equity</t>
        </is>
      </c>
      <c r="B37" s="12" t="n">
        <v>5607038</v>
      </c>
      <c r="C37" s="12" t="n">
        <v>7091941</v>
      </c>
      <c r="D37" s="12" t="n">
        <v>7603292</v>
      </c>
      <c r="E37" s="12" t="n">
        <v>8456743</v>
      </c>
    </row>
    <row r="38">
      <c r="A38" s="10" t="inlineStr">
        <is>
          <t>Total liabilities</t>
        </is>
      </c>
      <c r="B38" s="12" t="n">
        <v>2458239</v>
      </c>
      <c r="C38" s="12" t="n">
        <v>2859860</v>
      </c>
      <c r="D38" s="12" t="n">
        <v>3279245</v>
      </c>
      <c r="E38" s="12" t="n">
        <v>3494903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Cash Flow Statement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5"/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Net cash used in financing activities</t>
        </is>
      </c>
      <c r="B7" s="12" t="n">
        <v>-467487</v>
      </c>
      <c r="C7" s="12" t="n">
        <v>-548828</v>
      </c>
      <c r="D7" s="12" t="n">
        <v>-1652508</v>
      </c>
      <c r="E7" s="12" t="n">
        <v>-1208656</v>
      </c>
    </row>
    <row r="8">
      <c r="A8" s="10" t="inlineStr">
        <is>
          <t>Other financing activities</t>
        </is>
      </c>
      <c r="B8" s="12" t="n">
        <v>-32</v>
      </c>
      <c r="C8" s="12" t="n">
        <v>-32</v>
      </c>
      <c r="D8" s="12" t="n">
        <v>-32</v>
      </c>
      <c r="E8" s="12" t="n">
        <v>-11312</v>
      </c>
    </row>
    <row r="9">
      <c r="A9" s="10" t="inlineStr">
        <is>
          <t>Proceeds from settlement of stock-based compensation</t>
        </is>
      </c>
      <c r="B9" s="12" t="n">
        <v>11704</v>
      </c>
      <c r="C9" s="12" t="n">
        <v>42430</v>
      </c>
      <c r="D9" s="12" t="n">
        <v>19813</v>
      </c>
      <c r="E9" s="12" t="n">
        <v>8377</v>
      </c>
    </row>
    <row r="10">
      <c r="A10" s="10" t="inlineStr">
        <is>
          <t>Repurchase of common stock</t>
        </is>
      </c>
      <c r="B10" s="12" t="n">
        <v>-444001</v>
      </c>
      <c r="C10" s="12" t="n">
        <v>-558652</v>
      </c>
      <c r="D10" s="12" t="n">
        <v>-1636879</v>
      </c>
      <c r="E10" s="12" t="n">
        <v>-1178349</v>
      </c>
    </row>
    <row r="11">
      <c r="A11" s="10" t="inlineStr">
        <is>
          <t>Shares withheld related to net share settlement of stock-based compensation</t>
        </is>
      </c>
      <c r="B11" s="12" t="n">
        <v>-35158</v>
      </c>
      <c r="C11" s="12" t="n">
        <v>-32574</v>
      </c>
      <c r="D11" s="12" t="n">
        <v>-35410</v>
      </c>
      <c r="E11" s="12" t="n">
        <v>-27372</v>
      </c>
    </row>
    <row r="12">
      <c r="A12" s="10" t="inlineStr">
        <is>
          <t>Acquisition, net of cash acquired</t>
        </is>
      </c>
      <c r="B12" s="12" t="n">
        <v>0</v>
      </c>
      <c r="C12" s="12" t="n">
        <v>0</v>
      </c>
      <c r="D12" s="12" t="n">
        <v>-154146</v>
      </c>
      <c r="E12" s="12" t="n">
        <v>0</v>
      </c>
    </row>
    <row r="13">
      <c r="A13" s="10" t="inlineStr">
        <is>
          <t>Net cash used in investing activities</t>
        </is>
      </c>
      <c r="B13" s="12" t="n">
        <v>-569937</v>
      </c>
      <c r="C13" s="12" t="n">
        <v>-654132</v>
      </c>
      <c r="D13" s="12" t="n">
        <v>-798174</v>
      </c>
      <c r="E13" s="12" t="n">
        <v>-662118</v>
      </c>
    </row>
    <row r="14">
      <c r="A14" s="10" t="inlineStr">
        <is>
          <t>Other investing activities</t>
        </is>
      </c>
      <c r="B14" s="12" t="n">
        <v>20916</v>
      </c>
      <c r="C14" s="12" t="n">
        <v>-658</v>
      </c>
      <c r="D14" s="12" t="n">
        <v>-5009</v>
      </c>
      <c r="E14" s="12" t="n">
        <v>-8521</v>
      </c>
    </row>
    <row r="15">
      <c r="A15" s="10" t="inlineStr">
        <is>
          <t>Purchase of property and equipment</t>
        </is>
      </c>
      <c r="B15" s="12" t="n">
        <v>-638657</v>
      </c>
      <c r="C15" s="12" t="n">
        <v>-651865</v>
      </c>
      <c r="D15" s="12" t="n">
        <v>-689232</v>
      </c>
      <c r="E15" s="12" t="n">
        <v>-680802</v>
      </c>
    </row>
    <row r="16">
      <c r="A16" s="10" t="inlineStr">
        <is>
          <t>Settlement of net investment hedges</t>
        </is>
      </c>
      <c r="B16" s="12" t="n">
        <v>47804</v>
      </c>
      <c r="C16" s="12" t="n">
        <v>-1609</v>
      </c>
      <c r="D16" s="12" t="n">
        <v>50213</v>
      </c>
      <c r="E16" s="12" t="n">
        <v>27205</v>
      </c>
    </row>
    <row r="17">
      <c r="A17" s="10" t="inlineStr">
        <is>
          <t>Accounts payable</t>
        </is>
      </c>
      <c r="B17" s="12" t="n">
        <v>-107280</v>
      </c>
      <c r="C17" s="12" t="n">
        <v>177367</v>
      </c>
      <c r="D17" s="12" t="n">
        <v>-57044</v>
      </c>
      <c r="E17" s="12" t="n">
        <v>45856</v>
      </c>
    </row>
    <row r="18">
      <c r="A18" s="10" t="inlineStr">
        <is>
          <t>Accounts receivable, net</t>
        </is>
      </c>
      <c r="B18" s="12" t="n">
        <v>-58987</v>
      </c>
      <c r="C18" s="12" t="n">
        <v>6580</v>
      </c>
      <c r="D18" s="12" t="n">
        <v>1626</v>
      </c>
      <c r="E18" s="12" t="n">
        <v>-65755</v>
      </c>
    </row>
    <row r="19">
      <c r="A19" s="10" t="inlineStr">
        <is>
          <t>Accrued compensation and related expenses</t>
        </is>
      </c>
      <c r="B19" s="12" t="n">
        <v>47254</v>
      </c>
      <c r="C19" s="12" t="n">
        <v>70327</v>
      </c>
      <c r="D19" s="12" t="n">
        <v>-112110</v>
      </c>
      <c r="E19" s="12" t="n">
        <v>-24737</v>
      </c>
    </row>
    <row r="20">
      <c r="A20" s="10" t="inlineStr">
        <is>
          <t>Accrued liabilities and other</t>
        </is>
      </c>
      <c r="B20" s="12" t="n">
        <v>65364</v>
      </c>
      <c r="C20" s="12" t="n">
        <v>-71734</v>
      </c>
      <c r="D20" s="12" t="n">
        <v>193139</v>
      </c>
      <c r="E20" s="12" t="n">
        <v>98421</v>
      </c>
    </row>
    <row r="21">
      <c r="A21" s="10" t="inlineStr">
        <is>
          <t>Current and non-current income taxes payable</t>
        </is>
      </c>
      <c r="B21" s="12" t="n">
        <v>35986</v>
      </c>
      <c r="C21" s="12" t="n">
        <v>-173196</v>
      </c>
      <c r="D21" s="12" t="n">
        <v>157205</v>
      </c>
      <c r="E21" s="12" t="n">
        <v>-150496</v>
      </c>
    </row>
    <row r="22">
      <c r="A22" s="10" t="inlineStr">
        <is>
          <t>Deferred income taxes</t>
        </is>
      </c>
      <c r="B22" s="12" t="n">
        <v>3042</v>
      </c>
      <c r="C22" s="12" t="n">
        <v>-28383</v>
      </c>
      <c r="D22" s="12" t="n">
        <v>57451</v>
      </c>
      <c r="E22" s="12" t="n">
        <v>-53379</v>
      </c>
    </row>
    <row r="23">
      <c r="A23" s="10" t="inlineStr">
        <is>
          <t>Depreciation and amortization</t>
        </is>
      </c>
      <c r="B23" s="12" t="n">
        <v>291791</v>
      </c>
      <c r="C23" s="12" t="n">
        <v>379384</v>
      </c>
      <c r="D23" s="12" t="n">
        <v>446524</v>
      </c>
      <c r="E23" s="12" t="n">
        <v>496228</v>
      </c>
    </row>
    <row r="24">
      <c r="A24" s="10" t="inlineStr">
        <is>
          <t>Derecognition of unredeemed gift card liability</t>
        </is>
      </c>
      <c r="B24" s="12" t="n">
        <v>-23337</v>
      </c>
      <c r="C24" s="12" t="n">
        <v>-28547</v>
      </c>
      <c r="D24" s="12" t="n">
        <v>-36231</v>
      </c>
      <c r="E24" s="12" t="n">
        <v>-37766</v>
      </c>
    </row>
    <row r="25">
      <c r="A25" s="10" t="inlineStr">
        <is>
          <t>Inventories</t>
        </is>
      </c>
      <c r="B25" s="12" t="n">
        <v>-573438</v>
      </c>
      <c r="C25" s="12" t="n">
        <v>66584</v>
      </c>
      <c r="D25" s="12" t="n">
        <v>-156085</v>
      </c>
      <c r="E25" s="12" t="n">
        <v>-188710</v>
      </c>
    </row>
    <row r="26">
      <c r="A26" s="10" t="inlineStr">
        <is>
          <t>lululemon Studio obsolescence provision</t>
        </is>
      </c>
      <c r="B26" s="12" t="n">
        <v>62928</v>
      </c>
      <c r="C26" s="12" t="n">
        <v>23709</v>
      </c>
      <c r="D26" s="12" t="n">
        <v>0</v>
      </c>
      <c r="E26" s="12" t="n">
        <v>0</v>
      </c>
    </row>
    <row r="27">
      <c r="A27" s="10" t="inlineStr">
        <is>
          <t>Net cash provided by operating activities</t>
        </is>
      </c>
      <c r="B27" s="12" t="n">
        <v>966463</v>
      </c>
      <c r="C27" s="12" t="n">
        <v>2296164</v>
      </c>
      <c r="D27" s="12" t="n">
        <v>2272713</v>
      </c>
      <c r="E27" s="12" t="n">
        <v>1602477</v>
      </c>
    </row>
    <row r="28">
      <c r="A28" s="10" t="inlineStr">
        <is>
          <t>Net income</t>
        </is>
      </c>
      <c r="B28" s="12" t="n">
        <v>854800</v>
      </c>
      <c r="C28" s="12" t="n">
        <v>1550190</v>
      </c>
      <c r="D28" s="12" t="n">
        <v>1814616</v>
      </c>
      <c r="E28" s="12" t="n">
        <v>1579183</v>
      </c>
    </row>
    <row r="29">
      <c r="A29" s="10" t="inlineStr">
        <is>
          <t>Other current and non-current liabilities</t>
        </is>
      </c>
      <c r="B29" s="12" t="n">
        <v>-2925</v>
      </c>
      <c r="C29" s="12" t="n">
        <v>12230</v>
      </c>
      <c r="D29" s="12" t="n">
        <v>2488</v>
      </c>
      <c r="E29" s="12" t="n">
        <v>20632</v>
      </c>
    </row>
    <row r="30">
      <c r="A30" s="10" t="inlineStr">
        <is>
          <t>Other non-current assets</t>
        </is>
      </c>
      <c r="B30" s="12" t="n">
        <v>-36518</v>
      </c>
      <c r="C30" s="12" t="n">
        <v>-53280</v>
      </c>
      <c r="D30" s="12" t="n">
        <v>-73205</v>
      </c>
      <c r="E30" s="12" t="n">
        <v>-70351</v>
      </c>
    </row>
    <row r="31">
      <c r="A31" s="10" t="inlineStr">
        <is>
          <t>Prepaid and receivable income taxes</t>
        </is>
      </c>
      <c r="B31" s="12" t="n">
        <v>-66714</v>
      </c>
      <c r="C31" s="12" t="n">
        <v>1908</v>
      </c>
      <c r="D31" s="12" t="n">
        <v>-2031</v>
      </c>
      <c r="E31" s="12" t="n">
        <v>-170216</v>
      </c>
    </row>
    <row r="32">
      <c r="A32" s="10" t="inlineStr">
        <is>
          <t>Prepaid expenses and other current assets</t>
        </is>
      </c>
      <c r="B32" s="12" t="n">
        <v>-54833</v>
      </c>
      <c r="C32" s="12" t="n">
        <v>40587</v>
      </c>
      <c r="D32" s="12" t="n">
        <v>-71789</v>
      </c>
      <c r="E32" s="12" t="n">
        <v>47779</v>
      </c>
    </row>
    <row r="33">
      <c r="A33" s="10" t="inlineStr">
        <is>
          <t>Right-of-use lease assets and current and non-current lease liabilities</t>
        </is>
      </c>
      <c r="B33" s="12" t="n">
        <v>23905</v>
      </c>
      <c r="C33" s="12" t="n">
        <v>37535</v>
      </c>
      <c r="D33" s="12" t="n">
        <v>23501</v>
      </c>
      <c r="E33" s="12" t="n">
        <v>6884</v>
      </c>
    </row>
    <row r="34">
      <c r="A34" s="10" t="inlineStr">
        <is>
          <t>Settlement of derivatives not designated in a hedging relationship</t>
        </is>
      </c>
      <c r="B34" s="12" t="n">
        <v>-38649</v>
      </c>
      <c r="C34" s="12" t="n">
        <v>32527</v>
      </c>
      <c r="D34" s="12" t="n">
        <v>-47763</v>
      </c>
      <c r="E34" s="12" t="n">
        <v>-34552</v>
      </c>
    </row>
    <row r="35">
      <c r="A35" s="10" t="inlineStr">
        <is>
          <t>Stock-based compensation expense</t>
        </is>
      </c>
      <c r="B35" s="12" t="n">
        <v>78075</v>
      </c>
      <c r="C35" s="12" t="n">
        <v>93560</v>
      </c>
      <c r="D35" s="12" t="n">
        <v>90011</v>
      </c>
      <c r="E35" s="12" t="n">
        <v>62203</v>
      </c>
    </row>
    <row r="36">
      <c r="A36" s="10" t="inlineStr">
        <is>
          <t>Unredeemed gift card liability</t>
        </is>
      </c>
      <c r="B36" s="12" t="n">
        <v>68266</v>
      </c>
      <c r="C36" s="12" t="n">
        <v>84315</v>
      </c>
      <c r="D36" s="12" t="n">
        <v>42410</v>
      </c>
      <c r="E36" s="12" t="n">
        <v>41253</v>
      </c>
    </row>
    <row r="37">
      <c r="A37" s="10" t="inlineStr">
        <is>
          <t>Cash and cash equivalents, beginning of period</t>
        </is>
      </c>
      <c r="B37" s="12" t="n">
        <v>1259871</v>
      </c>
      <c r="C37" s="12" t="n">
        <v>1154867</v>
      </c>
      <c r="D37" s="12" t="n">
        <v>2243971</v>
      </c>
      <c r="E37" s="12" t="n">
        <v>1984336</v>
      </c>
    </row>
    <row r="38">
      <c r="A38" s="10" t="inlineStr">
        <is>
          <t>Cash and cash equivalents, end of period</t>
        </is>
      </c>
      <c r="B38" s="12" t="n">
        <v>1154867</v>
      </c>
      <c r="C38" s="12" t="n">
        <v>2243971</v>
      </c>
      <c r="D38" s="12" t="n">
        <v>1984336</v>
      </c>
      <c r="E38" s="12" t="n">
        <v>1807202</v>
      </c>
    </row>
    <row r="39">
      <c r="A39" s="10" t="inlineStr">
        <is>
          <t>Effect of foreign currency exchange rate changes on cash and cash equivalents</t>
        </is>
      </c>
      <c r="B39" s="12" t="n">
        <v>-34043</v>
      </c>
      <c r="C39" s="12" t="n">
        <v>-4100</v>
      </c>
      <c r="D39" s="12" t="n">
        <v>-81666</v>
      </c>
      <c r="E39" s="12" t="n">
        <v>91163</v>
      </c>
    </row>
    <row r="40">
      <c r="A40" s="10" t="inlineStr">
        <is>
          <t>Increase (decrease) in cash and cash equivalents</t>
        </is>
      </c>
      <c r="B40" s="12" t="n">
        <v>-105004</v>
      </c>
      <c r="C40" s="12" t="n">
        <v>1089104</v>
      </c>
      <c r="D40" s="12" t="n">
        <v>-259635</v>
      </c>
      <c r="E40" s="12" t="n">
        <v>-177134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10" t="inlineStr">
        <is>
          <t>lululemon athletica inc. (LULU) — Condensed Financials</t>
        </is>
      </c>
    </row>
    <row r="2"/>
    <row r="3"/>
    <row r="4">
      <c r="A4" s="10" t="inlineStr">
        <is>
          <t>BALANCE SHEET CLASSIFICATION</t>
        </is>
      </c>
    </row>
    <row r="5">
      <c r="A5" s="10" t="inlineStr">
        <is>
          <t>Line Item</t>
        </is>
      </c>
      <c r="B5" s="10" t="inlineStr">
        <is>
          <t>Classification</t>
        </is>
      </c>
      <c r="C5" s="11" t="n">
        <v>44955</v>
      </c>
      <c r="D5" s="11" t="n">
        <v>45319</v>
      </c>
      <c r="E5" s="11" t="n">
        <v>45690</v>
      </c>
      <c r="F5" s="11" t="n">
        <v>46054</v>
      </c>
      <c r="G5" s="10" t="inlineStr">
        <is>
          <t>Notes</t>
        </is>
      </c>
    </row>
    <row r="6">
      <c r="A6" s="10" t="inlineStr">
        <is>
          <t>Accounts receivable, net</t>
        </is>
      </c>
      <c r="B6" s="10" t="inlineStr">
        <is>
          <t>Operating Working Capital Asset</t>
        </is>
      </c>
      <c r="C6" s="12" t="n">
        <v>132906</v>
      </c>
      <c r="D6" s="12" t="n">
        <v>124769</v>
      </c>
      <c r="E6" s="12" t="n">
        <v>120173</v>
      </c>
      <c r="F6" s="12" t="n">
        <v>190657</v>
      </c>
    </row>
    <row r="7">
      <c r="A7" s="10" t="inlineStr">
        <is>
          <t>Cash and cash equivalents</t>
        </is>
      </c>
      <c r="B7" s="10" t="inlineStr">
        <is>
          <t>Financial Asset</t>
        </is>
      </c>
      <c r="C7" s="12" t="n">
        <v>1154867</v>
      </c>
      <c r="D7" s="12" t="n">
        <v>2243971</v>
      </c>
      <c r="E7" s="12" t="n">
        <v>1984336</v>
      </c>
      <c r="F7" s="12" t="n">
        <v>1807202</v>
      </c>
    </row>
    <row r="8">
      <c r="A8" s="10" t="inlineStr">
        <is>
          <t>Inventories</t>
        </is>
      </c>
      <c r="B8" s="10" t="inlineStr">
        <is>
          <t>Operating Working Capital Asset</t>
        </is>
      </c>
      <c r="C8" s="12" t="n">
        <v>1447367</v>
      </c>
      <c r="D8" s="12" t="n">
        <v>1323602</v>
      </c>
      <c r="E8" s="12" t="n">
        <v>1442081</v>
      </c>
      <c r="F8" s="12" t="n">
        <v>1700753</v>
      </c>
    </row>
    <row r="9">
      <c r="A9" s="10" t="inlineStr">
        <is>
          <t>Prepaid and receivable income taxes</t>
        </is>
      </c>
      <c r="B9" s="10" t="inlineStr">
        <is>
          <t>Operating Working Capital Asset</t>
        </is>
      </c>
      <c r="C9" s="12" t="n">
        <v>185641</v>
      </c>
      <c r="D9" s="12" t="n">
        <v>183733</v>
      </c>
      <c r="E9" s="12" t="n">
        <v>182253</v>
      </c>
      <c r="F9" s="12" t="n">
        <v>352469</v>
      </c>
    </row>
    <row r="10">
      <c r="A10" s="10" t="inlineStr">
        <is>
          <t>Prepaid expenses and other current assets</t>
        </is>
      </c>
      <c r="B10" s="10" t="inlineStr">
        <is>
          <t>Operating Working Capital Asset</t>
        </is>
      </c>
      <c r="C10" s="12" t="n">
        <v>238672</v>
      </c>
      <c r="D10" s="12" t="n">
        <v>184502</v>
      </c>
      <c r="E10" s="12" t="n">
        <v>251459</v>
      </c>
      <c r="F10" s="12" t="n">
        <v>211620</v>
      </c>
    </row>
    <row r="11">
      <c r="A11" s="10" t="inlineStr">
        <is>
          <t>Accounts payable</t>
        </is>
      </c>
      <c r="B11" s="10" t="inlineStr">
        <is>
          <t>Operating Working Capital Liability</t>
        </is>
      </c>
      <c r="C11" s="12" t="n">
        <v>172732</v>
      </c>
      <c r="D11" s="12" t="n">
        <v>348441</v>
      </c>
      <c r="E11" s="12" t="n">
        <v>271406</v>
      </c>
      <c r="F11" s="12" t="n">
        <v>331421</v>
      </c>
    </row>
    <row r="12">
      <c r="A12" s="10" t="inlineStr">
        <is>
          <t>Accrued compensation and related expenses</t>
        </is>
      </c>
      <c r="B12" s="10" t="inlineStr">
        <is>
          <t>Operating Working Capital Liability</t>
        </is>
      </c>
      <c r="C12" s="12" t="n">
        <v>248167</v>
      </c>
      <c r="D12" s="12" t="n">
        <v>326110</v>
      </c>
      <c r="E12" s="12" t="n">
        <v>204543</v>
      </c>
      <c r="F12" s="12" t="n">
        <v>187887</v>
      </c>
    </row>
    <row r="13">
      <c r="A13" s="10" t="inlineStr">
        <is>
          <t>Accrued liabilities and other</t>
        </is>
      </c>
      <c r="B13" s="10" t="inlineStr">
        <is>
          <t>Operating Working Capital Liability</t>
        </is>
      </c>
      <c r="C13" s="12" t="n">
        <v>399223</v>
      </c>
      <c r="D13" s="12" t="n">
        <v>348555</v>
      </c>
      <c r="E13" s="12" t="n">
        <v>559463</v>
      </c>
      <c r="F13" s="12" t="n">
        <v>662982</v>
      </c>
    </row>
    <row r="14">
      <c r="A14" s="10" t="inlineStr">
        <is>
          <t>Current income taxes payable</t>
        </is>
      </c>
      <c r="B14" s="10" t="inlineStr">
        <is>
          <t>Operating Working Capital Liability</t>
        </is>
      </c>
      <c r="C14" s="12" t="n">
        <v>174221</v>
      </c>
      <c r="D14" s="12" t="n">
        <v>12098</v>
      </c>
      <c r="E14" s="12" t="n">
        <v>183126</v>
      </c>
      <c r="F14" s="12" t="n">
        <v>43948</v>
      </c>
    </row>
    <row r="15">
      <c r="A15" s="10" t="inlineStr">
        <is>
          <t>Current lease liabilities</t>
        </is>
      </c>
      <c r="B15" s="10">
        <f>IF('Accounting Judgment'!$F$5="","Operating Long-Term Liability",'Accounting Judgment'!$F$5)</f>
        <v/>
      </c>
      <c r="C15" s="12" t="n">
        <v>207972</v>
      </c>
      <c r="D15" s="12" t="n">
        <v>249270</v>
      </c>
      <c r="E15" s="12" t="n">
        <v>275154</v>
      </c>
      <c r="F15" s="12" t="n">
        <v>298724</v>
      </c>
      <c r="G15" s="10" t="inlineStr">
        <is>
          <t>⚠ Review: Lease liability concept — operating vs financial judgment</t>
        </is>
      </c>
    </row>
    <row r="16">
      <c r="A16" s="10" t="inlineStr">
        <is>
          <t>Other current liabilities</t>
        </is>
      </c>
      <c r="B16" s="10">
        <f>IF('Accounting Judgment'!$F$6="","Operating Working Capital Liability",'Accounting Judgment'!$F$6)</f>
        <v/>
      </c>
      <c r="C16" s="12" t="n">
        <v>38405</v>
      </c>
      <c r="D16" s="12" t="n">
        <v>40308</v>
      </c>
      <c r="E16" s="12" t="n">
        <v>37586</v>
      </c>
      <c r="F16" s="12" t="n">
        <v>45954</v>
      </c>
      <c r="G16" s="10" t="inlineStr">
        <is>
          <t>⚠ Review: Explicit residual balance-sheet concept identifies side/horizon but not economic nature — operating vs financial judgment</t>
        </is>
      </c>
    </row>
    <row r="17">
      <c r="A17" s="10" t="inlineStr">
        <is>
          <t>Unredeemed gift card liability</t>
        </is>
      </c>
      <c r="B17" s="10" t="inlineStr">
        <is>
          <t>Operating Working Capital Liability</t>
        </is>
      </c>
      <c r="C17" s="12" t="n">
        <v>251478</v>
      </c>
      <c r="D17" s="12" t="n">
        <v>306479</v>
      </c>
      <c r="E17" s="12" t="n">
        <v>308352</v>
      </c>
      <c r="F17" s="12" t="n">
        <v>316632</v>
      </c>
    </row>
    <row r="18">
      <c r="A18" s="10" t="inlineStr">
        <is>
          <t>Deferred income tax assets</t>
        </is>
      </c>
      <c r="B18" s="10" t="inlineStr">
        <is>
          <t>Operating Long-Term Asset</t>
        </is>
      </c>
      <c r="C18" s="12" t="n">
        <v>6402</v>
      </c>
      <c r="D18" s="12" t="n">
        <v>9176</v>
      </c>
      <c r="E18" s="12" t="n">
        <v>17085</v>
      </c>
      <c r="F18" s="12" t="n">
        <v>24037</v>
      </c>
      <c r="G18" s="10" t="inlineStr">
        <is>
          <t>⚠ Review: Deferred tax asset concept — operating vs exclude judgment</t>
        </is>
      </c>
    </row>
    <row r="19">
      <c r="A19" s="10" t="inlineStr">
        <is>
          <t>Goodwill</t>
        </is>
      </c>
      <c r="B19" s="10" t="inlineStr">
        <is>
          <t>Operating Long-Term Asset</t>
        </is>
      </c>
      <c r="C19" s="12" t="n">
        <v>24144</v>
      </c>
      <c r="D19" s="12" t="n">
        <v>24083</v>
      </c>
      <c r="E19" s="12" t="n">
        <v>159518</v>
      </c>
      <c r="F19" s="12" t="n">
        <v>184911</v>
      </c>
    </row>
    <row r="20">
      <c r="A20" s="10" t="inlineStr">
        <is>
          <t>Intangible assets, net</t>
        </is>
      </c>
      <c r="B20" s="10" t="inlineStr">
        <is>
          <t>Operating Long-Term Asset</t>
        </is>
      </c>
      <c r="C20" s="12" t="n">
        <v>21961</v>
      </c>
      <c r="D20" s="12" t="n">
        <v>0</v>
      </c>
      <c r="E20" s="12" t="n">
        <v>11673</v>
      </c>
      <c r="F20" s="12" t="n">
        <v>6283</v>
      </c>
    </row>
    <row r="21">
      <c r="A21" s="10" t="inlineStr">
        <is>
          <t>Other non-current assets</t>
        </is>
      </c>
      <c r="B21" s="10">
        <f>IF('Accounting Judgment'!$F$7="","Operating Long-Term Asset",'Accounting Judgment'!$F$7)</f>
        <v/>
      </c>
      <c r="C21" s="12" t="n">
        <v>156045</v>
      </c>
      <c r="D21" s="12" t="n">
        <v>186684</v>
      </c>
      <c r="E21" s="12" t="n">
        <v>237841</v>
      </c>
      <c r="F21" s="12" t="n">
        <v>314910</v>
      </c>
      <c r="G21" s="10" t="inlineStr">
        <is>
          <t>⚠ Review: Explicit residual balance-sheet concept identifies side/horizon but not economic nature — operating vs financial judgment</t>
        </is>
      </c>
    </row>
    <row r="22">
      <c r="A22" s="10" t="inlineStr">
        <is>
          <t>Property and equipment, net</t>
        </is>
      </c>
      <c r="B22" s="10" t="inlineStr">
        <is>
          <t>Operating Long-Term Asset</t>
        </is>
      </c>
      <c r="C22" s="12" t="n">
        <v>1269614</v>
      </c>
      <c r="D22" s="12" t="n">
        <v>1545811</v>
      </c>
      <c r="E22" s="12" t="n">
        <v>1780617</v>
      </c>
      <c r="F22" s="12" t="n">
        <v>2033720</v>
      </c>
    </row>
    <row r="23">
      <c r="A23" s="10" t="inlineStr">
        <is>
          <t>Right-of-use lease assets</t>
        </is>
      </c>
      <c r="B23" s="10" t="inlineStr">
        <is>
          <t>Operating Long-Term Asset</t>
        </is>
      </c>
      <c r="C23" s="12" t="n">
        <v>969419</v>
      </c>
      <c r="D23" s="12" t="n">
        <v>1265610</v>
      </c>
      <c r="E23" s="12" t="n">
        <v>1416256</v>
      </c>
      <c r="F23" s="12" t="n">
        <v>1630181</v>
      </c>
      <c r="G23" s="10" t="inlineStr">
        <is>
          <t>⚠ Review: Lease/ROU asset concept — operating vs financial judgment</t>
        </is>
      </c>
    </row>
    <row r="24">
      <c r="A24" s="10" t="inlineStr">
        <is>
          <t>Deferred income tax liabilities</t>
        </is>
      </c>
      <c r="B24" s="10" t="inlineStr">
        <is>
          <t>Operating Long-Term Liability</t>
        </is>
      </c>
      <c r="C24" s="12" t="n">
        <v>55084</v>
      </c>
      <c r="D24" s="12" t="n">
        <v>29522</v>
      </c>
      <c r="E24" s="12" t="n">
        <v>98188</v>
      </c>
      <c r="F24" s="12" t="n">
        <v>52278</v>
      </c>
      <c r="G24" s="10" t="inlineStr">
        <is>
          <t>⚠ Review: Deferred tax liability concept — operating vs exclude judgment</t>
        </is>
      </c>
    </row>
    <row r="25">
      <c r="A25" s="10" t="inlineStr">
        <is>
          <t>Non-current income taxes payable</t>
        </is>
      </c>
      <c r="B25" s="10" t="inlineStr">
        <is>
          <t>Operating Working Capital Liability</t>
        </is>
      </c>
      <c r="C25" s="12" t="n">
        <v>28555</v>
      </c>
      <c r="D25" s="12" t="n">
        <v>15864</v>
      </c>
      <c r="E25" s="12" t="n">
        <v>0</v>
      </c>
      <c r="F25" s="12" t="n"/>
    </row>
    <row r="26">
      <c r="A26" s="10" t="inlineStr">
        <is>
          <t>Non-current lease liabilities</t>
        </is>
      </c>
      <c r="B26" s="10">
        <f>IF('Accounting Judgment'!$F$8="","Operating Long-Term Liability",'Accounting Judgment'!$F$8)</f>
        <v/>
      </c>
      <c r="C26" s="12" t="n">
        <v>862362</v>
      </c>
      <c r="D26" s="12" t="n">
        <v>1154012</v>
      </c>
      <c r="E26" s="12" t="n">
        <v>1300637</v>
      </c>
      <c r="F26" s="12" t="n">
        <v>1499717</v>
      </c>
      <c r="G26" s="10" t="inlineStr">
        <is>
          <t>⚠ Review: Lease liability concept — operating vs financial judgment</t>
        </is>
      </c>
    </row>
    <row r="27">
      <c r="A27" s="10" t="inlineStr">
        <is>
          <t>Other non-current liabilities</t>
        </is>
      </c>
      <c r="B27" s="10">
        <f>IF('Accounting Judgment'!$F$9="","Operating Long-Term Liability",'Accounting Judgment'!$F$9)</f>
        <v/>
      </c>
      <c r="C27" s="12" t="n">
        <v>20040</v>
      </c>
      <c r="D27" s="12" t="n">
        <v>29201</v>
      </c>
      <c r="E27" s="12" t="n">
        <v>40790</v>
      </c>
      <c r="F27" s="12" t="n">
        <v>55360</v>
      </c>
      <c r="G27" s="10" t="inlineStr">
        <is>
          <t>⚠ Review: Explicit residual balance-sheet concept identifies side/horizon but not economic nature — operating vs financial judgment</t>
        </is>
      </c>
    </row>
    <row r="28">
      <c r="A28" s="10" t="inlineStr">
        <is>
          <t>Accumulated other comprehensive loss</t>
        </is>
      </c>
      <c r="B28" s="10" t="inlineStr">
        <is>
          <t>Equity</t>
        </is>
      </c>
      <c r="C28" s="12" t="n">
        <v>-252584</v>
      </c>
      <c r="D28" s="12" t="n">
        <v>-264256</v>
      </c>
      <c r="E28" s="12" t="n">
        <v>-424441</v>
      </c>
      <c r="F28" s="12" t="n">
        <v>-230690</v>
      </c>
    </row>
    <row r="29">
      <c r="A29" s="10" t="inlineStr">
        <is>
          <t>Additional paid-in capital</t>
        </is>
      </c>
      <c r="B29" s="10" t="inlineStr">
        <is>
          <t>Equity</t>
        </is>
      </c>
      <c r="C29" s="12" t="n">
        <v>474645</v>
      </c>
      <c r="D29" s="12" t="n">
        <v>575369</v>
      </c>
      <c r="E29" s="12" t="n">
        <v>638190</v>
      </c>
      <c r="F29" s="12" t="n">
        <v>669392</v>
      </c>
    </row>
    <row r="30">
      <c r="A30" s="10" t="inlineStr">
        <is>
          <t>Common stock</t>
        </is>
      </c>
      <c r="B30" s="10" t="inlineStr">
        <is>
          <t>Equity</t>
        </is>
      </c>
      <c r="C30" s="12" t="n">
        <v>611</v>
      </c>
      <c r="D30" s="12" t="n">
        <v>606</v>
      </c>
      <c r="E30" s="12" t="n">
        <v>581</v>
      </c>
      <c r="F30" s="12" t="n">
        <v>557</v>
      </c>
    </row>
    <row r="31">
      <c r="A31" s="10" t="inlineStr">
        <is>
          <t>Retained earnings</t>
        </is>
      </c>
      <c r="B31" s="10" t="inlineStr">
        <is>
          <t>Equity</t>
        </is>
      </c>
      <c r="C31" s="12" t="n">
        <v>2926127</v>
      </c>
      <c r="D31" s="12" t="n">
        <v>3920362</v>
      </c>
      <c r="E31" s="12" t="n">
        <v>4109717</v>
      </c>
      <c r="F31" s="12" t="n">
        <v>4522581</v>
      </c>
    </row>
    <row r="32"/>
    <row r="33">
      <c r="A33" s="10" t="inlineStr">
        <is>
          <t>CONDENSED INCOME STATEMENT</t>
        </is>
      </c>
      <c r="B33" s="11" t="n">
        <v>44955</v>
      </c>
      <c r="C33" s="11" t="n">
        <v>45319</v>
      </c>
      <c r="D33" s="11" t="n">
        <v>45690</v>
      </c>
      <c r="E33" s="11" t="n">
        <v>46054</v>
      </c>
    </row>
    <row r="34">
      <c r="A34" s="10" t="inlineStr">
        <is>
          <t>Revenue</t>
        </is>
      </c>
      <c r="B34" s="13">
        <f>'Income Statement'!B19</f>
        <v/>
      </c>
      <c r="C34" s="13">
        <f>'Income Statement'!C19</f>
        <v/>
      </c>
      <c r="D34" s="13">
        <f>'Income Statement'!D19</f>
        <v/>
      </c>
      <c r="E34" s="13">
        <f>'Income Statement'!E19</f>
        <v/>
      </c>
    </row>
    <row r="35">
      <c r="A35" s="10" t="inlineStr">
        <is>
          <t>Net Income</t>
        </is>
      </c>
      <c r="B35" s="13">
        <f>'Income Statement'!B18</f>
        <v/>
      </c>
      <c r="C35" s="13">
        <f>'Income Statement'!C18</f>
        <v/>
      </c>
      <c r="D35" s="13">
        <f>'Income Statement'!D18</f>
        <v/>
      </c>
      <c r="E35" s="13">
        <f>'Income Statement'!E18</f>
        <v/>
      </c>
    </row>
    <row r="36">
      <c r="A36" s="10" t="inlineStr">
        <is>
          <t>Pretax Income</t>
        </is>
      </c>
      <c r="B36" s="10">
        <f>'Income Statement'!B15</f>
        <v/>
      </c>
      <c r="C36" s="10">
        <f>'Income Statement'!C15</f>
        <v/>
      </c>
      <c r="D36" s="10">
        <f>'Income Statement'!D15</f>
        <v/>
      </c>
      <c r="E36" s="10">
        <f>'Income Statement'!E15</f>
        <v/>
      </c>
    </row>
    <row r="37">
      <c r="A37" s="10" t="inlineStr">
        <is>
          <t>Tax Expense</t>
        </is>
      </c>
      <c r="B37" s="10">
        <f>'Income Statement'!B17</f>
        <v/>
      </c>
      <c r="C37" s="10">
        <f>'Income Statement'!C17</f>
        <v/>
      </c>
      <c r="D37" s="10">
        <f>'Income Statement'!D17</f>
        <v/>
      </c>
      <c r="E37" s="10">
        <f>'Income Statement'!E17</f>
        <v/>
      </c>
    </row>
    <row r="38">
      <c r="A38" s="10" t="inlineStr">
        <is>
          <t>Effective Tax Rate</t>
        </is>
      </c>
      <c r="B38" s="14">
        <f>IF(B36=0,NA(),-B37/B36)</f>
        <v/>
      </c>
      <c r="C38" s="14">
        <f>IF(C36=0,NA(),-C37/C36)</f>
        <v/>
      </c>
      <c r="D38" s="14">
        <f>IF(D36=0,NA(),-D37/D36)</f>
        <v/>
      </c>
      <c r="E38" s="14">
        <f>IF(E36=0,NA(),-E37/E36)</f>
        <v/>
      </c>
    </row>
    <row r="39">
      <c r="A39" s="10" t="inlineStr">
        <is>
          <t>Net Interest</t>
        </is>
      </c>
      <c r="B39" s="10" t="inlineStr">
        <is>
          <t>Source unavailable</t>
        </is>
      </c>
      <c r="C39" s="10" t="inlineStr">
        <is>
          <t>Source unavailable</t>
        </is>
      </c>
      <c r="D39" s="10" t="inlineStr">
        <is>
          <t>Source unavailable</t>
        </is>
      </c>
      <c r="E39" s="10" t="inlineStr">
        <is>
          <t>Source unavailable</t>
        </is>
      </c>
    </row>
    <row r="40">
      <c r="A40" s="10" t="inlineStr">
        <is>
          <t>Net Interest After Tax</t>
        </is>
      </c>
      <c r="B40" s="10" t="inlineStr">
        <is>
          <t>Source unavailable</t>
        </is>
      </c>
      <c r="C40" s="10" t="inlineStr">
        <is>
          <t>Source unavailable</t>
        </is>
      </c>
      <c r="D40" s="10" t="inlineStr">
        <is>
          <t>Source unavailable</t>
        </is>
      </c>
      <c r="E40" s="10" t="inlineStr">
        <is>
          <t>Source unavailable</t>
        </is>
      </c>
    </row>
    <row r="41">
      <c r="A41" s="10" t="inlineStr">
        <is>
          <t>NOPAT</t>
        </is>
      </c>
      <c r="B41" s="10" t="inlineStr">
        <is>
          <t>Source unavailable</t>
        </is>
      </c>
      <c r="C41" s="10" t="inlineStr">
        <is>
          <t>Source unavailable</t>
        </is>
      </c>
      <c r="D41" s="10" t="inlineStr">
        <is>
          <t>Source unavailable</t>
        </is>
      </c>
      <c r="E41" s="10" t="inlineStr">
        <is>
          <t>Source unavailable</t>
        </is>
      </c>
    </row>
    <row r="42"/>
    <row r="43">
      <c r="A43" s="10" t="inlineStr">
        <is>
          <t>CONDENSED BALANCE SHEET</t>
        </is>
      </c>
    </row>
    <row r="44">
      <c r="A44" s="10" t="inlineStr">
        <is>
          <t>Operating Working Capital Assets</t>
        </is>
      </c>
      <c r="B44" s="15">
        <f>SUMIF($B$6:$B$31,"Operating Working Capital Asset",C$6:C$31)</f>
        <v/>
      </c>
      <c r="C44" s="15">
        <f>SUMIF($B$6:$B$31,"Operating Working Capital Asset",D$6:D$31)</f>
        <v/>
      </c>
      <c r="D44" s="15">
        <f>SUMIF($B$6:$B$31,"Operating Working Capital Asset",E$6:E$31)</f>
        <v/>
      </c>
      <c r="E44" s="15">
        <f>SUMIF($B$6:$B$31,"Operating Working Capital Asset",F$6:F$31)</f>
        <v/>
      </c>
    </row>
    <row r="45">
      <c r="A45" s="10" t="inlineStr">
        <is>
          <t>Operating Working Capital Liabilities</t>
        </is>
      </c>
      <c r="B45" s="15">
        <f>SUMIF($B$6:$B$31,"Operating Working Capital Liability",C$6:C$31)</f>
        <v/>
      </c>
      <c r="C45" s="15">
        <f>SUMIF($B$6:$B$31,"Operating Working Capital Liability",D$6:D$31)</f>
        <v/>
      </c>
      <c r="D45" s="15">
        <f>SUMIF($B$6:$B$31,"Operating Working Capital Liability",E$6:E$31)</f>
        <v/>
      </c>
      <c r="E45" s="15">
        <f>SUMIF($B$6:$B$31,"Operating Working Capital Liability",F$6:F$31)</f>
        <v/>
      </c>
    </row>
    <row r="46">
      <c r="A46" s="10" t="inlineStr">
        <is>
          <t>NOWC</t>
        </is>
      </c>
      <c r="B46" s="15">
        <f>B44-B45</f>
        <v/>
      </c>
      <c r="C46" s="15">
        <f>C44-C45</f>
        <v/>
      </c>
      <c r="D46" s="15">
        <f>D44-D45</f>
        <v/>
      </c>
      <c r="E46" s="15">
        <f>E44-E45</f>
        <v/>
      </c>
    </row>
    <row r="47">
      <c r="A47" s="10" t="inlineStr">
        <is>
          <t>Operating Long-Term Assets</t>
        </is>
      </c>
      <c r="B47" s="15">
        <f>SUMIF($B$6:$B$31,"Operating Long-Term Asset",C$6:C$31)</f>
        <v/>
      </c>
      <c r="C47" s="15">
        <f>SUMIF($B$6:$B$31,"Operating Long-Term Asset",D$6:D$31)</f>
        <v/>
      </c>
      <c r="D47" s="15">
        <f>SUMIF($B$6:$B$31,"Operating Long-Term Asset",E$6:E$31)</f>
        <v/>
      </c>
      <c r="E47" s="15">
        <f>SUMIF($B$6:$B$31,"Operating Long-Term Asset",F$6:F$31)</f>
        <v/>
      </c>
    </row>
    <row r="48">
      <c r="A48" s="10" t="inlineStr">
        <is>
          <t>Operating Long-Term Liabilities</t>
        </is>
      </c>
      <c r="B48" s="15">
        <f>SUMIF($B$6:$B$31,"Operating Long-Term Liability",C$6:C$31)</f>
        <v/>
      </c>
      <c r="C48" s="15">
        <f>SUMIF($B$6:$B$31,"Operating Long-Term Liability",D$6:D$31)</f>
        <v/>
      </c>
      <c r="D48" s="15">
        <f>SUMIF($B$6:$B$31,"Operating Long-Term Liability",E$6:E$31)</f>
        <v/>
      </c>
      <c r="E48" s="15">
        <f>SUMIF($B$6:$B$31,"Operating Long-Term Liability",F$6:F$31)</f>
        <v/>
      </c>
    </row>
    <row r="49">
      <c r="A49" s="10" t="inlineStr">
        <is>
          <t>NOLA</t>
        </is>
      </c>
      <c r="B49" s="15">
        <f>B47-B48</f>
        <v/>
      </c>
      <c r="C49" s="15">
        <f>C47-C48</f>
        <v/>
      </c>
      <c r="D49" s="15">
        <f>D47-D48</f>
        <v/>
      </c>
      <c r="E49" s="15">
        <f>E47-E48</f>
        <v/>
      </c>
    </row>
    <row r="50">
      <c r="A50" s="10" t="inlineStr">
        <is>
          <t>NOA</t>
        </is>
      </c>
      <c r="B50" s="15">
        <f>B46+B49</f>
        <v/>
      </c>
      <c r="C50" s="15">
        <f>C46+C49</f>
        <v/>
      </c>
      <c r="D50" s="15">
        <f>D46+D49</f>
        <v/>
      </c>
      <c r="E50" s="15">
        <f>E46+E49</f>
        <v/>
      </c>
    </row>
    <row r="51">
      <c r="A51" s="10" t="inlineStr">
        <is>
          <t>Financial Assets</t>
        </is>
      </c>
      <c r="B51" s="15">
        <f>SUMIF($B$6:$B$31,"Financial Asset",C$6:C$31)</f>
        <v/>
      </c>
      <c r="C51" s="15">
        <f>SUMIF($B$6:$B$31,"Financial Asset",D$6:D$31)</f>
        <v/>
      </c>
      <c r="D51" s="15">
        <f>SUMIF($B$6:$B$31,"Financial Asset",E$6:E$31)</f>
        <v/>
      </c>
      <c r="E51" s="15">
        <f>SUMIF($B$6:$B$31,"Financial Asset",F$6:F$31)</f>
        <v/>
      </c>
    </row>
    <row r="52">
      <c r="A52" s="10" t="inlineStr">
        <is>
          <t>Financial Liabilities</t>
        </is>
      </c>
      <c r="B52" s="15">
        <f>SUMIF($B$6:$B$31,"Financial Liability",C$6:C$31)</f>
        <v/>
      </c>
      <c r="C52" s="15">
        <f>SUMIF($B$6:$B$31,"Financial Liability",D$6:D$31)</f>
        <v/>
      </c>
      <c r="D52" s="15">
        <f>SUMIF($B$6:$B$31,"Financial Liability",E$6:E$31)</f>
        <v/>
      </c>
      <c r="E52" s="15">
        <f>SUMIF($B$6:$B$31,"Financial Liability",F$6:F$31)</f>
        <v/>
      </c>
    </row>
    <row r="53">
      <c r="A53" s="10" t="inlineStr">
        <is>
          <t>Net Debt</t>
        </is>
      </c>
      <c r="B53" s="15">
        <f>B52-B51</f>
        <v/>
      </c>
      <c r="C53" s="15">
        <f>C52-C51</f>
        <v/>
      </c>
      <c r="D53" s="15">
        <f>D52-D51</f>
        <v/>
      </c>
      <c r="E53" s="15">
        <f>E52-E51</f>
        <v/>
      </c>
    </row>
    <row r="54">
      <c r="A54" s="10" t="inlineStr">
        <is>
          <t>Equity (NOA - Net Debt)</t>
        </is>
      </c>
      <c r="B54" s="15">
        <f>B50-B53</f>
        <v/>
      </c>
      <c r="C54" s="15">
        <f>C50-C53</f>
        <v/>
      </c>
      <c r="D54" s="15">
        <f>D50-D53</f>
        <v/>
      </c>
      <c r="E54" s="15">
        <f>E50-E53</f>
        <v/>
      </c>
    </row>
    <row r="55">
      <c r="A55" s="10" t="inlineStr">
        <is>
          <t>Reported Equity</t>
        </is>
      </c>
      <c r="B55" s="12">
        <f>'Balance Sheet'!B35</f>
        <v/>
      </c>
      <c r="C55" s="12">
        <f>'Balance Sheet'!C35</f>
        <v/>
      </c>
      <c r="D55" s="12">
        <f>'Balance Sheet'!D35</f>
        <v/>
      </c>
      <c r="E55" s="12">
        <f>'Balance Sheet'!E35</f>
        <v/>
      </c>
    </row>
    <row r="56">
      <c r="A56" s="10" t="inlineStr">
        <is>
          <t>Total Capital</t>
        </is>
      </c>
      <c r="B56" s="12">
        <f>B53+B54</f>
        <v/>
      </c>
      <c r="C56" s="12">
        <f>C53+C54</f>
        <v/>
      </c>
      <c r="D56" s="12">
        <f>D53+D54</f>
        <v/>
      </c>
      <c r="E56" s="12">
        <f>E53+E54</f>
        <v/>
      </c>
    </row>
    <row r="57">
      <c r="A57" s="10" t="inlineStr">
        <is>
          <t>CHECK</t>
        </is>
      </c>
      <c r="B57" s="10">
        <f>IF(ABS(B54-B55)&lt;1,"OK","CHECK")</f>
        <v/>
      </c>
      <c r="C57" s="10">
        <f>IF(ABS(C54-C55)&lt;1,"OK","CHECK")</f>
        <v/>
      </c>
      <c r="D57" s="10">
        <f>IF(ABS(D54-D55)&lt;1,"OK","CHECK")</f>
        <v/>
      </c>
      <c r="E57" s="10">
        <f>IF(ABS(E54-E55)&lt;1,"OK","CHECK")</f>
        <v/>
      </c>
    </row>
  </sheetData>
  <dataValidations count="1">
    <dataValidation sqref="B6 B7 B8 B9 B10 B11 B12 B13 B14 B17 B18 B19 B20 B22 B23 B24 B25 B28 B29 B30 B31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DuPont Decomposition</t>
        </is>
      </c>
    </row>
    <row r="2">
      <c r="A2" s="10" t="inlineStr">
        <is>
          <t>ROE = RNOA + FLEV × Spread</t>
        </is>
      </c>
    </row>
    <row r="3"/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Sales Growth</t>
        </is>
      </c>
      <c r="B5" s="10" t="inlineStr">
        <is>
          <t>N/A</t>
        </is>
      </c>
      <c r="C5" s="14">
        <f>IF('Condensed Financials'!B34=0,NA(),'Condensed Financials'!C34/'Condensed Financials'!B34-1)</f>
        <v/>
      </c>
      <c r="D5" s="14">
        <f>IF('Condensed Financials'!C34=0,NA(),'Condensed Financials'!D34/'Condensed Financials'!C34-1)</f>
        <v/>
      </c>
      <c r="E5" s="14">
        <f>IF('Condensed Financials'!D34=0,NA(),'Condensed Financials'!E34/'Condensed Financials'!D34-1)</f>
        <v/>
      </c>
    </row>
    <row r="6">
      <c r="A6" s="10" t="inlineStr">
        <is>
          <t>NOPAT Margin</t>
        </is>
      </c>
      <c r="B6" s="10" t="inlineStr">
        <is>
          <t>Source unavailable</t>
        </is>
      </c>
      <c r="C6" s="10" t="inlineStr">
        <is>
          <t>Source unavailable</t>
        </is>
      </c>
      <c r="D6" s="10" t="inlineStr">
        <is>
          <t>Source unavailable</t>
        </is>
      </c>
      <c r="E6" s="10" t="inlineStr">
        <is>
          <t>Source unavailable</t>
        </is>
      </c>
    </row>
    <row r="7">
      <c r="A7" s="10" t="inlineStr">
        <is>
          <t>RNOA</t>
        </is>
      </c>
      <c r="B7" s="10" t="inlineStr">
        <is>
          <t>N/A</t>
        </is>
      </c>
      <c r="C7" s="10" t="inlineStr">
        <is>
          <t>Source unavailable</t>
        </is>
      </c>
      <c r="D7" s="10" t="inlineStr">
        <is>
          <t>Source unavailable</t>
        </is>
      </c>
      <c r="E7" s="10" t="inlineStr">
        <is>
          <t>Source unavailable</t>
        </is>
      </c>
    </row>
    <row r="8">
      <c r="A8" s="10" t="inlineStr">
        <is>
          <t>After-tax CoD</t>
        </is>
      </c>
      <c r="B8" s="10" t="inlineStr">
        <is>
          <t>N/A</t>
        </is>
      </c>
      <c r="C8" s="10" t="inlineStr">
        <is>
          <t>Source unavailable</t>
        </is>
      </c>
      <c r="D8" s="10" t="inlineStr">
        <is>
          <t>Source unavailable</t>
        </is>
      </c>
      <c r="E8" s="10" t="inlineStr">
        <is>
          <t>Source unavailable</t>
        </is>
      </c>
    </row>
    <row r="9">
      <c r="A9" s="10" t="inlineStr">
        <is>
          <t>Spread</t>
        </is>
      </c>
      <c r="B9" s="10" t="inlineStr">
        <is>
          <t>N/A</t>
        </is>
      </c>
      <c r="C9" s="10" t="inlineStr">
        <is>
          <t>Source unavailable</t>
        </is>
      </c>
      <c r="D9" s="10" t="inlineStr">
        <is>
          <t>Source unavailable</t>
        </is>
      </c>
      <c r="E9" s="10" t="inlineStr">
        <is>
          <t>Source unavailable</t>
        </is>
      </c>
    </row>
    <row r="10">
      <c r="A10" s="10" t="inlineStr">
        <is>
          <t>FLEV</t>
        </is>
      </c>
      <c r="B10" s="10" t="inlineStr">
        <is>
          <t>N/A</t>
        </is>
      </c>
      <c r="C10" s="13">
        <f>IF((('Condensed Financials'!C54+'Condensed Financials'!B54)/2)=0,NA(),(('Condensed Financials'!C53+'Condensed Financials'!B53)/2)/(('Condensed Financials'!C54+'Condensed Financials'!B54)/2))</f>
        <v/>
      </c>
      <c r="D10" s="13">
        <f>IF((('Condensed Financials'!D54+'Condensed Financials'!C54)/2)=0,NA(),(('Condensed Financials'!D53+'Condensed Financials'!C53)/2)/(('Condensed Financials'!D54+'Condensed Financials'!C54)/2))</f>
        <v/>
      </c>
      <c r="E10" s="13">
        <f>IF((('Condensed Financials'!E54+'Condensed Financials'!D54)/2)=0,NA(),(('Condensed Financials'!E53+'Condensed Financials'!D53)/2)/(('Condensed Financials'!E54+'Condensed Financials'!D54)/2))</f>
        <v/>
      </c>
    </row>
    <row r="11">
      <c r="A11" s="10" t="inlineStr">
        <is>
          <t>ROE (decomposed)</t>
        </is>
      </c>
      <c r="B11" s="10" t="inlineStr">
        <is>
          <t>N/A</t>
        </is>
      </c>
      <c r="C11" s="10" t="inlineStr">
        <is>
          <t>Source unavailable</t>
        </is>
      </c>
      <c r="D11" s="10" t="inlineStr">
        <is>
          <t>Source unavailable</t>
        </is>
      </c>
      <c r="E11" s="10" t="inlineStr">
        <is>
          <t>Source unavailable</t>
        </is>
      </c>
    </row>
    <row r="12">
      <c r="A12" s="10" t="inlineStr">
        <is>
          <t>Actual ROE</t>
        </is>
      </c>
      <c r="B12" s="10" t="inlineStr">
        <is>
          <t>N/A</t>
        </is>
      </c>
      <c r="C12" s="14">
        <f>IF((('Condensed Financials'!C54+'Condensed Financials'!B54)/2)=0,NA(),'Condensed Financials'!C35/(('Condensed Financials'!C54+'Condensed Financials'!B54)/2))</f>
        <v/>
      </c>
      <c r="D12" s="14">
        <f>IF((('Condensed Financials'!D54+'Condensed Financials'!C54)/2)=0,NA(),'Condensed Financials'!D35/(('Condensed Financials'!D54+'Condensed Financials'!C54)/2))</f>
        <v/>
      </c>
      <c r="E12" s="14">
        <f>IF((('Condensed Financials'!E54+'Condensed Financials'!D54)/2)=0,NA(),'Condensed Financials'!E35/(('Condensed Financials'!E54+'Condensed Financials'!D54)/2))</f>
        <v/>
      </c>
    </row>
    <row r="13"/>
    <row r="14">
      <c r="A14" s="10" t="inlineStr">
        <is>
          <t>RNOA DRIVER DECOMPOSITION</t>
        </is>
      </c>
    </row>
    <row r="15">
      <c r="A15" s="10" t="inlineStr">
        <is>
          <t>Average NOA</t>
        </is>
      </c>
      <c r="B15" s="10" t="inlineStr">
        <is>
          <t>N/A</t>
        </is>
      </c>
      <c r="C15" s="15">
        <f>('Condensed Financials'!B50+'Condensed Financials'!C50)/2</f>
        <v/>
      </c>
      <c r="D15" s="15">
        <f>('Condensed Financials'!C50+'Condensed Financials'!D50)/2</f>
        <v/>
      </c>
      <c r="E15" s="15">
        <f>('Condensed Financials'!D50+'Condensed Financials'!E50)/2</f>
        <v/>
      </c>
    </row>
    <row r="16">
      <c r="A16" s="10" t="inlineStr">
        <is>
          <t>NOA Turnover</t>
        </is>
      </c>
      <c r="B16" s="10" t="inlineStr">
        <is>
          <t>N/A</t>
        </is>
      </c>
      <c r="C16" s="16">
        <f>IF(C15=0,NA(),'Condensed Financials'!C34/C15)</f>
        <v/>
      </c>
      <c r="D16" s="16">
        <f>IF(D15=0,NA(),'Condensed Financials'!D34/D15)</f>
        <v/>
      </c>
      <c r="E16" s="16">
        <f>IF(E15=0,NA(),'Condensed Financials'!E34/E15)</f>
        <v/>
      </c>
    </row>
    <row r="17">
      <c r="A17" s="10" t="inlineStr">
        <is>
          <t>NOA Intensity</t>
        </is>
      </c>
      <c r="B17" s="10" t="inlineStr">
        <is>
          <t>N/A</t>
        </is>
      </c>
      <c r="C17" s="16">
        <f>IF('Condensed Financials'!C34=0,NA(),C15/'Condensed Financials'!C34)</f>
        <v/>
      </c>
      <c r="D17" s="16">
        <f>IF('Condensed Financials'!D34=0,NA(),D15/'Condensed Financials'!D34)</f>
        <v/>
      </c>
      <c r="E17" s="16">
        <f>IF('Condensed Financials'!E34=0,NA(),E15/'Condensed Financials'!E34)</f>
        <v/>
      </c>
    </row>
    <row r="18">
      <c r="A18" s="10" t="inlineStr">
        <is>
          <t>RNOA from Margin × Turnover</t>
        </is>
      </c>
      <c r="B18" s="10" t="inlineStr">
        <is>
          <t>N/A</t>
        </is>
      </c>
      <c r="C18" s="10" t="inlineStr">
        <is>
          <t>Source unavailable</t>
        </is>
      </c>
      <c r="D18" s="10" t="inlineStr">
        <is>
          <t>Source unavailable</t>
        </is>
      </c>
      <c r="E18" s="10" t="inlineStr">
        <is>
          <t>Source unavailable</t>
        </is>
      </c>
    </row>
    <row r="19">
      <c r="A19" s="10" t="inlineStr">
        <is>
          <t>RNOA DRIVER CHECK</t>
        </is>
      </c>
      <c r="B19" s="10" t="inlineStr">
        <is>
          <t>N/A</t>
        </is>
      </c>
      <c r="C19" s="10" t="inlineStr">
        <is>
          <t>Source unavailable</t>
        </is>
      </c>
      <c r="D19" s="10" t="inlineStr">
        <is>
          <t>Source unavailable</t>
        </is>
      </c>
      <c r="E19" s="10" t="inlineStr">
        <is>
          <t>Source unavailable</t>
        </is>
      </c>
    </row>
    <row r="20"/>
    <row r="21">
      <c r="A21" s="10" t="inlineStr">
        <is>
          <t>RNOA CHANGE ATTRIBUTION</t>
        </is>
      </c>
    </row>
    <row r="22">
      <c r="A22" s="10" t="inlineStr">
        <is>
          <t>Change in NOPAT Margin</t>
        </is>
      </c>
      <c r="B22" s="10" t="inlineStr">
        <is>
          <t>N/A</t>
        </is>
      </c>
      <c r="C22" s="10" t="inlineStr">
        <is>
          <t>N/A</t>
        </is>
      </c>
      <c r="D22" s="10" t="inlineStr">
        <is>
          <t>Source unavailable</t>
        </is>
      </c>
      <c r="E22" s="10" t="inlineStr">
        <is>
          <t>Source unavailable</t>
        </is>
      </c>
    </row>
    <row r="23">
      <c r="A23" s="10" t="inlineStr">
        <is>
          <t>Change in NOA Turnover</t>
        </is>
      </c>
      <c r="B23" s="10" t="inlineStr">
        <is>
          <t>N/A</t>
        </is>
      </c>
      <c r="C23" s="10" t="inlineStr">
        <is>
          <t>N/A</t>
        </is>
      </c>
      <c r="D23" s="16">
        <f>D16-C16</f>
        <v/>
      </c>
      <c r="E23" s="16">
        <f>E16-D16</f>
        <v/>
      </c>
    </row>
    <row r="24">
      <c r="A24" s="10" t="inlineStr">
        <is>
          <t>Direct Change in RNOA</t>
        </is>
      </c>
      <c r="B24" s="10" t="inlineStr">
        <is>
          <t>N/A</t>
        </is>
      </c>
      <c r="C24" s="10" t="inlineStr">
        <is>
          <t>N/A</t>
        </is>
      </c>
      <c r="D24" s="10" t="inlineStr">
        <is>
          <t>Source unavailable</t>
        </is>
      </c>
      <c r="E24" s="10" t="inlineStr">
        <is>
          <t>Source unavailable</t>
        </is>
      </c>
    </row>
    <row r="25">
      <c r="A25" s="10" t="inlineStr">
        <is>
          <t>Margin Effect on RNOA Change</t>
        </is>
      </c>
      <c r="B25" s="10" t="inlineStr">
        <is>
          <t>N/A</t>
        </is>
      </c>
      <c r="C25" s="10" t="inlineStr">
        <is>
          <t>N/A</t>
        </is>
      </c>
      <c r="D25" s="10" t="inlineStr">
        <is>
          <t>Source unavailable</t>
        </is>
      </c>
      <c r="E25" s="10" t="inlineStr">
        <is>
          <t>Source unavailable</t>
        </is>
      </c>
    </row>
    <row r="26">
      <c r="A26" s="10" t="inlineStr">
        <is>
          <t>Turnover Effect on RNOA Change</t>
        </is>
      </c>
      <c r="B26" s="10" t="inlineStr">
        <is>
          <t>N/A</t>
        </is>
      </c>
      <c r="C26" s="10" t="inlineStr">
        <is>
          <t>N/A</t>
        </is>
      </c>
      <c r="D26" s="10" t="inlineStr">
        <is>
          <t>Source unavailable</t>
        </is>
      </c>
      <c r="E26" s="10" t="inlineStr">
        <is>
          <t>Source unavailable</t>
        </is>
      </c>
    </row>
    <row r="27">
      <c r="A27" s="10" t="inlineStr">
        <is>
          <t>RNOA Change from Drivers</t>
        </is>
      </c>
      <c r="B27" s="10" t="inlineStr">
        <is>
          <t>N/A</t>
        </is>
      </c>
      <c r="C27" s="10" t="inlineStr">
        <is>
          <t>N/A</t>
        </is>
      </c>
      <c r="D27" s="10" t="inlineStr">
        <is>
          <t>Source unavailable</t>
        </is>
      </c>
      <c r="E27" s="10" t="inlineStr">
        <is>
          <t>Source unavailable</t>
        </is>
      </c>
    </row>
    <row r="28">
      <c r="A28" s="10" t="inlineStr">
        <is>
          <t>RNOA CHANGE DRIVER CHECK</t>
        </is>
      </c>
      <c r="B28" s="10" t="inlineStr">
        <is>
          <t>N/A</t>
        </is>
      </c>
      <c r="C28" s="10" t="inlineStr">
        <is>
          <t>N/A</t>
        </is>
      </c>
      <c r="D28" s="10" t="inlineStr">
        <is>
          <t>Source unavailable</t>
        </is>
      </c>
      <c r="E28" s="10" t="inlineStr">
        <is>
          <t>Source unavailable</t>
        </is>
      </c>
    </row>
    <row r="29"/>
    <row r="30">
      <c r="A30" s="10" t="inlineStr">
        <is>
          <t>ROE OPERATING / FINANCING ATTRIBUTION</t>
        </is>
      </c>
    </row>
    <row r="31">
      <c r="A31" s="10" t="inlineStr">
        <is>
          <t>Financing Contribution to ROE</t>
        </is>
      </c>
      <c r="B31" s="10" t="inlineStr">
        <is>
          <t>N/A</t>
        </is>
      </c>
      <c r="C31" s="10" t="inlineStr">
        <is>
          <t>Source unavailable</t>
        </is>
      </c>
      <c r="D31" s="10" t="inlineStr">
        <is>
          <t>Source unavailable</t>
        </is>
      </c>
      <c r="E31" s="10" t="inlineStr">
        <is>
          <t>Source unavailable</t>
        </is>
      </c>
    </row>
    <row r="32">
      <c r="A32" s="10" t="inlineStr">
        <is>
          <t>ROE LEVEL ATTRIBUTION CHECK</t>
        </is>
      </c>
      <c r="B32" s="10" t="inlineStr">
        <is>
          <t>N/A</t>
        </is>
      </c>
      <c r="C32" s="10" t="inlineStr">
        <is>
          <t>Source unavailable</t>
        </is>
      </c>
      <c r="D32" s="10" t="inlineStr">
        <is>
          <t>Source unavailable</t>
        </is>
      </c>
      <c r="E32" s="10" t="inlineStr">
        <is>
          <t>Source unavailable</t>
        </is>
      </c>
    </row>
    <row r="33"/>
    <row r="34">
      <c r="A34" s="10" t="inlineStr">
        <is>
          <t>ROE CHANGE ATTRIBUTION</t>
        </is>
      </c>
    </row>
    <row r="35">
      <c r="A35" s="10" t="inlineStr">
        <is>
          <t>Direct Change in Decomposed ROE</t>
        </is>
      </c>
      <c r="B35" s="10" t="inlineStr">
        <is>
          <t>N/A</t>
        </is>
      </c>
      <c r="C35" s="10" t="inlineStr">
        <is>
          <t>N/A</t>
        </is>
      </c>
      <c r="D35" s="10" t="inlineStr">
        <is>
          <t>Source unavailable</t>
        </is>
      </c>
      <c r="E35" s="10" t="inlineStr">
        <is>
          <t>Source unavailable</t>
        </is>
      </c>
    </row>
    <row r="36">
      <c r="A36" s="10" t="inlineStr">
        <is>
          <t>Operating Effect on Change in ROE</t>
        </is>
      </c>
      <c r="B36" s="10" t="inlineStr">
        <is>
          <t>N/A</t>
        </is>
      </c>
      <c r="C36" s="10" t="inlineStr">
        <is>
          <t>N/A</t>
        </is>
      </c>
      <c r="D36" s="10" t="inlineStr">
        <is>
          <t>Source unavailable</t>
        </is>
      </c>
      <c r="E36" s="10" t="inlineStr">
        <is>
          <t>Source unavailable</t>
        </is>
      </c>
    </row>
    <row r="37">
      <c r="A37" s="10" t="inlineStr">
        <is>
          <t>Leverage Effect on Change in ROE</t>
        </is>
      </c>
      <c r="B37" s="10" t="inlineStr">
        <is>
          <t>N/A</t>
        </is>
      </c>
      <c r="C37" s="10" t="inlineStr">
        <is>
          <t>N/A</t>
        </is>
      </c>
      <c r="D37" s="10" t="inlineStr">
        <is>
          <t>Source unavailable</t>
        </is>
      </c>
      <c r="E37" s="10" t="inlineStr">
        <is>
          <t>Source unavailable</t>
        </is>
      </c>
    </row>
    <row r="38">
      <c r="A38" s="10" t="inlineStr">
        <is>
          <t>Spread Effect on Change in ROE</t>
        </is>
      </c>
      <c r="B38" s="10" t="inlineStr">
        <is>
          <t>N/A</t>
        </is>
      </c>
      <c r="C38" s="10" t="inlineStr">
        <is>
          <t>N/A</t>
        </is>
      </c>
      <c r="D38" s="10" t="inlineStr">
        <is>
          <t>Source unavailable</t>
        </is>
      </c>
      <c r="E38" s="10" t="inlineStr">
        <is>
          <t>Source unavailable</t>
        </is>
      </c>
    </row>
    <row r="39">
      <c r="A39" s="10" t="inlineStr">
        <is>
          <t>Financing Effect on Change in ROE</t>
        </is>
      </c>
      <c r="B39" s="10" t="inlineStr">
        <is>
          <t>N/A</t>
        </is>
      </c>
      <c r="C39" s="10" t="inlineStr">
        <is>
          <t>N/A</t>
        </is>
      </c>
      <c r="D39" s="10" t="inlineStr">
        <is>
          <t>Source unavailable</t>
        </is>
      </c>
      <c r="E39" s="10" t="inlineStr">
        <is>
          <t>Source unavailable</t>
        </is>
      </c>
    </row>
    <row r="40">
      <c r="A40" s="10" t="inlineStr">
        <is>
          <t>Change in ROE from Drivers</t>
        </is>
      </c>
      <c r="B40" s="10" t="inlineStr">
        <is>
          <t>N/A</t>
        </is>
      </c>
      <c r="C40" s="10" t="inlineStr">
        <is>
          <t>N/A</t>
        </is>
      </c>
      <c r="D40" s="10" t="inlineStr">
        <is>
          <t>Source unavailable</t>
        </is>
      </c>
      <c r="E40" s="10" t="inlineStr">
        <is>
          <t>Source unavailable</t>
        </is>
      </c>
    </row>
    <row r="41">
      <c r="A41" s="10" t="inlineStr">
        <is>
          <t>ROE CHANGE ATTRIBUTION CHECK</t>
        </is>
      </c>
      <c r="B41" s="10" t="inlineStr">
        <is>
          <t>N/A</t>
        </is>
      </c>
      <c r="C41" s="10" t="inlineStr">
        <is>
          <t>N/A</t>
        </is>
      </c>
      <c r="D41" s="10" t="inlineStr">
        <is>
          <t>Source unavailable</t>
        </is>
      </c>
      <c r="E41" s="10" t="inlineStr">
        <is>
          <t>Source unavailable</t>
        </is>
      </c>
    </row>
    <row r="42"/>
    <row r="43">
      <c r="A43" s="10" t="inlineStr">
        <is>
          <t>FIXED-ASSET INTENSITY CONTEXT</t>
        </is>
      </c>
    </row>
    <row r="44">
      <c r="A44" s="10" t="inlineStr">
        <is>
          <t>Property, Plant &amp; Equipment</t>
        </is>
      </c>
      <c r="B44" s="15">
        <f>'Balance Sheet'!B25</f>
        <v/>
      </c>
      <c r="C44" s="15">
        <f>'Balance Sheet'!C25</f>
        <v/>
      </c>
      <c r="D44" s="15">
        <f>'Balance Sheet'!D25</f>
        <v/>
      </c>
      <c r="E44" s="15">
        <f>'Balance Sheet'!E25</f>
        <v/>
      </c>
    </row>
    <row r="45">
      <c r="A45" s="10" t="inlineStr">
        <is>
          <t>Depreciation &amp; Amortisation</t>
        </is>
      </c>
      <c r="B45" s="15">
        <f>'Cash Flow Statement'!B23</f>
        <v/>
      </c>
      <c r="C45" s="15">
        <f>'Cash Flow Statement'!C23</f>
        <v/>
      </c>
      <c r="D45" s="15">
        <f>'Cash Flow Statement'!D23</f>
        <v/>
      </c>
      <c r="E45" s="15">
        <f>'Cash Flow Statement'!E23</f>
        <v/>
      </c>
    </row>
    <row r="46">
      <c r="A46" s="10" t="inlineStr">
        <is>
          <t>Average PP&amp;E</t>
        </is>
      </c>
      <c r="B46" s="10" t="inlineStr">
        <is>
          <t>N/A</t>
        </is>
      </c>
      <c r="C46" s="15">
        <f>(B44+C44)/2</f>
        <v/>
      </c>
      <c r="D46" s="15">
        <f>(C44+D44)/2</f>
        <v/>
      </c>
      <c r="E46" s="15">
        <f>(D44+E44)/2</f>
        <v/>
      </c>
    </row>
    <row r="47">
      <c r="A47" s="10" t="inlineStr">
        <is>
          <t>PP&amp;E Turnover</t>
        </is>
      </c>
      <c r="B47" s="10" t="inlineStr">
        <is>
          <t>N/A</t>
        </is>
      </c>
      <c r="C47" s="16">
        <f>IF(C46=0,NA(),'Condensed Financials'!C34/C46)</f>
        <v/>
      </c>
      <c r="D47" s="16">
        <f>IF(D46=0,NA(),'Condensed Financials'!D34/D46)</f>
        <v/>
      </c>
      <c r="E47" s="16">
        <f>IF(E46=0,NA(),'Condensed Financials'!E34/E46)</f>
        <v/>
      </c>
    </row>
    <row r="48">
      <c r="A48" s="10" t="inlineStr">
        <is>
          <t>PP&amp;E Intensity</t>
        </is>
      </c>
      <c r="B48" s="10" t="inlineStr">
        <is>
          <t>N/A</t>
        </is>
      </c>
      <c r="C48" s="14">
        <f>IF('Condensed Financials'!C34=0,NA(),C46/'Condensed Financials'!C34)</f>
        <v/>
      </c>
      <c r="D48" s="14">
        <f>IF('Condensed Financials'!D34=0,NA(),D46/'Condensed Financials'!D34)</f>
        <v/>
      </c>
      <c r="E48" s="14">
        <f>IF('Condensed Financials'!E34=0,NA(),E46/'Condensed Financials'!E34)</f>
        <v/>
      </c>
    </row>
    <row r="49">
      <c r="A49" s="10" t="inlineStr">
        <is>
          <t>Change in PP&amp;E</t>
        </is>
      </c>
      <c r="B49" s="10" t="inlineStr">
        <is>
          <t>N/A</t>
        </is>
      </c>
      <c r="C49" s="15">
        <f>C44-B44</f>
        <v/>
      </c>
      <c r="D49" s="15">
        <f>D44-C44</f>
        <v/>
      </c>
      <c r="E49" s="15">
        <f>E44-D44</f>
        <v/>
      </c>
    </row>
    <row r="50">
      <c r="A50" s="10" t="inlineStr">
        <is>
          <t>D&amp;A / Revenue</t>
        </is>
      </c>
      <c r="B50" s="14">
        <f>IF('Condensed Financials'!B34=0,NA(),B45/'Condensed Financials'!B34)</f>
        <v/>
      </c>
      <c r="C50" s="14">
        <f>IF('Condensed Financials'!C34=0,NA(),C45/'Condensed Financials'!C34)</f>
        <v/>
      </c>
      <c r="D50" s="14">
        <f>IF('Condensed Financials'!D34=0,NA(),D45/'Condensed Financials'!D34)</f>
        <v/>
      </c>
      <c r="E50" s="14">
        <f>IF('Condensed Financials'!E34=0,NA(),E45/'Condensed Financials'!E34)</f>
        <v/>
      </c>
    </row>
    <row r="51">
      <c r="A51" s="10" t="inlineStr">
        <is>
          <t>D&amp;A / Average PP&amp;E</t>
        </is>
      </c>
      <c r="B51" s="10" t="inlineStr">
        <is>
          <t>N/A</t>
        </is>
      </c>
      <c r="C51" s="14">
        <f>IF(C46=0,NA(),C45/C46)</f>
        <v/>
      </c>
      <c r="D51" s="14">
        <f>IF(D46=0,NA(),D45/D46)</f>
        <v/>
      </c>
      <c r="E51" s="14">
        <f>IF(E46=0,NA(),E45/E46)</f>
        <v/>
      </c>
    </row>
    <row r="52">
      <c r="A52" s="10" t="inlineStr">
        <is>
          <t>FIXED-ASSET INTENSITY CHECK</t>
        </is>
      </c>
      <c r="B52" s="10" t="inlineStr">
        <is>
          <t>N/A</t>
        </is>
      </c>
      <c r="C52" s="10">
        <f>IF(OR(ISNA(C47),ISNA(C48)),"N/A",IF(ABS(C47*C48-1)&lt;0.0000001,"OK","CHECK"))</f>
        <v/>
      </c>
      <c r="D52" s="10">
        <f>IF(OR(ISNA(D47),ISNA(D48)),"N/A",IF(ABS(D47*D48-1)&lt;0.0000001,"OK","CHECK"))</f>
        <v/>
      </c>
      <c r="E52" s="10">
        <f>IF(OR(ISNA(E47),ISNA(E48)),"N/A",IF(ABS(E47*E48-1)&lt;0.0000001,"OK","CHECK"))</f>
        <v/>
      </c>
    </row>
    <row r="53"/>
    <row r="54">
      <c r="A54" s="10" t="inlineStr">
        <is>
          <t>LEASE LIABILITY CONTEXT</t>
        </is>
      </c>
    </row>
    <row r="55">
      <c r="A55" s="10" t="inlineStr">
        <is>
          <t>Lease Liability</t>
        </is>
      </c>
      <c r="B55" s="15">
        <f>'Balance Sheet'!B17+'Balance Sheet'!B29</f>
        <v/>
      </c>
      <c r="C55" s="15">
        <f>'Balance Sheet'!C17+'Balance Sheet'!C29</f>
        <v/>
      </c>
      <c r="D55" s="15">
        <f>'Balance Sheet'!D17+'Balance Sheet'!D29</f>
        <v/>
      </c>
      <c r="E55" s="15">
        <f>'Balance Sheet'!E17+'Balance Sheet'!E29</f>
        <v/>
      </c>
    </row>
    <row r="56">
      <c r="A56" s="10" t="inlineStr">
        <is>
          <t>Lease Liability / Revenue</t>
        </is>
      </c>
      <c r="B56" s="14">
        <f>IF('Condensed Financials'!B34=0,NA(),B55/'Condensed Financials'!B34)</f>
        <v/>
      </c>
      <c r="C56" s="14">
        <f>IF('Condensed Financials'!C34=0,NA(),C55/'Condensed Financials'!C34)</f>
        <v/>
      </c>
      <c r="D56" s="14">
        <f>IF('Condensed Financials'!D34=0,NA(),D55/'Condensed Financials'!D34)</f>
        <v/>
      </c>
      <c r="E56" s="14">
        <f>IF('Condensed Financials'!E34=0,NA(),E55/'Condensed Financials'!E34)</f>
        <v/>
      </c>
    </row>
    <row r="57">
      <c r="A57" s="10" t="inlineStr">
        <is>
          <t>Change in Lease Liability</t>
        </is>
      </c>
      <c r="B57" s="10" t="inlineStr">
        <is>
          <t>N/A</t>
        </is>
      </c>
      <c r="C57" s="15">
        <f>C55-B55</f>
        <v/>
      </c>
      <c r="D57" s="15">
        <f>D55-C55</f>
        <v/>
      </c>
      <c r="E57" s="15">
        <f>E55-D55</f>
        <v/>
      </c>
    </row>
    <row r="58">
      <c r="A58" s="10" t="inlineStr">
        <is>
          <t>Lease Liability Growth</t>
        </is>
      </c>
      <c r="B58" s="10" t="inlineStr">
        <is>
          <t>N/A</t>
        </is>
      </c>
      <c r="C58" s="14">
        <f>IF(B55=0,NA(),C55/B55-1)</f>
        <v/>
      </c>
      <c r="D58" s="14">
        <f>IF(C55=0,NA(),D55/C55-1)</f>
        <v/>
      </c>
      <c r="E58" s="14">
        <f>IF(D55=0,NA(),E55/D55-1)</f>
        <v/>
      </c>
    </row>
    <row r="59"/>
    <row r="60">
      <c r="A60" s="10" t="inlineStr">
        <is>
          <t>PP&amp;E CAPEX CONTEXT</t>
        </is>
      </c>
    </row>
    <row r="61">
      <c r="A61" s="10" t="inlineStr">
        <is>
          <t>Payments for Property, Plant &amp; Equipment (reported)</t>
        </is>
      </c>
      <c r="B61" s="12">
        <f>'Cash Flow Statement'!B15</f>
        <v/>
      </c>
      <c r="C61" s="12">
        <f>'Cash Flow Statement'!C15</f>
        <v/>
      </c>
      <c r="D61" s="12">
        <f>'Cash Flow Statement'!D15</f>
        <v/>
      </c>
      <c r="E61" s="12">
        <f>'Cash Flow Statement'!E15</f>
        <v/>
      </c>
    </row>
    <row r="62">
      <c r="A62" s="10" t="inlineStr">
        <is>
          <t>PP&amp;E Capex (−reported)</t>
        </is>
      </c>
      <c r="B62" s="15">
        <f>-B61</f>
        <v/>
      </c>
      <c r="C62" s="15">
        <f>-C61</f>
        <v/>
      </c>
      <c r="D62" s="15">
        <f>-D61</f>
        <v/>
      </c>
      <c r="E62" s="15">
        <f>-E61</f>
        <v/>
      </c>
    </row>
    <row r="63">
      <c r="A63" s="10" t="inlineStr">
        <is>
          <t>PP&amp;E Capex / Revenue</t>
        </is>
      </c>
      <c r="B63" s="14">
        <f>IF('Condensed Financials'!B34=0,NA(),B62/'Condensed Financials'!B34)</f>
        <v/>
      </c>
      <c r="C63" s="14">
        <f>IF('Condensed Financials'!C34=0,NA(),C62/'Condensed Financials'!C34)</f>
        <v/>
      </c>
      <c r="D63" s="14">
        <f>IF('Condensed Financials'!D34=0,NA(),D62/'Condensed Financials'!D34)</f>
        <v/>
      </c>
      <c r="E63" s="14">
        <f>IF('Condensed Financials'!E34=0,NA(),E62/'Condensed Financials'!E34)</f>
        <v/>
      </c>
    </row>
    <row r="64"/>
    <row r="65">
      <c r="A65" s="10" t="inlineStr">
        <is>
          <t>GOODWILL &amp; INTANGIBLES CONTEXT</t>
        </is>
      </c>
    </row>
    <row r="66">
      <c r="A66" s="10" t="inlineStr">
        <is>
          <t>Goodwill</t>
        </is>
      </c>
      <c r="B66" s="12">
        <f>'Balance Sheet'!B22</f>
        <v/>
      </c>
      <c r="C66" s="12">
        <f>'Balance Sheet'!C22</f>
        <v/>
      </c>
      <c r="D66" s="12">
        <f>'Balance Sheet'!D22</f>
        <v/>
      </c>
      <c r="E66" s="12">
        <f>'Balance Sheet'!E22</f>
        <v/>
      </c>
    </row>
    <row r="67">
      <c r="A67" s="10" t="inlineStr">
        <is>
          <t>Change in Goodwill</t>
        </is>
      </c>
      <c r="C67" s="15">
        <f>C66-B66</f>
        <v/>
      </c>
      <c r="D67" s="15">
        <f>D66-C66</f>
        <v/>
      </c>
      <c r="E67" s="15">
        <f>E66-D66</f>
        <v/>
      </c>
    </row>
    <row r="68">
      <c r="A68" s="10" t="inlineStr">
        <is>
          <t>Goodwill Growth</t>
        </is>
      </c>
      <c r="C68" s="14">
        <f>IF(B66=0,NA(),C66/B66-1)</f>
        <v/>
      </c>
      <c r="D68" s="14">
        <f>IF(C66=0,NA(),D66/C66-1)</f>
        <v/>
      </c>
      <c r="E68" s="14">
        <f>IF(D66=0,NA(),E66/D66-1)</f>
        <v/>
      </c>
    </row>
    <row r="69">
      <c r="A69" s="10" t="inlineStr">
        <is>
          <t>Average Goodwill</t>
        </is>
      </c>
      <c r="C69" s="15">
        <f>(B66+C66)/2</f>
        <v/>
      </c>
      <c r="D69" s="15">
        <f>(C66+D66)/2</f>
        <v/>
      </c>
      <c r="E69" s="15">
        <f>(D66+E66)/2</f>
        <v/>
      </c>
    </row>
    <row r="70">
      <c r="A70" s="10" t="inlineStr">
        <is>
          <t>Average Goodwill / Revenue</t>
        </is>
      </c>
      <c r="C70" s="14">
        <f>IF('Condensed Financials'!C34=0,NA(),C69/'Condensed Financials'!C34)</f>
        <v/>
      </c>
      <c r="D70" s="14">
        <f>IF('Condensed Financials'!D34=0,NA(),D69/'Condensed Financials'!D34)</f>
        <v/>
      </c>
      <c r="E70" s="14">
        <f>IF('Condensed Financials'!E34=0,NA(),E69/'Condensed Financials'!E34)</f>
        <v/>
      </c>
    </row>
    <row r="71">
      <c r="A71" s="10" t="inlineStr">
        <is>
          <t>Intangible Assets</t>
        </is>
      </c>
      <c r="B71" s="12">
        <f>'Balance Sheet'!B23</f>
        <v/>
      </c>
      <c r="C71" s="12">
        <f>'Balance Sheet'!C23</f>
        <v/>
      </c>
      <c r="D71" s="12">
        <f>'Balance Sheet'!D23</f>
        <v/>
      </c>
      <c r="E71" s="12">
        <f>'Balance Sheet'!E23</f>
        <v/>
      </c>
    </row>
    <row r="72">
      <c r="A72" s="10" t="inlineStr">
        <is>
          <t>Change in Intangible Assets</t>
        </is>
      </c>
      <c r="C72" s="15">
        <f>C71-B71</f>
        <v/>
      </c>
      <c r="D72" s="15">
        <f>D71-C71</f>
        <v/>
      </c>
      <c r="E72" s="15">
        <f>E71-D71</f>
        <v/>
      </c>
    </row>
    <row r="73">
      <c r="A73" s="10" t="inlineStr">
        <is>
          <t>Intangible Assets Growth</t>
        </is>
      </c>
      <c r="C73" s="14">
        <f>IF(B71=0,NA(),C71/B71-1)</f>
        <v/>
      </c>
      <c r="D73" s="14">
        <f>IF(C71=0,NA(),D71/C71-1)</f>
        <v/>
      </c>
      <c r="E73" s="14">
        <f>IF(D71=0,NA(),E71/D71-1)</f>
        <v/>
      </c>
    </row>
    <row r="74">
      <c r="A74" s="10" t="inlineStr">
        <is>
          <t>Average Intangible Assets</t>
        </is>
      </c>
      <c r="C74" s="15">
        <f>(B71+C71)/2</f>
        <v/>
      </c>
      <c r="D74" s="15">
        <f>(C71+D71)/2</f>
        <v/>
      </c>
      <c r="E74" s="15">
        <f>(D71+E71)/2</f>
        <v/>
      </c>
    </row>
    <row r="75">
      <c r="A75" s="10" t="inlineStr">
        <is>
          <t>Average Intangible Assets / Revenue</t>
        </is>
      </c>
      <c r="C75" s="14">
        <f>IF('Condensed Financials'!C34=0,NA(),C74/'Condensed Financials'!C34)</f>
        <v/>
      </c>
      <c r="D75" s="14">
        <f>IF('Condensed Financials'!D34=0,NA(),D74/'Condensed Financials'!D34)</f>
        <v/>
      </c>
      <c r="E75" s="14">
        <f>IF('Condensed Financials'!E34=0,NA(),E74/'Condensed Financials'!E34)</f>
        <v/>
      </c>
    </row>
    <row r="76">
      <c r="A76" s="10" t="inlineStr">
        <is>
          <t>Goodwill &amp; Intangibles</t>
        </is>
      </c>
      <c r="B76" s="12">
        <f>B66+B71</f>
        <v/>
      </c>
      <c r="C76" s="12">
        <f>C66+C71</f>
        <v/>
      </c>
      <c r="D76" s="12">
        <f>D66+D71</f>
        <v/>
      </c>
      <c r="E76" s="12">
        <f>E66+E71</f>
        <v/>
      </c>
    </row>
    <row r="77">
      <c r="A77" s="10" t="inlineStr">
        <is>
          <t>Change in Goodwill &amp; Intangibles</t>
        </is>
      </c>
      <c r="C77" s="15">
        <f>C76-B76</f>
        <v/>
      </c>
      <c r="D77" s="15">
        <f>D76-C76</f>
        <v/>
      </c>
      <c r="E77" s="15">
        <f>E76-D76</f>
        <v/>
      </c>
    </row>
    <row r="78">
      <c r="A78" s="10" t="inlineStr">
        <is>
          <t>Goodwill &amp; Intangibles Growth</t>
        </is>
      </c>
      <c r="C78" s="14">
        <f>IF(B76=0,NA(),C76/B76-1)</f>
        <v/>
      </c>
      <c r="D78" s="14">
        <f>IF(C76=0,NA(),D76/C76-1)</f>
        <v/>
      </c>
      <c r="E78" s="14">
        <f>IF(D76=0,NA(),E76/D76-1)</f>
        <v/>
      </c>
    </row>
    <row r="79">
      <c r="A79" s="10" t="inlineStr">
        <is>
          <t>Average Goodwill &amp; Intangibles</t>
        </is>
      </c>
      <c r="C79" s="15">
        <f>(B76+C76)/2</f>
        <v/>
      </c>
      <c r="D79" s="15">
        <f>(C76+D76)/2</f>
        <v/>
      </c>
      <c r="E79" s="15">
        <f>(D76+E76)/2</f>
        <v/>
      </c>
    </row>
    <row r="80">
      <c r="A80" s="10" t="inlineStr">
        <is>
          <t>Average Goodwill &amp; Intangibles / Revenue</t>
        </is>
      </c>
      <c r="C80" s="14">
        <f>IF('Condensed Financials'!C34=0,NA(),C79/'Condensed Financials'!C34)</f>
        <v/>
      </c>
      <c r="D80" s="14">
        <f>IF('Condensed Financials'!D34=0,NA(),D79/'Condensed Financials'!D34)</f>
        <v/>
      </c>
      <c r="E80" s="14">
        <f>IF('Condensed Financials'!E34=0,NA(),E79/'Condensed Financials'!E34)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0" t="inlineStr">
        <is>
          <t>Accounting Judgment</t>
        </is>
      </c>
    </row>
    <row r="2">
      <c r="A2" s="10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10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10" t="inlineStr">
        <is>
          <t>Order</t>
        </is>
      </c>
      <c r="B4" s="10" t="inlineStr">
        <is>
          <t>Line item</t>
        </is>
      </c>
      <c r="C4" s="10" t="inlineStr">
        <is>
          <t>Topic</t>
        </is>
      </c>
      <c r="D4" s="10" t="inlineStr">
        <is>
          <t>Supplied reference treatment</t>
        </is>
      </c>
      <c r="E4" s="10" t="inlineStr">
        <is>
          <t>Alternative(s) to evaluate</t>
        </is>
      </c>
      <c r="F4" s="10" t="inlineStr">
        <is>
          <t>Treatment to defend</t>
        </is>
      </c>
      <c r="G4" s="10" t="inlineStr">
        <is>
          <t>Rationale</t>
        </is>
      </c>
      <c r="H4" s="10" t="inlineStr">
        <is>
          <t>Economic consequence</t>
        </is>
      </c>
    </row>
    <row r="5">
      <c r="A5" s="10" t="n">
        <v>1</v>
      </c>
      <c r="B5" s="10" t="inlineStr">
        <is>
          <t>Current lease liabilities</t>
        </is>
      </c>
      <c r="C5" s="10" t="inlineStr">
        <is>
          <t>Lease liability operating vs financing</t>
        </is>
      </c>
      <c r="D5" s="10" t="inlineStr">
        <is>
          <t>Operating Long-Term Liability</t>
        </is>
      </c>
      <c r="E5" s="10" t="inlineStr">
        <is>
          <t>Financial Liability</t>
        </is>
      </c>
      <c r="F5" s="17" t="inlineStr">
        <is>
          <t>Operating Long-Term Liability</t>
        </is>
      </c>
      <c r="G5" s="17" t="inlineStr">
        <is>
          <t>The reference model keeps the liability in operating long-term liabilities under its current lease convention. Treating it as a financial liability is also defensible when the lease obligation is viewed as debt-like financing.</t>
        </is>
      </c>
      <c r="H5" s="17" t="inlineStr">
        <is>
          <t>Operating-liability treatment lowers NOLA/NOA; financial-liability treatment raises Net Debt by the same balance. Implied equity is unchanged from this classification switch alone, but RNOA versus FLEV/Spread interpretation changes.</t>
        </is>
      </c>
    </row>
    <row r="6">
      <c r="A6" s="10" t="n">
        <v>2</v>
      </c>
      <c r="B6" s="10" t="inlineStr">
        <is>
          <t>Other current liabilities</t>
        </is>
      </c>
      <c r="C6" s="10" t="inlineStr">
        <is>
          <t>Other current liability: operating vs financial</t>
        </is>
      </c>
      <c r="D6" s="10" t="inlineStr">
        <is>
          <t>Operating Working Capital Liability</t>
        </is>
      </c>
      <c r="E6" s="10" t="inlineStr">
        <is>
          <t>Financial Liability</t>
        </is>
      </c>
      <c r="F6" s="17" t="inlineStr">
        <is>
          <t>Operating Working Capital Liability</t>
        </is>
      </c>
      <c r="G6" s="17" t="inlineStr">
        <is>
          <t>The residual current-liability concept proves balance-sheet side and horizon but not whether the balance is an operating working-capital liability or a financial liability in economic substance.</t>
        </is>
      </c>
      <c r="H6" s="17" t="inlineStr">
        <is>
          <t>Operating-WC-liability treatment lowers NOWC/NOA; financial-liability treatment raises Net Debt by the same balance. Implied equity is unchanged by the classification switch alone.</t>
        </is>
      </c>
    </row>
    <row r="7">
      <c r="A7" s="10" t="n">
        <v>3</v>
      </c>
      <c r="B7" s="10" t="inlineStr">
        <is>
          <t>Other non-current assets</t>
        </is>
      </c>
      <c r="C7" s="10" t="inlineStr">
        <is>
          <t>Other non-current asset: operating vs financial</t>
        </is>
      </c>
      <c r="D7" s="10" t="inlineStr">
        <is>
          <t>Operating Long-Term Asset</t>
        </is>
      </c>
      <c r="E7" s="10" t="inlineStr">
        <is>
          <t>Financial Asset</t>
        </is>
      </c>
      <c r="F7" s="17" t="inlineStr">
        <is>
          <t>Operating Long-Term Asset</t>
        </is>
      </c>
      <c r="G7" s="17" t="inlineStr">
        <is>
          <t>The residual non-current-asset concept proves balance-sheet side and horizon but not whether the balance is an operating long-term asset or a financial asset in economic substance.</t>
        </is>
      </c>
      <c r="H7" s="17" t="inlineStr">
        <is>
          <t>Operating-LT treatment raises NOLA/NOA; financial-asset treatment lowers Net Debt by the same balance. Implied equity is unchanged by the classification switch alone.</t>
        </is>
      </c>
    </row>
    <row r="8">
      <c r="A8" s="10" t="n">
        <v>4</v>
      </c>
      <c r="B8" s="10" t="inlineStr">
        <is>
          <t>Non-current lease liabilities</t>
        </is>
      </c>
      <c r="C8" s="10" t="inlineStr">
        <is>
          <t>Lease liability operating vs financing</t>
        </is>
      </c>
      <c r="D8" s="10" t="inlineStr">
        <is>
          <t>Operating Long-Term Liability</t>
        </is>
      </c>
      <c r="E8" s="10" t="inlineStr">
        <is>
          <t>Financial Liability</t>
        </is>
      </c>
      <c r="F8" s="17" t="inlineStr">
        <is>
          <t>Operating Long-Term Liability</t>
        </is>
      </c>
      <c r="G8" s="17" t="inlineStr">
        <is>
          <t>The reference model keeps the liability in operating long-term liabilities under its current lease convention. Treating it as a financial liability is also defensible when the lease obligation is viewed as debt-like financing.</t>
        </is>
      </c>
      <c r="H8" s="17" t="inlineStr">
        <is>
          <t>Operating-liability treatment lowers NOLA/NOA; financial-liability treatment raises Net Debt by the same balance. Implied equity is unchanged from this classification switch alone, but RNOA versus FLEV/Spread interpretation changes.</t>
        </is>
      </c>
    </row>
    <row r="9">
      <c r="A9" s="10" t="n">
        <v>5</v>
      </c>
      <c r="B9" s="10" t="inlineStr">
        <is>
          <t>Other non-current liabilities</t>
        </is>
      </c>
      <c r="C9" s="10" t="inlineStr">
        <is>
          <t>Other non-current liability: operating vs financial</t>
        </is>
      </c>
      <c r="D9" s="10" t="inlineStr">
        <is>
          <t>Operating Long-Term Liability</t>
        </is>
      </c>
      <c r="E9" s="10" t="inlineStr">
        <is>
          <t>Financial Liability</t>
        </is>
      </c>
      <c r="F9" s="17" t="inlineStr">
        <is>
          <t>Operating Long-Term Liability</t>
        </is>
      </c>
      <c r="G9" s="17" t="inlineStr">
        <is>
          <t>The residual non-current-liability concept proves balance-sheet side and horizon but not whether the balance is an operating long-term liability or a financial liability in economic substance.</t>
        </is>
      </c>
      <c r="H9" s="17" t="inlineStr">
        <is>
          <t>Operating-LT-liability treatment lowers NOLA/NOA; financial-liability treatment raises Net Debt by the same balance. Implied equity is unchanged by the classification switch alone.</t>
        </is>
      </c>
    </row>
  </sheetData>
  <dataValidations count="5">
    <dataValidation sqref="F5" showDropDown="0" showInputMessage="0" showErrorMessage="0" allowBlank="1" type="list">
      <formula1>"Operating Long-Term Liability,Financial Liability"</formula1>
    </dataValidation>
    <dataValidation sqref="F6" showDropDown="0" showInputMessage="0" showErrorMessage="0" allowBlank="1" type="list">
      <formula1>"Operating Working Capital Liability,Financial Liability"</formula1>
    </dataValidation>
    <dataValidation sqref="F7" showDropDown="0" showInputMessage="0" showErrorMessage="0" allowBlank="1" type="list">
      <formula1>"Operating Long-Term Asset,Financial Asset"</formula1>
    </dataValidation>
    <dataValidation sqref="F8" showDropDown="0" showInputMessage="0" showErrorMessage="0" allowBlank="1" type="list">
      <formula1>"Operating Long-Term Liability,Financial Liability"</formula1>
    </dataValidation>
    <dataValidation sqref="F9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Earnings Quality</t>
        </is>
      </c>
    </row>
    <row r="2">
      <c r="A2" s="10" t="inlineStr">
        <is>
          <t>Historical cash-conversion and accrual diagnostics. These are mechanical diagnostics, not an automatic quality score.</t>
        </is>
      </c>
    </row>
    <row r="3"/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Operating Cash Flow</t>
        </is>
      </c>
      <c r="B5" s="15">
        <f>'Cash Flow Statement'!B27</f>
        <v/>
      </c>
      <c r="C5" s="15">
        <f>'Cash Flow Statement'!C27</f>
        <v/>
      </c>
      <c r="D5" s="15">
        <f>'Cash Flow Statement'!D27</f>
        <v/>
      </c>
      <c r="E5" s="15">
        <f>'Cash Flow Statement'!E27</f>
        <v/>
      </c>
    </row>
    <row r="6">
      <c r="A6" s="10" t="inlineStr">
        <is>
          <t>Reported Net Income</t>
        </is>
      </c>
      <c r="B6" s="12">
        <f>'Condensed Financials'!B35</f>
        <v/>
      </c>
      <c r="C6" s="12">
        <f>'Condensed Financials'!C35</f>
        <v/>
      </c>
      <c r="D6" s="12">
        <f>'Condensed Financials'!D35</f>
        <v/>
      </c>
      <c r="E6" s="12">
        <f>'Condensed Financials'!E35</f>
        <v/>
      </c>
    </row>
    <row r="7">
      <c r="A7" s="10" t="inlineStr">
        <is>
          <t>Cash Conversion Ratio</t>
        </is>
      </c>
      <c r="B7" s="16">
        <f>IF(B6=0,NA(),B5/B6)</f>
        <v/>
      </c>
      <c r="C7" s="16">
        <f>IF(C6=0,NA(),C5/C6)</f>
        <v/>
      </c>
      <c r="D7" s="16">
        <f>IF(D6=0,NA(),D5/D6)</f>
        <v/>
      </c>
      <c r="E7" s="16">
        <f>IF(E6=0,NA(),E5/E6)</f>
        <v/>
      </c>
    </row>
    <row r="8">
      <c r="A8" s="10" t="inlineStr">
        <is>
          <t>Total Accruals (Net Income - CFO)</t>
        </is>
      </c>
      <c r="B8" s="15">
        <f>B6-B5</f>
        <v/>
      </c>
      <c r="C8" s="15">
        <f>C6-C5</f>
        <v/>
      </c>
      <c r="D8" s="15">
        <f>D6-D5</f>
        <v/>
      </c>
      <c r="E8" s="15">
        <f>E6-E5</f>
        <v/>
      </c>
    </row>
    <row r="9"/>
    <row r="10">
      <c r="A10" s="10" t="inlineStr">
        <is>
          <t>Total Assets</t>
        </is>
      </c>
      <c r="B10" s="12">
        <f>'Balance Sheet'!B36</f>
        <v/>
      </c>
      <c r="C10" s="12">
        <f>'Balance Sheet'!C36</f>
        <v/>
      </c>
      <c r="D10" s="12">
        <f>'Balance Sheet'!D36</f>
        <v/>
      </c>
      <c r="E10" s="12">
        <f>'Balance Sheet'!E36</f>
        <v/>
      </c>
    </row>
    <row r="11">
      <c r="A11" s="10" t="inlineStr">
        <is>
          <t>Average Total Assets</t>
        </is>
      </c>
      <c r="C11" s="15">
        <f>(B10+C10)/2</f>
        <v/>
      </c>
      <c r="D11" s="15">
        <f>(C10+D10)/2</f>
        <v/>
      </c>
      <c r="E11" s="15">
        <f>(D10+E10)/2</f>
        <v/>
      </c>
    </row>
    <row r="12">
      <c r="A12" s="10" t="inlineStr">
        <is>
          <t>Accrual Ratio</t>
        </is>
      </c>
      <c r="C12" s="14">
        <f>IF(C11=0,NA(),C8/C11)</f>
        <v/>
      </c>
      <c r="D12" s="14">
        <f>IF(D11=0,NA(),D8/D11)</f>
        <v/>
      </c>
      <c r="E12" s="14">
        <f>IF(E11=0,NA(),E8/E11)</f>
        <v/>
      </c>
    </row>
    <row r="13"/>
    <row r="14">
      <c r="A14" s="10" t="inlineStr">
        <is>
          <t>EARNINGS QUALITY TREND DIAGNOSTICS</t>
        </is>
      </c>
    </row>
    <row r="15">
      <c r="A15" s="10" t="inlineStr">
        <is>
          <t>Change in Operating Cash Flow</t>
        </is>
      </c>
      <c r="B15" s="10" t="inlineStr">
        <is>
          <t>N/A</t>
        </is>
      </c>
      <c r="C15" s="15">
        <f>C5-B5</f>
        <v/>
      </c>
      <c r="D15" s="15">
        <f>D5-C5</f>
        <v/>
      </c>
      <c r="E15" s="15">
        <f>E5-D5</f>
        <v/>
      </c>
    </row>
    <row r="16">
      <c r="A16" s="10" t="inlineStr">
        <is>
          <t>Change in Cash Conversion Ratio</t>
        </is>
      </c>
      <c r="B16" s="10" t="inlineStr">
        <is>
          <t>N/A</t>
        </is>
      </c>
      <c r="C16" s="16">
        <f>C7-B7</f>
        <v/>
      </c>
      <c r="D16" s="16">
        <f>D7-C7</f>
        <v/>
      </c>
      <c r="E16" s="16">
        <f>E7-D7</f>
        <v/>
      </c>
    </row>
    <row r="17">
      <c r="A17" s="10" t="inlineStr">
        <is>
          <t>Change in Total Accruals</t>
        </is>
      </c>
      <c r="B17" s="10" t="inlineStr">
        <is>
          <t>N/A</t>
        </is>
      </c>
      <c r="C17" s="15">
        <f>C8-B8</f>
        <v/>
      </c>
      <c r="D17" s="15">
        <f>D8-C8</f>
        <v/>
      </c>
      <c r="E17" s="15">
        <f>E8-D8</f>
        <v/>
      </c>
    </row>
    <row r="18">
      <c r="A18" s="10" t="inlineStr">
        <is>
          <t>Change in Accrual Ratio</t>
        </is>
      </c>
      <c r="B18" s="10" t="inlineStr">
        <is>
          <t>N/A</t>
        </is>
      </c>
      <c r="C18" s="10" t="inlineStr">
        <is>
          <t>N/A</t>
        </is>
      </c>
      <c r="D18" s="14">
        <f>D12-C12</f>
        <v/>
      </c>
      <c r="E18" s="14">
        <f>E12-D12</f>
        <v/>
      </c>
    </row>
    <row r="19">
      <c r="A19" s="10" t="inlineStr">
        <is>
          <t>EARNINGS QUALITY CHANGE CHECK</t>
        </is>
      </c>
      <c r="B19" s="10" t="inlineStr">
        <is>
          <t>N/A</t>
        </is>
      </c>
      <c r="C19" s="10">
        <f>IF(ABS(C17-((C6-B6)-C15))&lt;0.01,"OK","CHECK")</f>
        <v/>
      </c>
      <c r="D19" s="10">
        <f>IF(ABS(D17-((D6-C6)-D15))&lt;0.01,"OK","CHECK")</f>
        <v/>
      </c>
      <c r="E19" s="10">
        <f>IF(ABS(E17-((E6-D6)-E15))&lt;0.01,"OK","CHECK")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Working Capital Analysis</t>
        </is>
      </c>
    </row>
    <row r="2">
      <c r="A2" s="10" t="inlineStr">
        <is>
          <t>Relate classified operating working capital to Revenue and identify how much incremental NOWC accompanies changes in sales.</t>
        </is>
      </c>
    </row>
    <row r="3">
      <c r="A3" s="10" t="inlineStr">
        <is>
          <t>These are diagnostics, not automatic judgments. Positive Change in NOWC is an operating cash use; negative Change in NOWC is a release. Annual data alone does not prove seasonality or deterioration.</t>
        </is>
      </c>
    </row>
    <row r="4"/>
    <row r="5">
      <c r="A5" s="10" t="inlineStr">
        <is>
          <t>Metric</t>
        </is>
      </c>
      <c r="B5" s="11" t="n">
        <v>44955</v>
      </c>
      <c r="C5" s="11" t="n">
        <v>45319</v>
      </c>
      <c r="D5" s="11" t="n">
        <v>45690</v>
      </c>
      <c r="E5" s="11" t="n">
        <v>46054</v>
      </c>
    </row>
    <row r="6">
      <c r="A6" s="10" t="inlineStr">
        <is>
          <t>Revenue</t>
        </is>
      </c>
      <c r="B6" s="12">
        <f>'Condensed Financials'!B34</f>
        <v/>
      </c>
      <c r="C6" s="12">
        <f>'Condensed Financials'!C34</f>
        <v/>
      </c>
      <c r="D6" s="12">
        <f>'Condensed Financials'!D34</f>
        <v/>
      </c>
      <c r="E6" s="12">
        <f>'Condensed Financials'!E34</f>
        <v/>
      </c>
    </row>
    <row r="7">
      <c r="A7" s="10" t="inlineStr">
        <is>
          <t>Operating Working Capital Assets</t>
        </is>
      </c>
      <c r="B7" s="12">
        <f>'Condensed Financials'!B44</f>
        <v/>
      </c>
      <c r="C7" s="12">
        <f>'Condensed Financials'!C44</f>
        <v/>
      </c>
      <c r="D7" s="12">
        <f>'Condensed Financials'!D44</f>
        <v/>
      </c>
      <c r="E7" s="12">
        <f>'Condensed Financials'!E44</f>
        <v/>
      </c>
    </row>
    <row r="8">
      <c r="A8" s="10" t="inlineStr">
        <is>
          <t>Operating Working Capital Liabilities</t>
        </is>
      </c>
      <c r="B8" s="12">
        <f>'Condensed Financials'!B45</f>
        <v/>
      </c>
      <c r="C8" s="12">
        <f>'Condensed Financials'!C45</f>
        <v/>
      </c>
      <c r="D8" s="12">
        <f>'Condensed Financials'!D45</f>
        <v/>
      </c>
      <c r="E8" s="12">
        <f>'Condensed Financials'!E45</f>
        <v/>
      </c>
    </row>
    <row r="9">
      <c r="A9" s="10" t="inlineStr">
        <is>
          <t>NOWC</t>
        </is>
      </c>
      <c r="B9" s="12">
        <f>'Condensed Financials'!B46</f>
        <v/>
      </c>
      <c r="C9" s="12">
        <f>'Condensed Financials'!C46</f>
        <v/>
      </c>
      <c r="D9" s="12">
        <f>'Condensed Financials'!D46</f>
        <v/>
      </c>
      <c r="E9" s="12">
        <f>'Condensed Financials'!E46</f>
        <v/>
      </c>
    </row>
    <row r="10"/>
    <row r="11">
      <c r="A11" s="10" t="inlineStr">
        <is>
          <t>OWCA / Revenue</t>
        </is>
      </c>
      <c r="B11" s="14">
        <f>IF(B6=0,NA(),B7/B6)</f>
        <v/>
      </c>
      <c r="C11" s="14">
        <f>IF(C6=0,NA(),C7/C6)</f>
        <v/>
      </c>
      <c r="D11" s="14">
        <f>IF(D6=0,NA(),D7/D6)</f>
        <v/>
      </c>
      <c r="E11" s="14">
        <f>IF(E6=0,NA(),E7/E6)</f>
        <v/>
      </c>
    </row>
    <row r="12">
      <c r="A12" s="10" t="inlineStr">
        <is>
          <t>OWCL / Revenue</t>
        </is>
      </c>
      <c r="B12" s="14">
        <f>IF(B6=0,NA(),B8/B6)</f>
        <v/>
      </c>
      <c r="C12" s="14">
        <f>IF(C6=0,NA(),C8/C6)</f>
        <v/>
      </c>
      <c r="D12" s="14">
        <f>IF(D6=0,NA(),D8/D6)</f>
        <v/>
      </c>
      <c r="E12" s="14">
        <f>IF(E6=0,NA(),E8/E6)</f>
        <v/>
      </c>
    </row>
    <row r="13">
      <c r="A13" s="10" t="inlineStr">
        <is>
          <t>NOWC / Revenue</t>
        </is>
      </c>
      <c r="B13" s="14">
        <f>IF(B6=0,NA(),B9/B6)</f>
        <v/>
      </c>
      <c r="C13" s="14">
        <f>IF(C6=0,NA(),C9/C6)</f>
        <v/>
      </c>
      <c r="D13" s="14">
        <f>IF(D6=0,NA(),D9/D6)</f>
        <v/>
      </c>
      <c r="E13" s="14">
        <f>IF(E6=0,NA(),E9/E6)</f>
        <v/>
      </c>
    </row>
    <row r="14">
      <c r="A14" s="10" t="inlineStr">
        <is>
          <t>Change in Revenue</t>
        </is>
      </c>
      <c r="B14" s="10" t="inlineStr">
        <is>
          <t>N/A</t>
        </is>
      </c>
      <c r="C14" s="15">
        <f>C6-B6</f>
        <v/>
      </c>
      <c r="D14" s="15">
        <f>D6-C6</f>
        <v/>
      </c>
      <c r="E14" s="15">
        <f>E6-D6</f>
        <v/>
      </c>
    </row>
    <row r="15">
      <c r="A15" s="10" t="inlineStr">
        <is>
          <t>Change in NOWC</t>
        </is>
      </c>
      <c r="B15" s="10" t="inlineStr">
        <is>
          <t>N/A</t>
        </is>
      </c>
      <c r="C15" s="15">
        <f>C9-B9</f>
        <v/>
      </c>
      <c r="D15" s="15">
        <f>D9-C9</f>
        <v/>
      </c>
      <c r="E15" s="15">
        <f>E9-D9</f>
        <v/>
      </c>
    </row>
    <row r="16">
      <c r="A16" s="10" t="inlineStr">
        <is>
          <t>Incremental NOWC / Change in Revenue</t>
        </is>
      </c>
      <c r="B16" s="10" t="inlineStr">
        <is>
          <t>N/A</t>
        </is>
      </c>
      <c r="C16" s="14">
        <f>IF(C14=0,NA(),C15/C14)</f>
        <v/>
      </c>
      <c r="D16" s="14">
        <f>IF(D14=0,NA(),D15/D14)</f>
        <v/>
      </c>
      <c r="E16" s="14">
        <f>IF(E14=0,NA(),E15/E14)</f>
        <v/>
      </c>
    </row>
    <row r="17"/>
    <row r="18">
      <c r="A18" s="10" t="inlineStr">
        <is>
          <t>WORKING-CAPITAL DRIVER DECOMPOSITION</t>
        </is>
      </c>
    </row>
    <row r="19">
      <c r="A19" s="10" t="inlineStr">
        <is>
          <t>Change in OWCA</t>
        </is>
      </c>
      <c r="B19" s="10" t="inlineStr">
        <is>
          <t>N/A</t>
        </is>
      </c>
      <c r="C19" s="15">
        <f>C7-B7</f>
        <v/>
      </c>
      <c r="D19" s="15">
        <f>D7-C7</f>
        <v/>
      </c>
      <c r="E19" s="15">
        <f>E7-D7</f>
        <v/>
      </c>
    </row>
    <row r="20">
      <c r="A20" s="10" t="inlineStr">
        <is>
          <t>Change in OWCL</t>
        </is>
      </c>
      <c r="B20" s="10" t="inlineStr">
        <is>
          <t>N/A</t>
        </is>
      </c>
      <c r="C20" s="15">
        <f>C8-B8</f>
        <v/>
      </c>
      <c r="D20" s="15">
        <f>D8-C8</f>
        <v/>
      </c>
      <c r="E20" s="15">
        <f>E8-D8</f>
        <v/>
      </c>
    </row>
    <row r="21">
      <c r="A21" s="10" t="inlineStr">
        <is>
          <t>Change in NOWC from Components</t>
        </is>
      </c>
      <c r="B21" s="10" t="inlineStr">
        <is>
          <t>N/A</t>
        </is>
      </c>
      <c r="C21" s="15">
        <f>C19-C20</f>
        <v/>
      </c>
      <c r="D21" s="15">
        <f>D19-D20</f>
        <v/>
      </c>
      <c r="E21" s="15">
        <f>E19-E20</f>
        <v/>
      </c>
    </row>
    <row r="22">
      <c r="A22" s="10" t="inlineStr">
        <is>
          <t>Incremental OWCA / Change in Revenue</t>
        </is>
      </c>
      <c r="B22" s="10" t="inlineStr">
        <is>
          <t>N/A</t>
        </is>
      </c>
      <c r="C22" s="14">
        <f>IF(C14=0,NA(),C19/C14)</f>
        <v/>
      </c>
      <c r="D22" s="14">
        <f>IF(D14=0,NA(),D19/D14)</f>
        <v/>
      </c>
      <c r="E22" s="14">
        <f>IF(E14=0,NA(),E19/E14)</f>
        <v/>
      </c>
    </row>
    <row r="23">
      <c r="A23" s="10" t="inlineStr">
        <is>
          <t>Incremental OWCL / Change in Revenue</t>
        </is>
      </c>
      <c r="B23" s="10" t="inlineStr">
        <is>
          <t>N/A</t>
        </is>
      </c>
      <c r="C23" s="14">
        <f>IF(C14=0,NA(),C20/C14)</f>
        <v/>
      </c>
      <c r="D23" s="14">
        <f>IF(D14=0,NA(),D20/D14)</f>
        <v/>
      </c>
      <c r="E23" s="14">
        <f>IF(E14=0,NA(),E20/E14)</f>
        <v/>
      </c>
    </row>
    <row r="24">
      <c r="A24" s="10" t="inlineStr">
        <is>
          <t>DRIVER DECOMPOSITION CHECK</t>
        </is>
      </c>
      <c r="B24" s="10" t="inlineStr">
        <is>
          <t>N/A</t>
        </is>
      </c>
      <c r="C24" s="10">
        <f>IF(ABS(C21-C15)&lt;0.01,"OK","CHECK")</f>
        <v/>
      </c>
      <c r="D24" s="10">
        <f>IF(ABS(D21-D15)&lt;0.01,"OK","CHECK")</f>
        <v/>
      </c>
      <c r="E24" s="10">
        <f>IF(ABS(E21-E15)&lt;0.01,"OK","CHECK")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Per Share Analysis</t>
        </is>
      </c>
    </row>
    <row r="2">
      <c r="A2" s="10" t="inlineStr">
        <is>
          <t>Historical per-share diagnostics using supplied diluted weighted-average shares. Share counts are source inputs, not practice cells.</t>
        </is>
      </c>
    </row>
    <row r="3"/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Reported Net Income</t>
        </is>
      </c>
      <c r="B5" s="12">
        <f>'Condensed Financials'!B35</f>
        <v/>
      </c>
      <c r="C5" s="12">
        <f>'Condensed Financials'!C35</f>
        <v/>
      </c>
      <c r="D5" s="12">
        <f>'Condensed Financials'!D35</f>
        <v/>
      </c>
      <c r="E5" s="12">
        <f>'Condensed Financials'!E35</f>
        <v/>
      </c>
    </row>
    <row r="6">
      <c r="A6" s="10" t="inlineStr">
        <is>
          <t>NOPAT</t>
        </is>
      </c>
      <c r="B6" s="10" t="inlineStr">
        <is>
          <t>Source unavailable</t>
        </is>
      </c>
      <c r="C6" s="10" t="inlineStr">
        <is>
          <t>Source unavailable</t>
        </is>
      </c>
      <c r="D6" s="10" t="inlineStr">
        <is>
          <t>Source unavailable</t>
        </is>
      </c>
      <c r="E6" s="10" t="inlineStr">
        <is>
          <t>Source unavailable</t>
        </is>
      </c>
    </row>
    <row r="7">
      <c r="A7" s="10" t="inlineStr">
        <is>
          <t>Diluted Weighted-Average Shares</t>
        </is>
      </c>
      <c r="B7" s="18" t="n">
        <v>128017</v>
      </c>
      <c r="C7" s="18" t="n">
        <v>127060</v>
      </c>
      <c r="D7" s="18" t="n">
        <v>123935</v>
      </c>
      <c r="E7" s="18" t="n">
        <v>119068</v>
      </c>
    </row>
    <row r="8">
      <c r="A8" s="10" t="inlineStr">
        <is>
          <t>Share Basis: Reported basis</t>
        </is>
      </c>
    </row>
    <row r="9">
      <c r="A9" s="10" t="inlineStr">
        <is>
          <t>Diluted EPS (Comparable Basis)</t>
        </is>
      </c>
      <c r="B9" s="19">
        <f>IF(B7&lt;=0,NA(),B5/B7)</f>
        <v/>
      </c>
      <c r="C9" s="19">
        <f>IF(C7&lt;=0,NA(),C5/C7)</f>
        <v/>
      </c>
      <c r="D9" s="19">
        <f>IF(D7&lt;=0,NA(),D5/D7)</f>
        <v/>
      </c>
      <c r="E9" s="19">
        <f>IF(E7&lt;=0,NA(),E5/E7)</f>
        <v/>
      </c>
    </row>
    <row r="10">
      <c r="A10" s="10" t="inlineStr">
        <is>
          <t>NOPAT per Diluted Share</t>
        </is>
      </c>
      <c r="B10" s="10" t="inlineStr">
        <is>
          <t>Source unavailable</t>
        </is>
      </c>
      <c r="C10" s="10" t="inlineStr">
        <is>
          <t>Source unavailable</t>
        </is>
      </c>
      <c r="D10" s="10" t="inlineStr">
        <is>
          <t>Source unavailable</t>
        </is>
      </c>
      <c r="E10" s="10" t="inlineStr">
        <is>
          <t>Source unavailable</t>
        </is>
      </c>
    </row>
    <row r="11"/>
    <row r="12">
      <c r="A12" s="10" t="inlineStr">
        <is>
          <t>Change in Diluted EPS</t>
        </is>
      </c>
      <c r="B12" s="10" t="inlineStr">
        <is>
          <t>N/A</t>
        </is>
      </c>
      <c r="C12" s="19">
        <f>C9-B9</f>
        <v/>
      </c>
      <c r="D12" s="19">
        <f>D9-C9</f>
        <v/>
      </c>
      <c r="E12" s="19">
        <f>E9-D9</f>
        <v/>
      </c>
    </row>
    <row r="13">
      <c r="A13" s="10" t="inlineStr">
        <is>
          <t>Change in Diluted Weighted-Average Shares</t>
        </is>
      </c>
      <c r="B13" s="10" t="inlineStr">
        <is>
          <t>N/A</t>
        </is>
      </c>
      <c r="C13" s="20">
        <f>C7-B7</f>
        <v/>
      </c>
      <c r="D13" s="20">
        <f>D7-C7</f>
        <v/>
      </c>
      <c r="E13" s="20">
        <f>E7-D7</f>
        <v/>
      </c>
    </row>
    <row r="14"/>
    <row r="15">
      <c r="A15" s="10" t="inlineStr">
        <is>
          <t>DILUTED EPS CHANGE ATTRIBUTION</t>
        </is>
      </c>
    </row>
    <row r="16">
      <c r="A16" s="10" t="inlineStr">
        <is>
          <t>Change in Per-Share Earnings Numerator</t>
        </is>
      </c>
      <c r="B16" s="10" t="inlineStr">
        <is>
          <t>N/A</t>
        </is>
      </c>
      <c r="C16" s="15">
        <f>C5-B5</f>
        <v/>
      </c>
      <c r="D16" s="15">
        <f>D5-C5</f>
        <v/>
      </c>
      <c r="E16" s="15">
        <f>E5-D5</f>
        <v/>
      </c>
    </row>
    <row r="17">
      <c r="A17" s="10" t="inlineStr">
        <is>
          <t>Earnings Effect on Change in Diluted EPS</t>
        </is>
      </c>
      <c r="B17" s="10" t="inlineStr">
        <is>
          <t>N/A</t>
        </is>
      </c>
      <c r="C17" s="19">
        <f>C16*((1/C7+1/B7)/2)</f>
        <v/>
      </c>
      <c r="D17" s="19">
        <f>D16*((1/D7+1/C7)/2)</f>
        <v/>
      </c>
      <c r="E17" s="19">
        <f>E16*((1/E7+1/D7)/2)</f>
        <v/>
      </c>
    </row>
    <row r="18">
      <c r="A18" s="10" t="inlineStr">
        <is>
          <t>Share-Count Effect on Change in Diluted EPS</t>
        </is>
      </c>
      <c r="B18" s="10" t="inlineStr">
        <is>
          <t>N/A</t>
        </is>
      </c>
      <c r="C18" s="19">
        <f>((1/C7)-(1/B7))*((C5+B5)/2)</f>
        <v/>
      </c>
      <c r="D18" s="19">
        <f>((1/D7)-(1/C7))*((D5+C5)/2)</f>
        <v/>
      </c>
      <c r="E18" s="19">
        <f>((1/E7)-(1/D7))*((E5+D5)/2)</f>
        <v/>
      </c>
    </row>
    <row r="19">
      <c r="A19" s="10" t="inlineStr">
        <is>
          <t>Diluted EPS Change from Drivers</t>
        </is>
      </c>
      <c r="B19" s="10" t="inlineStr">
        <is>
          <t>N/A</t>
        </is>
      </c>
      <c r="C19" s="19">
        <f>C17+C18</f>
        <v/>
      </c>
      <c r="D19" s="19">
        <f>D17+D18</f>
        <v/>
      </c>
      <c r="E19" s="19">
        <f>E17+E18</f>
        <v/>
      </c>
    </row>
    <row r="20">
      <c r="A20" s="10" t="inlineStr">
        <is>
          <t>DILUTED EPS CHANGE ATTRIBUTION CHECK</t>
        </is>
      </c>
      <c r="B20" s="10" t="inlineStr">
        <is>
          <t>N/A</t>
        </is>
      </c>
      <c r="C20" s="10">
        <f>IF(ABS(C19-C12)&lt;0.0000001,"OK","CHECK")</f>
        <v/>
      </c>
      <c r="D20" s="10">
        <f>IF(ABS(D19-D12)&lt;0.0000001,"OK","CHECK")</f>
        <v/>
      </c>
      <c r="E20" s="10">
        <f>IF(ABS(E19-E12)&lt;0.0000001,"OK","CHECK")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short_hint</t>
        </is>
      </c>
      <c r="E1" s="1" t="inlineStr">
        <is>
          <t>semantic_key</t>
        </is>
      </c>
      <c r="F1" s="1" t="inlineStr">
        <is>
          <t>category</t>
        </is>
      </c>
      <c r="G1" s="1" t="inlineStr">
        <is>
          <t>tab</t>
        </is>
      </c>
      <c r="H1" s="1" t="inlineStr">
        <is>
          <t>cell</t>
        </is>
      </c>
      <c r="I1" s="1" t="inlineStr">
        <is>
          <t>formula</t>
        </is>
      </c>
      <c r="J1" s="1" t="inlineStr">
        <is>
          <t>expected_value</t>
        </is>
      </c>
      <c r="K1" s="1" t="inlineStr">
        <is>
          <t>tolerance</t>
        </is>
      </c>
      <c r="L1" s="1" t="inlineStr">
        <is>
          <t>depends_on</t>
        </is>
      </c>
      <c r="M1" s="1" t="inlineStr">
        <is>
          <t>hints</t>
        </is>
      </c>
      <c r="N1" s="1" t="inlineStr">
        <is>
          <t>related_cells</t>
        </is>
      </c>
      <c r="O1" s="1" t="inlineStr">
        <is>
          <t>status</t>
        </is>
      </c>
      <c r="P1" s="1" t="inlineStr">
        <is>
          <t>family_id</t>
        </is>
      </c>
      <c r="Q1" s="1" t="inlineStr">
        <is>
          <t>family_order</t>
        </is>
      </c>
      <c r="R1" s="1" t="inlineStr">
        <is>
          <t>period_index</t>
        </is>
      </c>
      <c r="S1" s="1" t="inlineStr">
        <is>
          <t>period_end</t>
        </is>
      </c>
    </row>
    <row r="2">
      <c r="A2" t="inlineStr">
        <is>
          <t>revenue_link__20230129</t>
        </is>
      </c>
      <c r="B2" t="n">
        <v>1</v>
      </c>
      <c r="C2" t="inlineStr">
        <is>
          <t>Revenue historical source link</t>
        </is>
      </c>
      <c r="D2" t="inlineStr">
        <is>
          <t>Link Revenue from the Income Statement into Condensed Financials.</t>
        </is>
      </c>
      <c r="E2" t="inlineStr">
        <is>
          <t>condensed.revenue_link.2023-01-29</t>
        </is>
      </c>
      <c r="F2" t="inlineStr">
        <is>
          <t>accounting</t>
        </is>
      </c>
      <c r="G2" t="inlineStr">
        <is>
          <t>Condensed Financials</t>
        </is>
      </c>
      <c r="H2" t="inlineStr">
        <is>
          <t>B34</t>
        </is>
      </c>
      <c r="I2">
        <f>'Income Statement'!B19</f>
        <v/>
      </c>
      <c r="J2" t="n">
        <v>8110518</v>
      </c>
      <c r="K2" t="n">
        <v>0.01</v>
      </c>
      <c r="M2" t="inlineStr">
        <is>
          <t>Pull the Revenue line from the Income Statement for the same fiscal period.</t>
        </is>
      </c>
      <c r="O2" t="inlineStr">
        <is>
          <t>pending</t>
        </is>
      </c>
      <c r="P2" t="inlineStr">
        <is>
          <t>revenue_link</t>
        </is>
      </c>
      <c r="Q2" t="n">
        <v>1</v>
      </c>
      <c r="R2" t="n">
        <v>0</v>
      </c>
      <c r="S2" t="inlineStr">
        <is>
          <t>2023-01-29</t>
        </is>
      </c>
    </row>
    <row r="3">
      <c r="A3" t="inlineStr">
        <is>
          <t>revenue_link__20240128</t>
        </is>
      </c>
      <c r="B3" t="n">
        <v>2</v>
      </c>
      <c r="C3" t="inlineStr">
        <is>
          <t>Revenue historical source link</t>
        </is>
      </c>
      <c r="D3" t="inlineStr">
        <is>
          <t>Link Revenue from the Income Statement into Condensed Financials.</t>
        </is>
      </c>
      <c r="E3" t="inlineStr">
        <is>
          <t>condensed.revenue_link.2024-01-28</t>
        </is>
      </c>
      <c r="F3" t="inlineStr">
        <is>
          <t>accounting</t>
        </is>
      </c>
      <c r="G3" t="inlineStr">
        <is>
          <t>Condensed Financials</t>
        </is>
      </c>
      <c r="H3" t="inlineStr">
        <is>
          <t>C34</t>
        </is>
      </c>
      <c r="I3">
        <f>'Income Statement'!C19</f>
        <v/>
      </c>
      <c r="J3" t="n">
        <v>9619278</v>
      </c>
      <c r="K3" t="n">
        <v>0.01</v>
      </c>
      <c r="M3" t="inlineStr">
        <is>
          <t>Pull the Revenue line from the Income Statement for the same fiscal period.</t>
        </is>
      </c>
      <c r="O3" t="inlineStr">
        <is>
          <t>pending</t>
        </is>
      </c>
      <c r="P3" t="inlineStr">
        <is>
          <t>revenue_link</t>
        </is>
      </c>
      <c r="Q3" t="n">
        <v>1</v>
      </c>
      <c r="R3" t="n">
        <v>1</v>
      </c>
      <c r="S3" t="inlineStr">
        <is>
          <t>2024-01-28</t>
        </is>
      </c>
    </row>
    <row r="4">
      <c r="A4" t="inlineStr">
        <is>
          <t>revenue_link__20250202</t>
        </is>
      </c>
      <c r="B4" t="n">
        <v>3</v>
      </c>
      <c r="C4" t="inlineStr">
        <is>
          <t>Revenue historical source link</t>
        </is>
      </c>
      <c r="D4" t="inlineStr">
        <is>
          <t>Link Revenue from the Income Statement into Condensed Financials.</t>
        </is>
      </c>
      <c r="E4" t="inlineStr">
        <is>
          <t>condensed.revenue_link.2025-02-02</t>
        </is>
      </c>
      <c r="F4" t="inlineStr">
        <is>
          <t>accounting</t>
        </is>
      </c>
      <c r="G4" t="inlineStr">
        <is>
          <t>Condensed Financials</t>
        </is>
      </c>
      <c r="H4" t="inlineStr">
        <is>
          <t>D34</t>
        </is>
      </c>
      <c r="I4">
        <f>'Income Statement'!D19</f>
        <v/>
      </c>
      <c r="J4" t="n">
        <v>10588126</v>
      </c>
      <c r="K4" t="n">
        <v>0.01</v>
      </c>
      <c r="M4" t="inlineStr">
        <is>
          <t>Pull the Revenue line from the Income Statement for the same fiscal period.</t>
        </is>
      </c>
      <c r="O4" t="inlineStr">
        <is>
          <t>pending</t>
        </is>
      </c>
      <c r="P4" t="inlineStr">
        <is>
          <t>revenue_link</t>
        </is>
      </c>
      <c r="Q4" t="n">
        <v>1</v>
      </c>
      <c r="R4" t="n">
        <v>2</v>
      </c>
      <c r="S4" t="inlineStr">
        <is>
          <t>2025-02-02</t>
        </is>
      </c>
    </row>
    <row r="5">
      <c r="A5" t="inlineStr">
        <is>
          <t>revenue_link__20260201</t>
        </is>
      </c>
      <c r="B5" t="n">
        <v>4</v>
      </c>
      <c r="C5" t="inlineStr">
        <is>
          <t>Revenue historical source link</t>
        </is>
      </c>
      <c r="D5" t="inlineStr">
        <is>
          <t>Link Revenue from the Income Statement into Condensed Financials.</t>
        </is>
      </c>
      <c r="E5" t="inlineStr">
        <is>
          <t>condensed.revenue_link.2026-02-01</t>
        </is>
      </c>
      <c r="F5" t="inlineStr">
        <is>
          <t>accounting</t>
        </is>
      </c>
      <c r="G5" t="inlineStr">
        <is>
          <t>Condensed Financials</t>
        </is>
      </c>
      <c r="H5" t="inlineStr">
        <is>
          <t>E34</t>
        </is>
      </c>
      <c r="I5">
        <f>'Income Statement'!E19</f>
        <v/>
      </c>
      <c r="J5" t="n">
        <v>11102600</v>
      </c>
      <c r="K5" t="n">
        <v>0.01</v>
      </c>
      <c r="M5" t="inlineStr">
        <is>
          <t>Pull the Revenue line from the Income Statement for the same fiscal period.</t>
        </is>
      </c>
      <c r="O5" t="inlineStr">
        <is>
          <t>pending</t>
        </is>
      </c>
      <c r="P5" t="inlineStr">
        <is>
          <t>revenue_link</t>
        </is>
      </c>
      <c r="Q5" t="n">
        <v>1</v>
      </c>
      <c r="R5" t="n">
        <v>3</v>
      </c>
      <c r="S5" t="inlineStr">
        <is>
          <t>2026-02-01</t>
        </is>
      </c>
    </row>
    <row r="6">
      <c r="A6" t="inlineStr">
        <is>
          <t>net_income_link__20230129</t>
        </is>
      </c>
      <c r="B6" t="n">
        <v>5</v>
      </c>
      <c r="C6" t="inlineStr">
        <is>
          <t>Net Income historical source link</t>
        </is>
      </c>
      <c r="D6" t="inlineStr">
        <is>
          <t>Link Net Income from the Income Statement into Condensed Financials.</t>
        </is>
      </c>
      <c r="E6" t="inlineStr">
        <is>
          <t>condensed.net_income_link.2023-01-29</t>
        </is>
      </c>
      <c r="F6" t="inlineStr">
        <is>
          <t>accounting</t>
        </is>
      </c>
      <c r="G6" t="inlineStr">
        <is>
          <t>Condensed Financials</t>
        </is>
      </c>
      <c r="H6" t="inlineStr">
        <is>
          <t>B35</t>
        </is>
      </c>
      <c r="I6">
        <f>'Income Statement'!B18</f>
        <v/>
      </c>
      <c r="J6" t="n">
        <v>854800</v>
      </c>
      <c r="K6" t="n">
        <v>0.01</v>
      </c>
      <c r="M6" t="inlineStr">
        <is>
          <t>Pull Net Income from the Income Statement for the same fiscal period.</t>
        </is>
      </c>
      <c r="O6" t="inlineStr">
        <is>
          <t>pending</t>
        </is>
      </c>
      <c r="P6" t="inlineStr">
        <is>
          <t>net_income_link</t>
        </is>
      </c>
      <c r="Q6" t="n">
        <v>2</v>
      </c>
      <c r="R6" t="n">
        <v>0</v>
      </c>
      <c r="S6" t="inlineStr">
        <is>
          <t>2023-01-29</t>
        </is>
      </c>
    </row>
    <row r="7">
      <c r="A7" t="inlineStr">
        <is>
          <t>net_income_link__20240128</t>
        </is>
      </c>
      <c r="B7" t="n">
        <v>6</v>
      </c>
      <c r="C7" t="inlineStr">
        <is>
          <t>Net Income historical source link</t>
        </is>
      </c>
      <c r="D7" t="inlineStr">
        <is>
          <t>Link Net Income from the Income Statement into Condensed Financials.</t>
        </is>
      </c>
      <c r="E7" t="inlineStr">
        <is>
          <t>condensed.net_income_link.2024-01-28</t>
        </is>
      </c>
      <c r="F7" t="inlineStr">
        <is>
          <t>accounting</t>
        </is>
      </c>
      <c r="G7" t="inlineStr">
        <is>
          <t>Condensed Financials</t>
        </is>
      </c>
      <c r="H7" t="inlineStr">
        <is>
          <t>C35</t>
        </is>
      </c>
      <c r="I7">
        <f>'Income Statement'!C18</f>
        <v/>
      </c>
      <c r="J7" t="n">
        <v>1550190</v>
      </c>
      <c r="K7" t="n">
        <v>0.01</v>
      </c>
      <c r="M7" t="inlineStr">
        <is>
          <t>Pull Net Income from the Income Statement for the same fiscal period.</t>
        </is>
      </c>
      <c r="O7" t="inlineStr">
        <is>
          <t>pending</t>
        </is>
      </c>
      <c r="P7" t="inlineStr">
        <is>
          <t>net_income_link</t>
        </is>
      </c>
      <c r="Q7" t="n">
        <v>2</v>
      </c>
      <c r="R7" t="n">
        <v>1</v>
      </c>
      <c r="S7" t="inlineStr">
        <is>
          <t>2024-01-28</t>
        </is>
      </c>
    </row>
    <row r="8">
      <c r="A8" t="inlineStr">
        <is>
          <t>net_income_link__20250202</t>
        </is>
      </c>
      <c r="B8" t="n">
        <v>7</v>
      </c>
      <c r="C8" t="inlineStr">
        <is>
          <t>Net Income historical source link</t>
        </is>
      </c>
      <c r="D8" t="inlineStr">
        <is>
          <t>Link Net Income from the Income Statement into Condensed Financials.</t>
        </is>
      </c>
      <c r="E8" t="inlineStr">
        <is>
          <t>condensed.net_income_link.2025-02-02</t>
        </is>
      </c>
      <c r="F8" t="inlineStr">
        <is>
          <t>accounting</t>
        </is>
      </c>
      <c r="G8" t="inlineStr">
        <is>
          <t>Condensed Financials</t>
        </is>
      </c>
      <c r="H8" t="inlineStr">
        <is>
          <t>D35</t>
        </is>
      </c>
      <c r="I8">
        <f>'Income Statement'!D18</f>
        <v/>
      </c>
      <c r="J8" t="n">
        <v>1814616</v>
      </c>
      <c r="K8" t="n">
        <v>0.01</v>
      </c>
      <c r="M8" t="inlineStr">
        <is>
          <t>Pull Net Income from the Income Statement for the same fiscal period.</t>
        </is>
      </c>
      <c r="O8" t="inlineStr">
        <is>
          <t>pending</t>
        </is>
      </c>
      <c r="P8" t="inlineStr">
        <is>
          <t>net_income_link</t>
        </is>
      </c>
      <c r="Q8" t="n">
        <v>2</v>
      </c>
      <c r="R8" t="n">
        <v>2</v>
      </c>
      <c r="S8" t="inlineStr">
        <is>
          <t>2025-02-02</t>
        </is>
      </c>
    </row>
    <row r="9">
      <c r="A9" t="inlineStr">
        <is>
          <t>net_income_link__20260201</t>
        </is>
      </c>
      <c r="B9" t="n">
        <v>8</v>
      </c>
      <c r="C9" t="inlineStr">
        <is>
          <t>Net Income historical source link</t>
        </is>
      </c>
      <c r="D9" t="inlineStr">
        <is>
          <t>Link Net Income from the Income Statement into Condensed Financials.</t>
        </is>
      </c>
      <c r="E9" t="inlineStr">
        <is>
          <t>condensed.net_income_link.2026-02-01</t>
        </is>
      </c>
      <c r="F9" t="inlineStr">
        <is>
          <t>accounting</t>
        </is>
      </c>
      <c r="G9" t="inlineStr">
        <is>
          <t>Condensed Financials</t>
        </is>
      </c>
      <c r="H9" t="inlineStr">
        <is>
          <t>E35</t>
        </is>
      </c>
      <c r="I9">
        <f>'Income Statement'!E18</f>
        <v/>
      </c>
      <c r="J9" t="n">
        <v>1579183</v>
      </c>
      <c r="K9" t="n">
        <v>0.01</v>
      </c>
      <c r="M9" t="inlineStr">
        <is>
          <t>Pull Net Income from the Income Statement for the same fiscal period.</t>
        </is>
      </c>
      <c r="O9" t="inlineStr">
        <is>
          <t>pending</t>
        </is>
      </c>
      <c r="P9" t="inlineStr">
        <is>
          <t>net_income_link</t>
        </is>
      </c>
      <c r="Q9" t="n">
        <v>2</v>
      </c>
      <c r="R9" t="n">
        <v>3</v>
      </c>
      <c r="S9" t="inlineStr">
        <is>
          <t>2026-02-01</t>
        </is>
      </c>
    </row>
    <row r="10">
      <c r="A10" t="inlineStr">
        <is>
          <t>effective_tax_rate_fy__20230129</t>
        </is>
      </c>
      <c r="B10" t="n">
        <v>9</v>
      </c>
      <c r="C10" t="inlineStr">
        <is>
          <t>Effective tax rate</t>
        </is>
      </c>
      <c r="D10" t="inlineStr">
        <is>
          <t>Relate tax expense to pretax income using the model's sign convention.</t>
        </is>
      </c>
      <c r="E10" t="inlineStr">
        <is>
          <t>condensed.effective_tax_rate.2023-01-29</t>
        </is>
      </c>
      <c r="F10" t="inlineStr">
        <is>
          <t>accounting</t>
        </is>
      </c>
      <c r="G10" t="inlineStr">
        <is>
          <t>Condensed Financials</t>
        </is>
      </c>
      <c r="H10" t="inlineStr">
        <is>
          <t>B38</t>
        </is>
      </c>
      <c r="I10">
        <f>IF(B36=0,NA(),-B37/B36)</f>
        <v/>
      </c>
      <c r="J10" t="n">
        <v>-0.3585332413807594</v>
      </c>
      <c r="K10" t="n">
        <v>0.01</v>
      </c>
      <c r="M10" t="inlineStr">
        <is>
          <t>Effective tax rate uses pretax income in the denominator.|Preserve the model's sign convention for tax expense.|A zero Pretax Income makes Effective Tax Rate undefined (#N/A).</t>
        </is>
      </c>
      <c r="O10" t="inlineStr">
        <is>
          <t>pending</t>
        </is>
      </c>
      <c r="P10" t="inlineStr">
        <is>
          <t>effective_tax_rate_fy</t>
        </is>
      </c>
      <c r="Q10" t="n">
        <v>3</v>
      </c>
      <c r="R10" t="n">
        <v>0</v>
      </c>
      <c r="S10" t="inlineStr">
        <is>
          <t>2023-01-29</t>
        </is>
      </c>
    </row>
    <row r="11">
      <c r="A11" t="inlineStr">
        <is>
          <t>effective_tax_rate_fy__20240128</t>
        </is>
      </c>
      <c r="B11" t="n">
        <v>10</v>
      </c>
      <c r="C11" t="inlineStr">
        <is>
          <t>Effective tax rate</t>
        </is>
      </c>
      <c r="D11" t="inlineStr">
        <is>
          <t>Relate tax expense to pretax income using the model's sign convention.</t>
        </is>
      </c>
      <c r="E11" t="inlineStr">
        <is>
          <t>condensed.effective_tax_rate.2024-01-28</t>
        </is>
      </c>
      <c r="F11" t="inlineStr">
        <is>
          <t>accounting</t>
        </is>
      </c>
      <c r="G11" t="inlineStr">
        <is>
          <t>Condensed Financials</t>
        </is>
      </c>
      <c r="H11" t="inlineStr">
        <is>
          <t>C38</t>
        </is>
      </c>
      <c r="I11">
        <f>IF(C36=0,NA(),-C37/C36)</f>
        <v/>
      </c>
      <c r="J11" t="n">
        <v>-0.287509738088508</v>
      </c>
      <c r="K11" t="n">
        <v>0.01</v>
      </c>
      <c r="M11" t="inlineStr">
        <is>
          <t>Effective tax rate uses pretax income in the denominator.|Preserve the model's sign convention for tax expense.|A zero Pretax Income makes Effective Tax Rate undefined (#N/A).</t>
        </is>
      </c>
      <c r="O11" t="inlineStr">
        <is>
          <t>pending</t>
        </is>
      </c>
      <c r="P11" t="inlineStr">
        <is>
          <t>effective_tax_rate_fy</t>
        </is>
      </c>
      <c r="Q11" t="n">
        <v>3</v>
      </c>
      <c r="R11" t="n">
        <v>1</v>
      </c>
      <c r="S11" t="inlineStr">
        <is>
          <t>2024-01-28</t>
        </is>
      </c>
    </row>
    <row r="12">
      <c r="A12" t="inlineStr">
        <is>
          <t>effective_tax_rate_fy__20250202</t>
        </is>
      </c>
      <c r="B12" t="n">
        <v>11</v>
      </c>
      <c r="C12" t="inlineStr">
        <is>
          <t>Effective tax rate</t>
        </is>
      </c>
      <c r="D12" t="inlineStr">
        <is>
          <t>Relate tax expense to pretax income using the model's sign convention.</t>
        </is>
      </c>
      <c r="E12" t="inlineStr">
        <is>
          <t>condensed.effective_tax_rate.2025-02-02</t>
        </is>
      </c>
      <c r="F12" t="inlineStr">
        <is>
          <t>accounting</t>
        </is>
      </c>
      <c r="G12" t="inlineStr">
        <is>
          <t>Condensed Financials</t>
        </is>
      </c>
      <c r="H12" t="inlineStr">
        <is>
          <t>D38</t>
        </is>
      </c>
      <c r="I12">
        <f>IF(D36=0,NA(),-D37/D36)</f>
        <v/>
      </c>
      <c r="J12" t="n">
        <v>-0.2955893787336326</v>
      </c>
      <c r="K12" t="n">
        <v>0.01</v>
      </c>
      <c r="M12" t="inlineStr">
        <is>
          <t>Effective tax rate uses pretax income in the denominator.|Preserve the model's sign convention for tax expense.|A zero Pretax Income makes Effective Tax Rate undefined (#N/A).</t>
        </is>
      </c>
      <c r="O12" t="inlineStr">
        <is>
          <t>pending</t>
        </is>
      </c>
      <c r="P12" t="inlineStr">
        <is>
          <t>effective_tax_rate_fy</t>
        </is>
      </c>
      <c r="Q12" t="n">
        <v>3</v>
      </c>
      <c r="R12" t="n">
        <v>2</v>
      </c>
      <c r="S12" t="inlineStr">
        <is>
          <t>2025-02-02</t>
        </is>
      </c>
    </row>
    <row r="13">
      <c r="A13" t="inlineStr">
        <is>
          <t>effective_tax_rate_fy__20260201</t>
        </is>
      </c>
      <c r="B13" t="n">
        <v>12</v>
      </c>
      <c r="C13" t="inlineStr">
        <is>
          <t>Effective tax rate</t>
        </is>
      </c>
      <c r="D13" t="inlineStr">
        <is>
          <t>Relate tax expense to pretax income using the model's sign convention.</t>
        </is>
      </c>
      <c r="E13" t="inlineStr">
        <is>
          <t>condensed.effective_tax_rate.2026-02-01</t>
        </is>
      </c>
      <c r="F13" t="inlineStr">
        <is>
          <t>accounting</t>
        </is>
      </c>
      <c r="G13" t="inlineStr">
        <is>
          <t>Condensed Financials</t>
        </is>
      </c>
      <c r="H13" t="inlineStr">
        <is>
          <t>E38</t>
        </is>
      </c>
      <c r="I13">
        <f>IF(E36=0,NA(),-E37/E36)</f>
        <v/>
      </c>
      <c r="J13" t="n">
        <v>-0.2946823244826744</v>
      </c>
      <c r="K13" t="n">
        <v>0.01</v>
      </c>
      <c r="M13" t="inlineStr">
        <is>
          <t>Effective tax rate uses pretax income in the denominator.|Preserve the model's sign convention for tax expense.|A zero Pretax Income makes Effective Tax Rate undefined (#N/A).</t>
        </is>
      </c>
      <c r="O13" t="inlineStr">
        <is>
          <t>pending</t>
        </is>
      </c>
      <c r="P13" t="inlineStr">
        <is>
          <t>effective_tax_rate_fy</t>
        </is>
      </c>
      <c r="Q13" t="n">
        <v>3</v>
      </c>
      <c r="R13" t="n">
        <v>3</v>
      </c>
      <c r="S13" t="inlineStr">
        <is>
          <t>2026-02-01</t>
        </is>
      </c>
    </row>
    <row r="14">
      <c r="A14" t="inlineStr">
        <is>
          <t>owca_agg__20230129</t>
        </is>
      </c>
      <c r="B14" t="n">
        <v>25</v>
      </c>
      <c r="C14" t="inlineStr">
        <is>
          <t>Operating working capital assets</t>
        </is>
      </c>
      <c r="D14" t="inlineStr">
        <is>
          <t>Aggregate the classified balance-sheet detail with the classification column.</t>
        </is>
      </c>
      <c r="E14" t="inlineStr">
        <is>
          <t>condensed.owca.2023-01-29</t>
        </is>
      </c>
      <c r="F14" t="inlineStr">
        <is>
          <t>accounting</t>
        </is>
      </c>
      <c r="G14" t="inlineStr">
        <is>
          <t>Condensed Financials</t>
        </is>
      </c>
      <c r="H14" t="inlineStr">
        <is>
          <t>B44</t>
        </is>
      </c>
      <c r="I14">
        <f>SUMIF($B$6:$B$31,"Operating Working Capital Asset",C$6:C$31)</f>
        <v/>
      </c>
      <c r="J14" t="n">
        <v>2004586</v>
      </c>
      <c r="K14" t="n">
        <v>0.01</v>
      </c>
      <c r="M14" t="inlineStr">
        <is>
          <t>Use SUMIF over the classification column for Operating Working Capital Asset.</t>
        </is>
      </c>
      <c r="O14" t="inlineStr">
        <is>
          <t>pending</t>
        </is>
      </c>
      <c r="P14" t="inlineStr">
        <is>
          <t>owca_agg</t>
        </is>
      </c>
      <c r="Q14" t="n">
        <v>7</v>
      </c>
      <c r="R14" t="n">
        <v>0</v>
      </c>
      <c r="S14" t="inlineStr">
        <is>
          <t>2023-01-29</t>
        </is>
      </c>
    </row>
    <row r="15">
      <c r="A15" t="inlineStr">
        <is>
          <t>owca_agg__20240128</t>
        </is>
      </c>
      <c r="B15" t="n">
        <v>26</v>
      </c>
      <c r="C15" t="inlineStr">
        <is>
          <t>Operating working capital assets</t>
        </is>
      </c>
      <c r="D15" t="inlineStr">
        <is>
          <t>Aggregate the classified balance-sheet detail with the classification column.</t>
        </is>
      </c>
      <c r="E15" t="inlineStr">
        <is>
          <t>condensed.owca.2024-01-28</t>
        </is>
      </c>
      <c r="F15" t="inlineStr">
        <is>
          <t>accounting</t>
        </is>
      </c>
      <c r="G15" t="inlineStr">
        <is>
          <t>Condensed Financials</t>
        </is>
      </c>
      <c r="H15" t="inlineStr">
        <is>
          <t>C44</t>
        </is>
      </c>
      <c r="I15">
        <f>SUMIF($B$6:$B$31,"Operating Working Capital Asset",D$6:D$31)</f>
        <v/>
      </c>
      <c r="J15" t="n">
        <v>1816606</v>
      </c>
      <c r="K15" t="n">
        <v>0.01</v>
      </c>
      <c r="M15" t="inlineStr">
        <is>
          <t>Use SUMIF over the classification column for Operating Working Capital Asset.</t>
        </is>
      </c>
      <c r="O15" t="inlineStr">
        <is>
          <t>pending</t>
        </is>
      </c>
      <c r="P15" t="inlineStr">
        <is>
          <t>owca_agg</t>
        </is>
      </c>
      <c r="Q15" t="n">
        <v>7</v>
      </c>
      <c r="R15" t="n">
        <v>1</v>
      </c>
      <c r="S15" t="inlineStr">
        <is>
          <t>2024-01-28</t>
        </is>
      </c>
    </row>
    <row r="16">
      <c r="A16" t="inlineStr">
        <is>
          <t>owca_agg__20250202</t>
        </is>
      </c>
      <c r="B16" t="n">
        <v>27</v>
      </c>
      <c r="C16" t="inlineStr">
        <is>
          <t>Operating working capital assets</t>
        </is>
      </c>
      <c r="D16" t="inlineStr">
        <is>
          <t>Aggregate the classified balance-sheet detail with the classification column.</t>
        </is>
      </c>
      <c r="E16" t="inlineStr">
        <is>
          <t>condensed.owca.2025-02-02</t>
        </is>
      </c>
      <c r="F16" t="inlineStr">
        <is>
          <t>accounting</t>
        </is>
      </c>
      <c r="G16" t="inlineStr">
        <is>
          <t>Condensed Financials</t>
        </is>
      </c>
      <c r="H16" t="inlineStr">
        <is>
          <t>D44</t>
        </is>
      </c>
      <c r="I16">
        <f>SUMIF($B$6:$B$31,"Operating Working Capital Asset",E$6:E$31)</f>
        <v/>
      </c>
      <c r="J16" t="n">
        <v>1995966</v>
      </c>
      <c r="K16" t="n">
        <v>0.01</v>
      </c>
      <c r="M16" t="inlineStr">
        <is>
          <t>Use SUMIF over the classification column for Operating Working Capital Asset.</t>
        </is>
      </c>
      <c r="O16" t="inlineStr">
        <is>
          <t>pending</t>
        </is>
      </c>
      <c r="P16" t="inlineStr">
        <is>
          <t>owca_agg</t>
        </is>
      </c>
      <c r="Q16" t="n">
        <v>7</v>
      </c>
      <c r="R16" t="n">
        <v>2</v>
      </c>
      <c r="S16" t="inlineStr">
        <is>
          <t>2025-02-02</t>
        </is>
      </c>
    </row>
    <row r="17">
      <c r="A17" t="inlineStr">
        <is>
          <t>owca_agg__20260201</t>
        </is>
      </c>
      <c r="B17" t="n">
        <v>28</v>
      </c>
      <c r="C17" t="inlineStr">
        <is>
          <t>Operating working capital assets</t>
        </is>
      </c>
      <c r="D17" t="inlineStr">
        <is>
          <t>Aggregate the classified balance-sheet detail with the classification column.</t>
        </is>
      </c>
      <c r="E17" t="inlineStr">
        <is>
          <t>condensed.owca.2026-02-01</t>
        </is>
      </c>
      <c r="F17" t="inlineStr">
        <is>
          <t>accounting</t>
        </is>
      </c>
      <c r="G17" t="inlineStr">
        <is>
          <t>Condensed Financials</t>
        </is>
      </c>
      <c r="H17" t="inlineStr">
        <is>
          <t>E44</t>
        </is>
      </c>
      <c r="I17">
        <f>SUMIF($B$6:$B$31,"Operating Working Capital Asset",F$6:F$31)</f>
        <v/>
      </c>
      <c r="J17" t="n">
        <v>2455499</v>
      </c>
      <c r="K17" t="n">
        <v>0.01</v>
      </c>
      <c r="M17" t="inlineStr">
        <is>
          <t>Use SUMIF over the classification column for Operating Working Capital Asset.</t>
        </is>
      </c>
      <c r="O17" t="inlineStr">
        <is>
          <t>pending</t>
        </is>
      </c>
      <c r="P17" t="inlineStr">
        <is>
          <t>owca_agg</t>
        </is>
      </c>
      <c r="Q17" t="n">
        <v>7</v>
      </c>
      <c r="R17" t="n">
        <v>3</v>
      </c>
      <c r="S17" t="inlineStr">
        <is>
          <t>2026-02-01</t>
        </is>
      </c>
    </row>
    <row r="18">
      <c r="A18" t="inlineStr">
        <is>
          <t>owcl_agg__20230129</t>
        </is>
      </c>
      <c r="B18" t="n">
        <v>29</v>
      </c>
      <c r="C18" t="inlineStr">
        <is>
          <t>Operating working capital liabilities</t>
        </is>
      </c>
      <c r="D18" t="inlineStr">
        <is>
          <t>Aggregate the classified balance-sheet detail with the classification column.</t>
        </is>
      </c>
      <c r="E18" t="inlineStr">
        <is>
          <t>condensed.owcl.2023-01-29</t>
        </is>
      </c>
      <c r="F18" t="inlineStr">
        <is>
          <t>accounting</t>
        </is>
      </c>
      <c r="G18" t="inlineStr">
        <is>
          <t>Condensed Financials</t>
        </is>
      </c>
      <c r="H18" t="inlineStr">
        <is>
          <t>B45</t>
        </is>
      </c>
      <c r="I18">
        <f>SUMIF($B$6:$B$31,"Operating Working Capital Liability",C$6:C$31)</f>
        <v/>
      </c>
      <c r="J18" t="n">
        <v>1312781</v>
      </c>
      <c r="K18" t="n">
        <v>0.01</v>
      </c>
      <c r="M18" t="inlineStr">
        <is>
          <t>Use SUMIF over the classification column for Operating Working Capital Liability.</t>
        </is>
      </c>
      <c r="O18" t="inlineStr">
        <is>
          <t>pending</t>
        </is>
      </c>
      <c r="P18" t="inlineStr">
        <is>
          <t>owcl_agg</t>
        </is>
      </c>
      <c r="Q18" t="n">
        <v>8</v>
      </c>
      <c r="R18" t="n">
        <v>0</v>
      </c>
      <c r="S18" t="inlineStr">
        <is>
          <t>2023-01-29</t>
        </is>
      </c>
    </row>
    <row r="19">
      <c r="A19" t="inlineStr">
        <is>
          <t>owcl_agg__20240128</t>
        </is>
      </c>
      <c r="B19" t="n">
        <v>30</v>
      </c>
      <c r="C19" t="inlineStr">
        <is>
          <t>Operating working capital liabilities</t>
        </is>
      </c>
      <c r="D19" t="inlineStr">
        <is>
          <t>Aggregate the classified balance-sheet detail with the classification column.</t>
        </is>
      </c>
      <c r="E19" t="inlineStr">
        <is>
          <t>condensed.owcl.2024-01-28</t>
        </is>
      </c>
      <c r="F19" t="inlineStr">
        <is>
          <t>accounting</t>
        </is>
      </c>
      <c r="G19" t="inlineStr">
        <is>
          <t>Condensed Financials</t>
        </is>
      </c>
      <c r="H19" t="inlineStr">
        <is>
          <t>C45</t>
        </is>
      </c>
      <c r="I19">
        <f>SUMIF($B$6:$B$31,"Operating Working Capital Liability",D$6:D$31)</f>
        <v/>
      </c>
      <c r="J19" t="n">
        <v>1397855</v>
      </c>
      <c r="K19" t="n">
        <v>0.01</v>
      </c>
      <c r="M19" t="inlineStr">
        <is>
          <t>Use SUMIF over the classification column for Operating Working Capital Liability.</t>
        </is>
      </c>
      <c r="O19" t="inlineStr">
        <is>
          <t>pending</t>
        </is>
      </c>
      <c r="P19" t="inlineStr">
        <is>
          <t>owcl_agg</t>
        </is>
      </c>
      <c r="Q19" t="n">
        <v>8</v>
      </c>
      <c r="R19" t="n">
        <v>1</v>
      </c>
      <c r="S19" t="inlineStr">
        <is>
          <t>2024-01-28</t>
        </is>
      </c>
    </row>
    <row r="20">
      <c r="A20" t="inlineStr">
        <is>
          <t>owcl_agg__20250202</t>
        </is>
      </c>
      <c r="B20" t="n">
        <v>31</v>
      </c>
      <c r="C20" t="inlineStr">
        <is>
          <t>Operating working capital liabilities</t>
        </is>
      </c>
      <c r="D20" t="inlineStr">
        <is>
          <t>Aggregate the classified balance-sheet detail with the classification column.</t>
        </is>
      </c>
      <c r="E20" t="inlineStr">
        <is>
          <t>condensed.owcl.2025-02-02</t>
        </is>
      </c>
      <c r="F20" t="inlineStr">
        <is>
          <t>accounting</t>
        </is>
      </c>
      <c r="G20" t="inlineStr">
        <is>
          <t>Condensed Financials</t>
        </is>
      </c>
      <c r="H20" t="inlineStr">
        <is>
          <t>D45</t>
        </is>
      </c>
      <c r="I20">
        <f>SUMIF($B$6:$B$31,"Operating Working Capital Liability",E$6:E$31)</f>
        <v/>
      </c>
      <c r="J20" t="n">
        <v>1564476</v>
      </c>
      <c r="K20" t="n">
        <v>0.01</v>
      </c>
      <c r="M20" t="inlineStr">
        <is>
          <t>Use SUMIF over the classification column for Operating Working Capital Liability.</t>
        </is>
      </c>
      <c r="O20" t="inlineStr">
        <is>
          <t>pending</t>
        </is>
      </c>
      <c r="P20" t="inlineStr">
        <is>
          <t>owcl_agg</t>
        </is>
      </c>
      <c r="Q20" t="n">
        <v>8</v>
      </c>
      <c r="R20" t="n">
        <v>2</v>
      </c>
      <c r="S20" t="inlineStr">
        <is>
          <t>2025-02-02</t>
        </is>
      </c>
    </row>
    <row r="21">
      <c r="A21" t="inlineStr">
        <is>
          <t>owcl_agg__20260201</t>
        </is>
      </c>
      <c r="B21" t="n">
        <v>32</v>
      </c>
      <c r="C21" t="inlineStr">
        <is>
          <t>Operating working capital liabilities</t>
        </is>
      </c>
      <c r="D21" t="inlineStr">
        <is>
          <t>Aggregate the classified balance-sheet detail with the classification column.</t>
        </is>
      </c>
      <c r="E21" t="inlineStr">
        <is>
          <t>condensed.owcl.2026-02-01</t>
        </is>
      </c>
      <c r="F21" t="inlineStr">
        <is>
          <t>accounting</t>
        </is>
      </c>
      <c r="G21" t="inlineStr">
        <is>
          <t>Condensed Financials</t>
        </is>
      </c>
      <c r="H21" t="inlineStr">
        <is>
          <t>E45</t>
        </is>
      </c>
      <c r="I21">
        <f>SUMIF($B$6:$B$31,"Operating Working Capital Liability",F$6:F$31)</f>
        <v/>
      </c>
      <c r="J21" t="n">
        <v>1588824</v>
      </c>
      <c r="K21" t="n">
        <v>0.01</v>
      </c>
      <c r="M21" t="inlineStr">
        <is>
          <t>Use SUMIF over the classification column for Operating Working Capital Liability.</t>
        </is>
      </c>
      <c r="O21" t="inlineStr">
        <is>
          <t>pending</t>
        </is>
      </c>
      <c r="P21" t="inlineStr">
        <is>
          <t>owcl_agg</t>
        </is>
      </c>
      <c r="Q21" t="n">
        <v>8</v>
      </c>
      <c r="R21" t="n">
        <v>3</v>
      </c>
      <c r="S21" t="inlineStr">
        <is>
          <t>2026-02-01</t>
        </is>
      </c>
    </row>
    <row r="22">
      <c r="A22" t="inlineStr">
        <is>
          <t>nowc_agg__20230129</t>
        </is>
      </c>
      <c r="B22" t="n">
        <v>33</v>
      </c>
      <c r="C22" t="inlineStr">
        <is>
          <t>Net Operating Working Capital (NOWC)</t>
        </is>
      </c>
      <c r="D22" t="inlineStr">
        <is>
          <t>Sum operating WC assets minus operating WC liabilities.</t>
        </is>
      </c>
      <c r="E22" t="inlineStr">
        <is>
          <t>condensed.nowc.2023-01-29</t>
        </is>
      </c>
      <c r="F22" t="inlineStr">
        <is>
          <t>accounting</t>
        </is>
      </c>
      <c r="G22" t="inlineStr">
        <is>
          <t>Condensed Financials</t>
        </is>
      </c>
      <c r="H22" t="inlineStr">
        <is>
          <t>B46</t>
        </is>
      </c>
      <c r="I22">
        <f>B44-B45</f>
        <v/>
      </c>
      <c r="J22" t="n">
        <v>691805</v>
      </c>
      <c r="K22" t="n">
        <v>0.01</v>
      </c>
      <c r="L22" t="inlineStr">
        <is>
          <t>owca_agg__20230129,owcl_agg__20230129</t>
        </is>
      </c>
      <c r="M22" t="inlineStr">
        <is>
          <t>Use SUMIF over the classification column for 'Operating Working Capital Asset'.|Subtract SUMIF for 'Operating Working Capital Liability'.|NOWC = Op. WC Assets − Op. WC Liabilities.</t>
        </is>
      </c>
      <c r="O22" t="inlineStr">
        <is>
          <t>pending</t>
        </is>
      </c>
      <c r="P22" t="inlineStr">
        <is>
          <t>nowc_agg</t>
        </is>
      </c>
      <c r="Q22" t="n">
        <v>9</v>
      </c>
      <c r="R22" t="n">
        <v>0</v>
      </c>
      <c r="S22" t="inlineStr">
        <is>
          <t>2023-01-29</t>
        </is>
      </c>
    </row>
    <row r="23">
      <c r="A23" t="inlineStr">
        <is>
          <t>nowc_agg__20240128</t>
        </is>
      </c>
      <c r="B23" t="n">
        <v>34</v>
      </c>
      <c r="C23" t="inlineStr">
        <is>
          <t>Net Operating Working Capital (NOWC)</t>
        </is>
      </c>
      <c r="D23" t="inlineStr">
        <is>
          <t>Sum operating WC assets minus operating WC liabilities.</t>
        </is>
      </c>
      <c r="E23" t="inlineStr">
        <is>
          <t>condensed.nowc.2024-01-28</t>
        </is>
      </c>
      <c r="F23" t="inlineStr">
        <is>
          <t>accounting</t>
        </is>
      </c>
      <c r="G23" t="inlineStr">
        <is>
          <t>Condensed Financials</t>
        </is>
      </c>
      <c r="H23" t="inlineStr">
        <is>
          <t>C46</t>
        </is>
      </c>
      <c r="I23">
        <f>C44-C45</f>
        <v/>
      </c>
      <c r="J23" t="n">
        <v>418751</v>
      </c>
      <c r="K23" t="n">
        <v>0.01</v>
      </c>
      <c r="L23" t="inlineStr">
        <is>
          <t>owca_agg__20240128,owcl_agg__20240128</t>
        </is>
      </c>
      <c r="M23" t="inlineStr">
        <is>
          <t>Use SUMIF over the classification column for 'Operating Working Capital Asset'.|Subtract SUMIF for 'Operating Working Capital Liability'.|NOWC = Op. WC Assets − Op. WC Liabilities.</t>
        </is>
      </c>
      <c r="O23" t="inlineStr">
        <is>
          <t>pending</t>
        </is>
      </c>
      <c r="P23" t="inlineStr">
        <is>
          <t>nowc_agg</t>
        </is>
      </c>
      <c r="Q23" t="n">
        <v>9</v>
      </c>
      <c r="R23" t="n">
        <v>1</v>
      </c>
      <c r="S23" t="inlineStr">
        <is>
          <t>2024-01-28</t>
        </is>
      </c>
    </row>
    <row r="24">
      <c r="A24" t="inlineStr">
        <is>
          <t>nowc_agg__20250202</t>
        </is>
      </c>
      <c r="B24" t="n">
        <v>35</v>
      </c>
      <c r="C24" t="inlineStr">
        <is>
          <t>Net Operating Working Capital (NOWC)</t>
        </is>
      </c>
      <c r="D24" t="inlineStr">
        <is>
          <t>Sum operating WC assets minus operating WC liabilities.</t>
        </is>
      </c>
      <c r="E24" t="inlineStr">
        <is>
          <t>condensed.nowc.2025-02-02</t>
        </is>
      </c>
      <c r="F24" t="inlineStr">
        <is>
          <t>accounting</t>
        </is>
      </c>
      <c r="G24" t="inlineStr">
        <is>
          <t>Condensed Financials</t>
        </is>
      </c>
      <c r="H24" t="inlineStr">
        <is>
          <t>D46</t>
        </is>
      </c>
      <c r="I24">
        <f>D44-D45</f>
        <v/>
      </c>
      <c r="J24" t="n">
        <v>431490</v>
      </c>
      <c r="K24" t="n">
        <v>0.01</v>
      </c>
      <c r="L24" t="inlineStr">
        <is>
          <t>owca_agg__20250202,owcl_agg__20250202</t>
        </is>
      </c>
      <c r="M24" t="inlineStr">
        <is>
          <t>Use SUMIF over the classification column for 'Operating Working Capital Asset'.|Subtract SUMIF for 'Operating Working Capital Liability'.|NOWC = Op. WC Assets − Op. WC Liabilities.</t>
        </is>
      </c>
      <c r="O24" t="inlineStr">
        <is>
          <t>pending</t>
        </is>
      </c>
      <c r="P24" t="inlineStr">
        <is>
          <t>nowc_agg</t>
        </is>
      </c>
      <c r="Q24" t="n">
        <v>9</v>
      </c>
      <c r="R24" t="n">
        <v>2</v>
      </c>
      <c r="S24" t="inlineStr">
        <is>
          <t>2025-02-02</t>
        </is>
      </c>
    </row>
    <row r="25">
      <c r="A25" t="inlineStr">
        <is>
          <t>nowc_agg__20260201</t>
        </is>
      </c>
      <c r="B25" t="n">
        <v>36</v>
      </c>
      <c r="C25" t="inlineStr">
        <is>
          <t>Net Operating Working Capital (NOWC)</t>
        </is>
      </c>
      <c r="D25" t="inlineStr">
        <is>
          <t>Sum operating WC assets minus operating WC liabilities.</t>
        </is>
      </c>
      <c r="E25" t="inlineStr">
        <is>
          <t>condensed.nowc.2026-02-01</t>
        </is>
      </c>
      <c r="F25" t="inlineStr">
        <is>
          <t>accounting</t>
        </is>
      </c>
      <c r="G25" t="inlineStr">
        <is>
          <t>Condensed Financials</t>
        </is>
      </c>
      <c r="H25" t="inlineStr">
        <is>
          <t>E46</t>
        </is>
      </c>
      <c r="I25">
        <f>E44-E45</f>
        <v/>
      </c>
      <c r="J25" t="n">
        <v>866675</v>
      </c>
      <c r="K25" t="n">
        <v>0.01</v>
      </c>
      <c r="L25" t="inlineStr">
        <is>
          <t>owca_agg__20260201,owcl_agg__20260201</t>
        </is>
      </c>
      <c r="M25" t="inlineStr">
        <is>
          <t>Use SUMIF over the classification column for 'Operating Working Capital Asset'.|Subtract SUMIF for 'Operating Working Capital Liability'.|NOWC = Op. WC Assets − Op. WC Liabilities.</t>
        </is>
      </c>
      <c r="O25" t="inlineStr">
        <is>
          <t>pending</t>
        </is>
      </c>
      <c r="P25" t="inlineStr">
        <is>
          <t>nowc_agg</t>
        </is>
      </c>
      <c r="Q25" t="n">
        <v>9</v>
      </c>
      <c r="R25" t="n">
        <v>3</v>
      </c>
      <c r="S25" t="inlineStr">
        <is>
          <t>2026-02-01</t>
        </is>
      </c>
    </row>
    <row r="26">
      <c r="A26" t="inlineStr">
        <is>
          <t>olta_agg__20230129</t>
        </is>
      </c>
      <c r="B26" t="n">
        <v>37</v>
      </c>
      <c r="C26" t="inlineStr">
        <is>
          <t>Operating long-term assets</t>
        </is>
      </c>
      <c r="D26" t="inlineStr">
        <is>
          <t>Aggregate the classified balance-sheet detail with the classification column.</t>
        </is>
      </c>
      <c r="E26" t="inlineStr">
        <is>
          <t>condensed.olta.2023-01-29</t>
        </is>
      </c>
      <c r="F26" t="inlineStr">
        <is>
          <t>accounting</t>
        </is>
      </c>
      <c r="G26" t="inlineStr">
        <is>
          <t>Condensed Financials</t>
        </is>
      </c>
      <c r="H26" t="inlineStr">
        <is>
          <t>B47</t>
        </is>
      </c>
      <c r="I26">
        <f>SUMIF($B$6:$B$31,"Operating Long-Term Asset",C$6:C$31)</f>
        <v/>
      </c>
      <c r="J26" t="n">
        <v>2447585</v>
      </c>
      <c r="K26" t="n">
        <v>0.01</v>
      </c>
      <c r="M26" t="inlineStr">
        <is>
          <t>Use SUMIF over the classification column for Operating Long-Term Asset.</t>
        </is>
      </c>
      <c r="O26" t="inlineStr">
        <is>
          <t>pending</t>
        </is>
      </c>
      <c r="P26" t="inlineStr">
        <is>
          <t>olta_agg</t>
        </is>
      </c>
      <c r="Q26" t="n">
        <v>10</v>
      </c>
      <c r="R26" t="n">
        <v>0</v>
      </c>
      <c r="S26" t="inlineStr">
        <is>
          <t>2023-01-29</t>
        </is>
      </c>
    </row>
    <row r="27">
      <c r="A27" t="inlineStr">
        <is>
          <t>olta_agg__20240128</t>
        </is>
      </c>
      <c r="B27" t="n">
        <v>38</v>
      </c>
      <c r="C27" t="inlineStr">
        <is>
          <t>Operating long-term assets</t>
        </is>
      </c>
      <c r="D27" t="inlineStr">
        <is>
          <t>Aggregate the classified balance-sheet detail with the classification column.</t>
        </is>
      </c>
      <c r="E27" t="inlineStr">
        <is>
          <t>condensed.olta.2024-01-28</t>
        </is>
      </c>
      <c r="F27" t="inlineStr">
        <is>
          <t>accounting</t>
        </is>
      </c>
      <c r="G27" t="inlineStr">
        <is>
          <t>Condensed Financials</t>
        </is>
      </c>
      <c r="H27" t="inlineStr">
        <is>
          <t>C47</t>
        </is>
      </c>
      <c r="I27">
        <f>SUMIF($B$6:$B$31,"Operating Long-Term Asset",D$6:D$31)</f>
        <v/>
      </c>
      <c r="J27" t="n">
        <v>3031364</v>
      </c>
      <c r="K27" t="n">
        <v>0.01</v>
      </c>
      <c r="M27" t="inlineStr">
        <is>
          <t>Use SUMIF over the classification column for Operating Long-Term Asset.</t>
        </is>
      </c>
      <c r="O27" t="inlineStr">
        <is>
          <t>pending</t>
        </is>
      </c>
      <c r="P27" t="inlineStr">
        <is>
          <t>olta_agg</t>
        </is>
      </c>
      <c r="Q27" t="n">
        <v>10</v>
      </c>
      <c r="R27" t="n">
        <v>1</v>
      </c>
      <c r="S27" t="inlineStr">
        <is>
          <t>2024-01-28</t>
        </is>
      </c>
    </row>
    <row r="28">
      <c r="A28" t="inlineStr">
        <is>
          <t>olta_agg__20250202</t>
        </is>
      </c>
      <c r="B28" t="n">
        <v>39</v>
      </c>
      <c r="C28" t="inlineStr">
        <is>
          <t>Operating long-term assets</t>
        </is>
      </c>
      <c r="D28" t="inlineStr">
        <is>
          <t>Aggregate the classified balance-sheet detail with the classification column.</t>
        </is>
      </c>
      <c r="E28" t="inlineStr">
        <is>
          <t>condensed.olta.2025-02-02</t>
        </is>
      </c>
      <c r="F28" t="inlineStr">
        <is>
          <t>accounting</t>
        </is>
      </c>
      <c r="G28" t="inlineStr">
        <is>
          <t>Condensed Financials</t>
        </is>
      </c>
      <c r="H28" t="inlineStr">
        <is>
          <t>D47</t>
        </is>
      </c>
      <c r="I28">
        <f>SUMIF($B$6:$B$31,"Operating Long-Term Asset",E$6:E$31)</f>
        <v/>
      </c>
      <c r="J28" t="n">
        <v>3622990</v>
      </c>
      <c r="K28" t="n">
        <v>0.01</v>
      </c>
      <c r="M28" t="inlineStr">
        <is>
          <t>Use SUMIF over the classification column for Operating Long-Term Asset.</t>
        </is>
      </c>
      <c r="O28" t="inlineStr">
        <is>
          <t>pending</t>
        </is>
      </c>
      <c r="P28" t="inlineStr">
        <is>
          <t>olta_agg</t>
        </is>
      </c>
      <c r="Q28" t="n">
        <v>10</v>
      </c>
      <c r="R28" t="n">
        <v>2</v>
      </c>
      <c r="S28" t="inlineStr">
        <is>
          <t>2025-02-02</t>
        </is>
      </c>
    </row>
    <row r="29">
      <c r="A29" t="inlineStr">
        <is>
          <t>olta_agg__20260201</t>
        </is>
      </c>
      <c r="B29" t="n">
        <v>40</v>
      </c>
      <c r="C29" t="inlineStr">
        <is>
          <t>Operating long-term assets</t>
        </is>
      </c>
      <c r="D29" t="inlineStr">
        <is>
          <t>Aggregate the classified balance-sheet detail with the classification column.</t>
        </is>
      </c>
      <c r="E29" t="inlineStr">
        <is>
          <t>condensed.olta.2026-02-01</t>
        </is>
      </c>
      <c r="F29" t="inlineStr">
        <is>
          <t>accounting</t>
        </is>
      </c>
      <c r="G29" t="inlineStr">
        <is>
          <t>Condensed Financials</t>
        </is>
      </c>
      <c r="H29" t="inlineStr">
        <is>
          <t>E47</t>
        </is>
      </c>
      <c r="I29">
        <f>SUMIF($B$6:$B$31,"Operating Long-Term Asset",F$6:F$31)</f>
        <v/>
      </c>
      <c r="J29" t="n">
        <v>4194042</v>
      </c>
      <c r="K29" t="n">
        <v>0.01</v>
      </c>
      <c r="M29" t="inlineStr">
        <is>
          <t>Use SUMIF over the classification column for Operating Long-Term Asset.</t>
        </is>
      </c>
      <c r="O29" t="inlineStr">
        <is>
          <t>pending</t>
        </is>
      </c>
      <c r="P29" t="inlineStr">
        <is>
          <t>olta_agg</t>
        </is>
      </c>
      <c r="Q29" t="n">
        <v>10</v>
      </c>
      <c r="R29" t="n">
        <v>3</v>
      </c>
      <c r="S29" t="inlineStr">
        <is>
          <t>2026-02-01</t>
        </is>
      </c>
    </row>
    <row r="30">
      <c r="A30" t="inlineStr">
        <is>
          <t>oltl_agg__20230129</t>
        </is>
      </c>
      <c r="B30" t="n">
        <v>41</v>
      </c>
      <c r="C30" t="inlineStr">
        <is>
          <t>Operating long-term liabilities</t>
        </is>
      </c>
      <c r="D30" t="inlineStr">
        <is>
          <t>Aggregate the classified balance-sheet detail with the classification column.</t>
        </is>
      </c>
      <c r="E30" t="inlineStr">
        <is>
          <t>condensed.oltl.2023-01-29</t>
        </is>
      </c>
      <c r="F30" t="inlineStr">
        <is>
          <t>accounting</t>
        </is>
      </c>
      <c r="G30" t="inlineStr">
        <is>
          <t>Condensed Financials</t>
        </is>
      </c>
      <c r="H30" t="inlineStr">
        <is>
          <t>B48</t>
        </is>
      </c>
      <c r="I30">
        <f>SUMIF($B$6:$B$31,"Operating Long-Term Liability",C$6:C$31)</f>
        <v/>
      </c>
      <c r="J30" t="n">
        <v>1145458</v>
      </c>
      <c r="K30" t="n">
        <v>0.01</v>
      </c>
      <c r="M30" t="inlineStr">
        <is>
          <t>Use SUMIF over the classification column for Operating Long-Term Liability.</t>
        </is>
      </c>
      <c r="O30" t="inlineStr">
        <is>
          <t>pending</t>
        </is>
      </c>
      <c r="P30" t="inlineStr">
        <is>
          <t>oltl_agg</t>
        </is>
      </c>
      <c r="Q30" t="n">
        <v>11</v>
      </c>
      <c r="R30" t="n">
        <v>0</v>
      </c>
      <c r="S30" t="inlineStr">
        <is>
          <t>2023-01-29</t>
        </is>
      </c>
    </row>
    <row r="31">
      <c r="A31" t="inlineStr">
        <is>
          <t>oltl_agg__20240128</t>
        </is>
      </c>
      <c r="B31" t="n">
        <v>42</v>
      </c>
      <c r="C31" t="inlineStr">
        <is>
          <t>Operating long-term liabilities</t>
        </is>
      </c>
      <c r="D31" t="inlineStr">
        <is>
          <t>Aggregate the classified balance-sheet detail with the classification column.</t>
        </is>
      </c>
      <c r="E31" t="inlineStr">
        <is>
          <t>condensed.oltl.2024-01-28</t>
        </is>
      </c>
      <c r="F31" t="inlineStr">
        <is>
          <t>accounting</t>
        </is>
      </c>
      <c r="G31" t="inlineStr">
        <is>
          <t>Condensed Financials</t>
        </is>
      </c>
      <c r="H31" t="inlineStr">
        <is>
          <t>C48</t>
        </is>
      </c>
      <c r="I31">
        <f>SUMIF($B$6:$B$31,"Operating Long-Term Liability",D$6:D$31)</f>
        <v/>
      </c>
      <c r="J31" t="n">
        <v>1462005</v>
      </c>
      <c r="K31" t="n">
        <v>0.01</v>
      </c>
      <c r="M31" t="inlineStr">
        <is>
          <t>Use SUMIF over the classification column for Operating Long-Term Liability.</t>
        </is>
      </c>
      <c r="O31" t="inlineStr">
        <is>
          <t>pending</t>
        </is>
      </c>
      <c r="P31" t="inlineStr">
        <is>
          <t>oltl_agg</t>
        </is>
      </c>
      <c r="Q31" t="n">
        <v>11</v>
      </c>
      <c r="R31" t="n">
        <v>1</v>
      </c>
      <c r="S31" t="inlineStr">
        <is>
          <t>2024-01-28</t>
        </is>
      </c>
    </row>
    <row r="32">
      <c r="A32" t="inlineStr">
        <is>
          <t>oltl_agg__20250202</t>
        </is>
      </c>
      <c r="B32" t="n">
        <v>43</v>
      </c>
      <c r="C32" t="inlineStr">
        <is>
          <t>Operating long-term liabilities</t>
        </is>
      </c>
      <c r="D32" t="inlineStr">
        <is>
          <t>Aggregate the classified balance-sheet detail with the classification column.</t>
        </is>
      </c>
      <c r="E32" t="inlineStr">
        <is>
          <t>condensed.oltl.2025-02-02</t>
        </is>
      </c>
      <c r="F32" t="inlineStr">
        <is>
          <t>accounting</t>
        </is>
      </c>
      <c r="G32" t="inlineStr">
        <is>
          <t>Condensed Financials</t>
        </is>
      </c>
      <c r="H32" t="inlineStr">
        <is>
          <t>D48</t>
        </is>
      </c>
      <c r="I32">
        <f>SUMIF($B$6:$B$31,"Operating Long-Term Liability",E$6:E$31)</f>
        <v/>
      </c>
      <c r="J32" t="n">
        <v>1714769</v>
      </c>
      <c r="K32" t="n">
        <v>0.01</v>
      </c>
      <c r="M32" t="inlineStr">
        <is>
          <t>Use SUMIF over the classification column for Operating Long-Term Liability.</t>
        </is>
      </c>
      <c r="O32" t="inlineStr">
        <is>
          <t>pending</t>
        </is>
      </c>
      <c r="P32" t="inlineStr">
        <is>
          <t>oltl_agg</t>
        </is>
      </c>
      <c r="Q32" t="n">
        <v>11</v>
      </c>
      <c r="R32" t="n">
        <v>2</v>
      </c>
      <c r="S32" t="inlineStr">
        <is>
          <t>2025-02-02</t>
        </is>
      </c>
    </row>
    <row r="33">
      <c r="A33" t="inlineStr">
        <is>
          <t>oltl_agg__20260201</t>
        </is>
      </c>
      <c r="B33" t="n">
        <v>44</v>
      </c>
      <c r="C33" t="inlineStr">
        <is>
          <t>Operating long-term liabilities</t>
        </is>
      </c>
      <c r="D33" t="inlineStr">
        <is>
          <t>Aggregate the classified balance-sheet detail with the classification column.</t>
        </is>
      </c>
      <c r="E33" t="inlineStr">
        <is>
          <t>condensed.oltl.2026-02-01</t>
        </is>
      </c>
      <c r="F33" t="inlineStr">
        <is>
          <t>accounting</t>
        </is>
      </c>
      <c r="G33" t="inlineStr">
        <is>
          <t>Condensed Financials</t>
        </is>
      </c>
      <c r="H33" t="inlineStr">
        <is>
          <t>E48</t>
        </is>
      </c>
      <c r="I33">
        <f>SUMIF($B$6:$B$31,"Operating Long-Term Liability",F$6:F$31)</f>
        <v/>
      </c>
      <c r="J33" t="n">
        <v>1906079</v>
      </c>
      <c r="K33" t="n">
        <v>0.01</v>
      </c>
      <c r="M33" t="inlineStr">
        <is>
          <t>Use SUMIF over the classification column for Operating Long-Term Liability.</t>
        </is>
      </c>
      <c r="O33" t="inlineStr">
        <is>
          <t>pending</t>
        </is>
      </c>
      <c r="P33" t="inlineStr">
        <is>
          <t>oltl_agg</t>
        </is>
      </c>
      <c r="Q33" t="n">
        <v>11</v>
      </c>
      <c r="R33" t="n">
        <v>3</v>
      </c>
      <c r="S33" t="inlineStr">
        <is>
          <t>2026-02-01</t>
        </is>
      </c>
    </row>
    <row r="34">
      <c r="A34" t="inlineStr">
        <is>
          <t>nola_agg__20230129</t>
        </is>
      </c>
      <c r="B34" t="n">
        <v>45</v>
      </c>
      <c r="C34" t="inlineStr">
        <is>
          <t>Net operating long-term assets (NOLA)</t>
        </is>
      </c>
      <c r="D34" t="inlineStr">
        <is>
          <t>Operating long-term assets less operating long-term liabilities.</t>
        </is>
      </c>
      <c r="E34" t="inlineStr">
        <is>
          <t>condensed.nola.2023-01-29</t>
        </is>
      </c>
      <c r="F34" t="inlineStr">
        <is>
          <t>accounting</t>
        </is>
      </c>
      <c r="G34" t="inlineStr">
        <is>
          <t>Condensed Financials</t>
        </is>
      </c>
      <c r="H34" t="inlineStr">
        <is>
          <t>B49</t>
        </is>
      </c>
      <c r="I34">
        <f>B47-B48</f>
        <v/>
      </c>
      <c r="J34" t="n">
        <v>1302127</v>
      </c>
      <c r="K34" t="n">
        <v>0.01</v>
      </c>
      <c r="L34" t="inlineStr">
        <is>
          <t>olta_agg__20230129,oltl_agg__20230129</t>
        </is>
      </c>
      <c r="M34" t="inlineStr">
        <is>
          <t>NOLA = Operating LT Assets − Operating LT Liabilities.</t>
        </is>
      </c>
      <c r="O34" t="inlineStr">
        <is>
          <t>pending</t>
        </is>
      </c>
      <c r="P34" t="inlineStr">
        <is>
          <t>nola_agg</t>
        </is>
      </c>
      <c r="Q34" t="n">
        <v>12</v>
      </c>
      <c r="R34" t="n">
        <v>0</v>
      </c>
      <c r="S34" t="inlineStr">
        <is>
          <t>2023-01-29</t>
        </is>
      </c>
    </row>
    <row r="35">
      <c r="A35" t="inlineStr">
        <is>
          <t>nola_agg__20240128</t>
        </is>
      </c>
      <c r="B35" t="n">
        <v>46</v>
      </c>
      <c r="C35" t="inlineStr">
        <is>
          <t>Net operating long-term assets (NOLA)</t>
        </is>
      </c>
      <c r="D35" t="inlineStr">
        <is>
          <t>Operating long-term assets less operating long-term liabilities.</t>
        </is>
      </c>
      <c r="E35" t="inlineStr">
        <is>
          <t>condensed.nola.2024-01-28</t>
        </is>
      </c>
      <c r="F35" t="inlineStr">
        <is>
          <t>accounting</t>
        </is>
      </c>
      <c r="G35" t="inlineStr">
        <is>
          <t>Condensed Financials</t>
        </is>
      </c>
      <c r="H35" t="inlineStr">
        <is>
          <t>C49</t>
        </is>
      </c>
      <c r="I35">
        <f>C47-C48</f>
        <v/>
      </c>
      <c r="J35" t="n">
        <v>1569359</v>
      </c>
      <c r="K35" t="n">
        <v>0.01</v>
      </c>
      <c r="L35" t="inlineStr">
        <is>
          <t>olta_agg__20240128,oltl_agg__20240128</t>
        </is>
      </c>
      <c r="M35" t="inlineStr">
        <is>
          <t>NOLA = Operating LT Assets − Operating LT Liabilities.</t>
        </is>
      </c>
      <c r="O35" t="inlineStr">
        <is>
          <t>pending</t>
        </is>
      </c>
      <c r="P35" t="inlineStr">
        <is>
          <t>nola_agg</t>
        </is>
      </c>
      <c r="Q35" t="n">
        <v>12</v>
      </c>
      <c r="R35" t="n">
        <v>1</v>
      </c>
      <c r="S35" t="inlineStr">
        <is>
          <t>2024-01-28</t>
        </is>
      </c>
    </row>
    <row r="36">
      <c r="A36" t="inlineStr">
        <is>
          <t>nola_agg__20250202</t>
        </is>
      </c>
      <c r="B36" t="n">
        <v>47</v>
      </c>
      <c r="C36" t="inlineStr">
        <is>
          <t>Net operating long-term assets (NOLA)</t>
        </is>
      </c>
      <c r="D36" t="inlineStr">
        <is>
          <t>Operating long-term assets less operating long-term liabilities.</t>
        </is>
      </c>
      <c r="E36" t="inlineStr">
        <is>
          <t>condensed.nola.2025-02-02</t>
        </is>
      </c>
      <c r="F36" t="inlineStr">
        <is>
          <t>accounting</t>
        </is>
      </c>
      <c r="G36" t="inlineStr">
        <is>
          <t>Condensed Financials</t>
        </is>
      </c>
      <c r="H36" t="inlineStr">
        <is>
          <t>D49</t>
        </is>
      </c>
      <c r="I36">
        <f>D47-D48</f>
        <v/>
      </c>
      <c r="J36" t="n">
        <v>1908221</v>
      </c>
      <c r="K36" t="n">
        <v>0.01</v>
      </c>
      <c r="L36" t="inlineStr">
        <is>
          <t>olta_agg__20250202,oltl_agg__20250202</t>
        </is>
      </c>
      <c r="M36" t="inlineStr">
        <is>
          <t>NOLA = Operating LT Assets − Operating LT Liabilities.</t>
        </is>
      </c>
      <c r="O36" t="inlineStr">
        <is>
          <t>pending</t>
        </is>
      </c>
      <c r="P36" t="inlineStr">
        <is>
          <t>nola_agg</t>
        </is>
      </c>
      <c r="Q36" t="n">
        <v>12</v>
      </c>
      <c r="R36" t="n">
        <v>2</v>
      </c>
      <c r="S36" t="inlineStr">
        <is>
          <t>2025-02-02</t>
        </is>
      </c>
    </row>
    <row r="37">
      <c r="A37" t="inlineStr">
        <is>
          <t>nola_agg__20260201</t>
        </is>
      </c>
      <c r="B37" t="n">
        <v>48</v>
      </c>
      <c r="C37" t="inlineStr">
        <is>
          <t>Net operating long-term assets (NOLA)</t>
        </is>
      </c>
      <c r="D37" t="inlineStr">
        <is>
          <t>Operating long-term assets less operating long-term liabilities.</t>
        </is>
      </c>
      <c r="E37" t="inlineStr">
        <is>
          <t>condensed.nola.2026-02-01</t>
        </is>
      </c>
      <c r="F37" t="inlineStr">
        <is>
          <t>accounting</t>
        </is>
      </c>
      <c r="G37" t="inlineStr">
        <is>
          <t>Condensed Financials</t>
        </is>
      </c>
      <c r="H37" t="inlineStr">
        <is>
          <t>E49</t>
        </is>
      </c>
      <c r="I37">
        <f>E47-E48</f>
        <v/>
      </c>
      <c r="J37" t="n">
        <v>2287963</v>
      </c>
      <c r="K37" t="n">
        <v>0.01</v>
      </c>
      <c r="L37" t="inlineStr">
        <is>
          <t>olta_agg__20260201,oltl_agg__20260201</t>
        </is>
      </c>
      <c r="M37" t="inlineStr">
        <is>
          <t>NOLA = Operating LT Assets − Operating LT Liabilities.</t>
        </is>
      </c>
      <c r="O37" t="inlineStr">
        <is>
          <t>pending</t>
        </is>
      </c>
      <c r="P37" t="inlineStr">
        <is>
          <t>nola_agg</t>
        </is>
      </c>
      <c r="Q37" t="n">
        <v>12</v>
      </c>
      <c r="R37" t="n">
        <v>3</v>
      </c>
      <c r="S37" t="inlineStr">
        <is>
          <t>2026-02-01</t>
        </is>
      </c>
    </row>
    <row r="38">
      <c r="A38" t="inlineStr">
        <is>
          <t>noa_agg__20230129</t>
        </is>
      </c>
      <c r="B38" t="n">
        <v>49</v>
      </c>
      <c r="C38" t="inlineStr">
        <is>
          <t>Net Operating Assets (NOA)</t>
        </is>
      </c>
      <c r="D38" t="inlineStr">
        <is>
          <t>NOWC plus net operating long-term assets.</t>
        </is>
      </c>
      <c r="E38" t="inlineStr">
        <is>
          <t>condensed.noa.2023-01-29</t>
        </is>
      </c>
      <c r="F38" t="inlineStr">
        <is>
          <t>accounting</t>
        </is>
      </c>
      <c r="G38" t="inlineStr">
        <is>
          <t>Condensed Financials</t>
        </is>
      </c>
      <c r="H38" t="inlineStr">
        <is>
          <t>B50</t>
        </is>
      </c>
      <c r="I38">
        <f>B46+B49</f>
        <v/>
      </c>
      <c r="J38" t="n">
        <v>1993932</v>
      </c>
      <c r="K38" t="n">
        <v>0.01</v>
      </c>
      <c r="L38" t="inlineStr">
        <is>
          <t>nowc_agg__20230129,nola_agg__20230129</t>
        </is>
      </c>
      <c r="M38" t="inlineStr">
        <is>
          <t>Net Operating LT Assets = Op. LT Assets − Op. LT Liabilities (SUMIF).|NOA = NOWC + Net Operating LT Assets.</t>
        </is>
      </c>
      <c r="O38" t="inlineStr">
        <is>
          <t>pending</t>
        </is>
      </c>
      <c r="P38" t="inlineStr">
        <is>
          <t>noa_agg</t>
        </is>
      </c>
      <c r="Q38" t="n">
        <v>13</v>
      </c>
      <c r="R38" t="n">
        <v>0</v>
      </c>
      <c r="S38" t="inlineStr">
        <is>
          <t>2023-01-29</t>
        </is>
      </c>
    </row>
    <row r="39">
      <c r="A39" t="inlineStr">
        <is>
          <t>noa_agg__20240128</t>
        </is>
      </c>
      <c r="B39" t="n">
        <v>50</v>
      </c>
      <c r="C39" t="inlineStr">
        <is>
          <t>Net Operating Assets (NOA)</t>
        </is>
      </c>
      <c r="D39" t="inlineStr">
        <is>
          <t>NOWC plus net operating long-term assets.</t>
        </is>
      </c>
      <c r="E39" t="inlineStr">
        <is>
          <t>condensed.noa.2024-01-28</t>
        </is>
      </c>
      <c r="F39" t="inlineStr">
        <is>
          <t>accounting</t>
        </is>
      </c>
      <c r="G39" t="inlineStr">
        <is>
          <t>Condensed Financials</t>
        </is>
      </c>
      <c r="H39" t="inlineStr">
        <is>
          <t>C50</t>
        </is>
      </c>
      <c r="I39">
        <f>C46+C49</f>
        <v/>
      </c>
      <c r="J39" t="n">
        <v>1988110</v>
      </c>
      <c r="K39" t="n">
        <v>0.01</v>
      </c>
      <c r="L39" t="inlineStr">
        <is>
          <t>nowc_agg__20240128,nola_agg__20240128</t>
        </is>
      </c>
      <c r="M39" t="inlineStr">
        <is>
          <t>Net Operating LT Assets = Op. LT Assets − Op. LT Liabilities (SUMIF).|NOA = NOWC + Net Operating LT Assets.</t>
        </is>
      </c>
      <c r="O39" t="inlineStr">
        <is>
          <t>pending</t>
        </is>
      </c>
      <c r="P39" t="inlineStr">
        <is>
          <t>noa_agg</t>
        </is>
      </c>
      <c r="Q39" t="n">
        <v>13</v>
      </c>
      <c r="R39" t="n">
        <v>1</v>
      </c>
      <c r="S39" t="inlineStr">
        <is>
          <t>2024-01-28</t>
        </is>
      </c>
    </row>
    <row r="40">
      <c r="A40" t="inlineStr">
        <is>
          <t>noa_agg__20250202</t>
        </is>
      </c>
      <c r="B40" t="n">
        <v>51</v>
      </c>
      <c r="C40" t="inlineStr">
        <is>
          <t>Net Operating Assets (NOA)</t>
        </is>
      </c>
      <c r="D40" t="inlineStr">
        <is>
          <t>NOWC plus net operating long-term assets.</t>
        </is>
      </c>
      <c r="E40" t="inlineStr">
        <is>
          <t>condensed.noa.2025-02-02</t>
        </is>
      </c>
      <c r="F40" t="inlineStr">
        <is>
          <t>accounting</t>
        </is>
      </c>
      <c r="G40" t="inlineStr">
        <is>
          <t>Condensed Financials</t>
        </is>
      </c>
      <c r="H40" t="inlineStr">
        <is>
          <t>D50</t>
        </is>
      </c>
      <c r="I40">
        <f>D46+D49</f>
        <v/>
      </c>
      <c r="J40" t="n">
        <v>2339711</v>
      </c>
      <c r="K40" t="n">
        <v>0.01</v>
      </c>
      <c r="L40" t="inlineStr">
        <is>
          <t>nowc_agg__20250202,nola_agg__20250202</t>
        </is>
      </c>
      <c r="M40" t="inlineStr">
        <is>
          <t>Net Operating LT Assets = Op. LT Assets − Op. LT Liabilities (SUMIF).|NOA = NOWC + Net Operating LT Assets.</t>
        </is>
      </c>
      <c r="O40" t="inlineStr">
        <is>
          <t>pending</t>
        </is>
      </c>
      <c r="P40" t="inlineStr">
        <is>
          <t>noa_agg</t>
        </is>
      </c>
      <c r="Q40" t="n">
        <v>13</v>
      </c>
      <c r="R40" t="n">
        <v>2</v>
      </c>
      <c r="S40" t="inlineStr">
        <is>
          <t>2025-02-02</t>
        </is>
      </c>
    </row>
    <row r="41">
      <c r="A41" t="inlineStr">
        <is>
          <t>noa_agg__20260201</t>
        </is>
      </c>
      <c r="B41" t="n">
        <v>52</v>
      </c>
      <c r="C41" t="inlineStr">
        <is>
          <t>Net Operating Assets (NOA)</t>
        </is>
      </c>
      <c r="D41" t="inlineStr">
        <is>
          <t>NOWC plus net operating long-term assets.</t>
        </is>
      </c>
      <c r="E41" t="inlineStr">
        <is>
          <t>condensed.noa.2026-02-01</t>
        </is>
      </c>
      <c r="F41" t="inlineStr">
        <is>
          <t>accounting</t>
        </is>
      </c>
      <c r="G41" t="inlineStr">
        <is>
          <t>Condensed Financials</t>
        </is>
      </c>
      <c r="H41" t="inlineStr">
        <is>
          <t>E50</t>
        </is>
      </c>
      <c r="I41">
        <f>E46+E49</f>
        <v/>
      </c>
      <c r="J41" t="n">
        <v>3154638</v>
      </c>
      <c r="K41" t="n">
        <v>0.01</v>
      </c>
      <c r="L41" t="inlineStr">
        <is>
          <t>nowc_agg__20260201,nola_agg__20260201</t>
        </is>
      </c>
      <c r="M41" t="inlineStr">
        <is>
          <t>Net Operating LT Assets = Op. LT Assets − Op. LT Liabilities (SUMIF).|NOA = NOWC + Net Operating LT Assets.</t>
        </is>
      </c>
      <c r="O41" t="inlineStr">
        <is>
          <t>pending</t>
        </is>
      </c>
      <c r="P41" t="inlineStr">
        <is>
          <t>noa_agg</t>
        </is>
      </c>
      <c r="Q41" t="n">
        <v>13</v>
      </c>
      <c r="R41" t="n">
        <v>3</v>
      </c>
      <c r="S41" t="inlineStr">
        <is>
          <t>2026-02-01</t>
        </is>
      </c>
    </row>
    <row r="42">
      <c r="A42" t="inlineStr">
        <is>
          <t>financial_assets_agg__20230129</t>
        </is>
      </c>
      <c r="B42" t="n">
        <v>53</v>
      </c>
      <c r="C42" t="inlineStr">
        <is>
          <t>Financial assets</t>
        </is>
      </c>
      <c r="D42" t="inlineStr">
        <is>
          <t>Aggregate the classified balance-sheet detail with the classification column.</t>
        </is>
      </c>
      <c r="E42" t="inlineStr">
        <is>
          <t>condensed.financial_assets.2023-01-29</t>
        </is>
      </c>
      <c r="F42" t="inlineStr">
        <is>
          <t>accounting</t>
        </is>
      </c>
      <c r="G42" t="inlineStr">
        <is>
          <t>Condensed Financials</t>
        </is>
      </c>
      <c r="H42" t="inlineStr">
        <is>
          <t>B51</t>
        </is>
      </c>
      <c r="I42">
        <f>SUMIF($B$6:$B$31,"Financial Asset",C$6:C$31)</f>
        <v/>
      </c>
      <c r="J42" t="n">
        <v>1154867</v>
      </c>
      <c r="K42" t="n">
        <v>0.01</v>
      </c>
      <c r="M42" t="inlineStr">
        <is>
          <t>Use SUMIF over the classification column for Financial Asset.</t>
        </is>
      </c>
      <c r="O42" t="inlineStr">
        <is>
          <t>pending</t>
        </is>
      </c>
      <c r="P42" t="inlineStr">
        <is>
          <t>financial_assets_agg</t>
        </is>
      </c>
      <c r="Q42" t="n">
        <v>14</v>
      </c>
      <c r="R42" t="n">
        <v>0</v>
      </c>
      <c r="S42" t="inlineStr">
        <is>
          <t>2023-01-29</t>
        </is>
      </c>
    </row>
    <row r="43">
      <c r="A43" t="inlineStr">
        <is>
          <t>financial_assets_agg__20240128</t>
        </is>
      </c>
      <c r="B43" t="n">
        <v>54</v>
      </c>
      <c r="C43" t="inlineStr">
        <is>
          <t>Financial assets</t>
        </is>
      </c>
      <c r="D43" t="inlineStr">
        <is>
          <t>Aggregate the classified balance-sheet detail with the classification column.</t>
        </is>
      </c>
      <c r="E43" t="inlineStr">
        <is>
          <t>condensed.financial_assets.2024-01-28</t>
        </is>
      </c>
      <c r="F43" t="inlineStr">
        <is>
          <t>accounting</t>
        </is>
      </c>
      <c r="G43" t="inlineStr">
        <is>
          <t>Condensed Financials</t>
        </is>
      </c>
      <c r="H43" t="inlineStr">
        <is>
          <t>C51</t>
        </is>
      </c>
      <c r="I43">
        <f>SUMIF($B$6:$B$31,"Financial Asset",D$6:D$31)</f>
        <v/>
      </c>
      <c r="J43" t="n">
        <v>2243971</v>
      </c>
      <c r="K43" t="n">
        <v>0.01</v>
      </c>
      <c r="M43" t="inlineStr">
        <is>
          <t>Use SUMIF over the classification column for Financial Asset.</t>
        </is>
      </c>
      <c r="O43" t="inlineStr">
        <is>
          <t>pending</t>
        </is>
      </c>
      <c r="P43" t="inlineStr">
        <is>
          <t>financial_assets_agg</t>
        </is>
      </c>
      <c r="Q43" t="n">
        <v>14</v>
      </c>
      <c r="R43" t="n">
        <v>1</v>
      </c>
      <c r="S43" t="inlineStr">
        <is>
          <t>2024-01-28</t>
        </is>
      </c>
    </row>
    <row r="44">
      <c r="A44" t="inlineStr">
        <is>
          <t>financial_assets_agg__20250202</t>
        </is>
      </c>
      <c r="B44" t="n">
        <v>55</v>
      </c>
      <c r="C44" t="inlineStr">
        <is>
          <t>Financial assets</t>
        </is>
      </c>
      <c r="D44" t="inlineStr">
        <is>
          <t>Aggregate the classified balance-sheet detail with the classification column.</t>
        </is>
      </c>
      <c r="E44" t="inlineStr">
        <is>
          <t>condensed.financial_assets.2025-02-02</t>
        </is>
      </c>
      <c r="F44" t="inlineStr">
        <is>
          <t>accounting</t>
        </is>
      </c>
      <c r="G44" t="inlineStr">
        <is>
          <t>Condensed Financials</t>
        </is>
      </c>
      <c r="H44" t="inlineStr">
        <is>
          <t>D51</t>
        </is>
      </c>
      <c r="I44">
        <f>SUMIF($B$6:$B$31,"Financial Asset",E$6:E$31)</f>
        <v/>
      </c>
      <c r="J44" t="n">
        <v>1984336</v>
      </c>
      <c r="K44" t="n">
        <v>0.01</v>
      </c>
      <c r="M44" t="inlineStr">
        <is>
          <t>Use SUMIF over the classification column for Financial Asset.</t>
        </is>
      </c>
      <c r="O44" t="inlineStr">
        <is>
          <t>pending</t>
        </is>
      </c>
      <c r="P44" t="inlineStr">
        <is>
          <t>financial_assets_agg</t>
        </is>
      </c>
      <c r="Q44" t="n">
        <v>14</v>
      </c>
      <c r="R44" t="n">
        <v>2</v>
      </c>
      <c r="S44" t="inlineStr">
        <is>
          <t>2025-02-02</t>
        </is>
      </c>
    </row>
    <row r="45">
      <c r="A45" t="inlineStr">
        <is>
          <t>financial_assets_agg__20260201</t>
        </is>
      </c>
      <c r="B45" t="n">
        <v>56</v>
      </c>
      <c r="C45" t="inlineStr">
        <is>
          <t>Financial assets</t>
        </is>
      </c>
      <c r="D45" t="inlineStr">
        <is>
          <t>Aggregate the classified balance-sheet detail with the classification column.</t>
        </is>
      </c>
      <c r="E45" t="inlineStr">
        <is>
          <t>condensed.financial_assets.2026-02-01</t>
        </is>
      </c>
      <c r="F45" t="inlineStr">
        <is>
          <t>accounting</t>
        </is>
      </c>
      <c r="G45" t="inlineStr">
        <is>
          <t>Condensed Financials</t>
        </is>
      </c>
      <c r="H45" t="inlineStr">
        <is>
          <t>E51</t>
        </is>
      </c>
      <c r="I45">
        <f>SUMIF($B$6:$B$31,"Financial Asset",F$6:F$31)</f>
        <v/>
      </c>
      <c r="J45" t="n">
        <v>1807202</v>
      </c>
      <c r="K45" t="n">
        <v>0.01</v>
      </c>
      <c r="M45" t="inlineStr">
        <is>
          <t>Use SUMIF over the classification column for Financial Asset.</t>
        </is>
      </c>
      <c r="O45" t="inlineStr">
        <is>
          <t>pending</t>
        </is>
      </c>
      <c r="P45" t="inlineStr">
        <is>
          <t>financial_assets_agg</t>
        </is>
      </c>
      <c r="Q45" t="n">
        <v>14</v>
      </c>
      <c r="R45" t="n">
        <v>3</v>
      </c>
      <c r="S45" t="inlineStr">
        <is>
          <t>2026-02-01</t>
        </is>
      </c>
    </row>
    <row r="46">
      <c r="A46" t="inlineStr">
        <is>
          <t>financial_liabilities_agg__20230129</t>
        </is>
      </c>
      <c r="B46" t="n">
        <v>57</v>
      </c>
      <c r="C46" t="inlineStr">
        <is>
          <t>Financial liabilities</t>
        </is>
      </c>
      <c r="D46" t="inlineStr">
        <is>
          <t>Aggregate the classified balance-sheet detail with the classification column.</t>
        </is>
      </c>
      <c r="E46" t="inlineStr">
        <is>
          <t>condensed.financial_liabilities.2023-01-29</t>
        </is>
      </c>
      <c r="F46" t="inlineStr">
        <is>
          <t>accounting</t>
        </is>
      </c>
      <c r="G46" t="inlineStr">
        <is>
          <t>Condensed Financials</t>
        </is>
      </c>
      <c r="H46" t="inlineStr">
        <is>
          <t>B52</t>
        </is>
      </c>
      <c r="I46">
        <f>SUMIF($B$6:$B$31,"Financial Liability",C$6:C$31)</f>
        <v/>
      </c>
      <c r="J46" t="n">
        <v>0</v>
      </c>
      <c r="K46" t="n">
        <v>0.01</v>
      </c>
      <c r="M46" t="inlineStr">
        <is>
          <t>Use SUMIF over the classification column for Financial Liability.</t>
        </is>
      </c>
      <c r="O46" t="inlineStr">
        <is>
          <t>pending</t>
        </is>
      </c>
      <c r="P46" t="inlineStr">
        <is>
          <t>financial_liabilities_agg</t>
        </is>
      </c>
      <c r="Q46" t="n">
        <v>15</v>
      </c>
      <c r="R46" t="n">
        <v>0</v>
      </c>
      <c r="S46" t="inlineStr">
        <is>
          <t>2023-01-29</t>
        </is>
      </c>
    </row>
    <row r="47">
      <c r="A47" t="inlineStr">
        <is>
          <t>financial_liabilities_agg__20240128</t>
        </is>
      </c>
      <c r="B47" t="n">
        <v>58</v>
      </c>
      <c r="C47" t="inlineStr">
        <is>
          <t>Financial liabilities</t>
        </is>
      </c>
      <c r="D47" t="inlineStr">
        <is>
          <t>Aggregate the classified balance-sheet detail with the classification column.</t>
        </is>
      </c>
      <c r="E47" t="inlineStr">
        <is>
          <t>condensed.financial_liabilities.2024-01-28</t>
        </is>
      </c>
      <c r="F47" t="inlineStr">
        <is>
          <t>accounting</t>
        </is>
      </c>
      <c r="G47" t="inlineStr">
        <is>
          <t>Condensed Financials</t>
        </is>
      </c>
      <c r="H47" t="inlineStr">
        <is>
          <t>C52</t>
        </is>
      </c>
      <c r="I47">
        <f>SUMIF($B$6:$B$31,"Financial Liability",D$6:D$31)</f>
        <v/>
      </c>
      <c r="J47" t="n">
        <v>0</v>
      </c>
      <c r="K47" t="n">
        <v>0.01</v>
      </c>
      <c r="M47" t="inlineStr">
        <is>
          <t>Use SUMIF over the classification column for Financial Liability.</t>
        </is>
      </c>
      <c r="O47" t="inlineStr">
        <is>
          <t>pending</t>
        </is>
      </c>
      <c r="P47" t="inlineStr">
        <is>
          <t>financial_liabilities_agg</t>
        </is>
      </c>
      <c r="Q47" t="n">
        <v>15</v>
      </c>
      <c r="R47" t="n">
        <v>1</v>
      </c>
      <c r="S47" t="inlineStr">
        <is>
          <t>2024-01-28</t>
        </is>
      </c>
    </row>
    <row r="48">
      <c r="A48" t="inlineStr">
        <is>
          <t>financial_liabilities_agg__20250202</t>
        </is>
      </c>
      <c r="B48" t="n">
        <v>59</v>
      </c>
      <c r="C48" t="inlineStr">
        <is>
          <t>Financial liabilities</t>
        </is>
      </c>
      <c r="D48" t="inlineStr">
        <is>
          <t>Aggregate the classified balance-sheet detail with the classification column.</t>
        </is>
      </c>
      <c r="E48" t="inlineStr">
        <is>
          <t>condensed.financial_liabilities.2025-02-02</t>
        </is>
      </c>
      <c r="F48" t="inlineStr">
        <is>
          <t>accounting</t>
        </is>
      </c>
      <c r="G48" t="inlineStr">
        <is>
          <t>Condensed Financials</t>
        </is>
      </c>
      <c r="H48" t="inlineStr">
        <is>
          <t>D52</t>
        </is>
      </c>
      <c r="I48">
        <f>SUMIF($B$6:$B$31,"Financial Liability",E$6:E$31)</f>
        <v/>
      </c>
      <c r="J48" t="n">
        <v>0</v>
      </c>
      <c r="K48" t="n">
        <v>0.01</v>
      </c>
      <c r="M48" t="inlineStr">
        <is>
          <t>Use SUMIF over the classification column for Financial Liability.</t>
        </is>
      </c>
      <c r="O48" t="inlineStr">
        <is>
          <t>pending</t>
        </is>
      </c>
      <c r="P48" t="inlineStr">
        <is>
          <t>financial_liabilities_agg</t>
        </is>
      </c>
      <c r="Q48" t="n">
        <v>15</v>
      </c>
      <c r="R48" t="n">
        <v>2</v>
      </c>
      <c r="S48" t="inlineStr">
        <is>
          <t>2025-02-02</t>
        </is>
      </c>
    </row>
    <row r="49">
      <c r="A49" t="inlineStr">
        <is>
          <t>financial_liabilities_agg__20260201</t>
        </is>
      </c>
      <c r="B49" t="n">
        <v>60</v>
      </c>
      <c r="C49" t="inlineStr">
        <is>
          <t>Financial liabilities</t>
        </is>
      </c>
      <c r="D49" t="inlineStr">
        <is>
          <t>Aggregate the classified balance-sheet detail with the classification column.</t>
        </is>
      </c>
      <c r="E49" t="inlineStr">
        <is>
          <t>condensed.financial_liabilities.2026-02-01</t>
        </is>
      </c>
      <c r="F49" t="inlineStr">
        <is>
          <t>accounting</t>
        </is>
      </c>
      <c r="G49" t="inlineStr">
        <is>
          <t>Condensed Financials</t>
        </is>
      </c>
      <c r="H49" t="inlineStr">
        <is>
          <t>E52</t>
        </is>
      </c>
      <c r="I49">
        <f>SUMIF($B$6:$B$31,"Financial Liability",F$6:F$31)</f>
        <v/>
      </c>
      <c r="J49" t="n">
        <v>0</v>
      </c>
      <c r="K49" t="n">
        <v>0.01</v>
      </c>
      <c r="M49" t="inlineStr">
        <is>
          <t>Use SUMIF over the classification column for Financial Liability.</t>
        </is>
      </c>
      <c r="O49" t="inlineStr">
        <is>
          <t>pending</t>
        </is>
      </c>
      <c r="P49" t="inlineStr">
        <is>
          <t>financial_liabilities_agg</t>
        </is>
      </c>
      <c r="Q49" t="n">
        <v>15</v>
      </c>
      <c r="R49" t="n">
        <v>3</v>
      </c>
      <c r="S49" t="inlineStr">
        <is>
          <t>2026-02-01</t>
        </is>
      </c>
    </row>
    <row r="50">
      <c r="A50" t="inlineStr">
        <is>
          <t>net_debt__20230129</t>
        </is>
      </c>
      <c r="B50" t="n">
        <v>61</v>
      </c>
      <c r="C50" t="inlineStr">
        <is>
          <t>Net Debt</t>
        </is>
      </c>
      <c r="D50" t="inlineStr">
        <is>
          <t>Financial liabilities minus financial assets.</t>
        </is>
      </c>
      <c r="E50" t="inlineStr">
        <is>
          <t>condensed.net_debt.2023-01-29</t>
        </is>
      </c>
      <c r="F50" t="inlineStr">
        <is>
          <t>accounting</t>
        </is>
      </c>
      <c r="G50" t="inlineStr">
        <is>
          <t>Condensed Financials</t>
        </is>
      </c>
      <c r="H50" t="inlineStr">
        <is>
          <t>B53</t>
        </is>
      </c>
      <c r="I50">
        <f>B52-B51</f>
        <v/>
      </c>
      <c r="J50" t="n">
        <v>-1154867</v>
      </c>
      <c r="K50" t="n">
        <v>0.01</v>
      </c>
      <c r="L50" t="inlineStr">
        <is>
          <t>financial_assets_agg__20230129,financial_liabilities_agg__20230129</t>
        </is>
      </c>
      <c r="M50" t="inlineStr">
        <is>
          <t>Net Debt = SUMIF(Financial Liability) − SUMIF(Financial Asset).|Positive net debt means the firm carries net financial obligations.</t>
        </is>
      </c>
      <c r="O50" t="inlineStr">
        <is>
          <t>pending</t>
        </is>
      </c>
      <c r="P50" t="inlineStr">
        <is>
          <t>net_debt</t>
        </is>
      </c>
      <c r="Q50" t="n">
        <v>16</v>
      </c>
      <c r="R50" t="n">
        <v>0</v>
      </c>
      <c r="S50" t="inlineStr">
        <is>
          <t>2023-01-29</t>
        </is>
      </c>
    </row>
    <row r="51">
      <c r="A51" t="inlineStr">
        <is>
          <t>net_debt__20240128</t>
        </is>
      </c>
      <c r="B51" t="n">
        <v>62</v>
      </c>
      <c r="C51" t="inlineStr">
        <is>
          <t>Net Debt</t>
        </is>
      </c>
      <c r="D51" t="inlineStr">
        <is>
          <t>Financial liabilities minus financial assets.</t>
        </is>
      </c>
      <c r="E51" t="inlineStr">
        <is>
          <t>condensed.net_debt.2024-01-28</t>
        </is>
      </c>
      <c r="F51" t="inlineStr">
        <is>
          <t>accounting</t>
        </is>
      </c>
      <c r="G51" t="inlineStr">
        <is>
          <t>Condensed Financials</t>
        </is>
      </c>
      <c r="H51" t="inlineStr">
        <is>
          <t>C53</t>
        </is>
      </c>
      <c r="I51">
        <f>C52-C51</f>
        <v/>
      </c>
      <c r="J51" t="n">
        <v>-2243971</v>
      </c>
      <c r="K51" t="n">
        <v>0.01</v>
      </c>
      <c r="L51" t="inlineStr">
        <is>
          <t>financial_assets_agg__20240128,financial_liabilities_agg__20240128</t>
        </is>
      </c>
      <c r="M51" t="inlineStr">
        <is>
          <t>Net Debt = SUMIF(Financial Liability) − SUMIF(Financial Asset).|Positive net debt means the firm carries net financial obligations.</t>
        </is>
      </c>
      <c r="O51" t="inlineStr">
        <is>
          <t>pending</t>
        </is>
      </c>
      <c r="P51" t="inlineStr">
        <is>
          <t>net_debt</t>
        </is>
      </c>
      <c r="Q51" t="n">
        <v>16</v>
      </c>
      <c r="R51" t="n">
        <v>1</v>
      </c>
      <c r="S51" t="inlineStr">
        <is>
          <t>2024-01-28</t>
        </is>
      </c>
    </row>
    <row r="52">
      <c r="A52" t="inlineStr">
        <is>
          <t>net_debt__20250202</t>
        </is>
      </c>
      <c r="B52" t="n">
        <v>63</v>
      </c>
      <c r="C52" t="inlineStr">
        <is>
          <t>Net Debt</t>
        </is>
      </c>
      <c r="D52" t="inlineStr">
        <is>
          <t>Financial liabilities minus financial assets.</t>
        </is>
      </c>
      <c r="E52" t="inlineStr">
        <is>
          <t>condensed.net_debt.2025-02-02</t>
        </is>
      </c>
      <c r="F52" t="inlineStr">
        <is>
          <t>accounting</t>
        </is>
      </c>
      <c r="G52" t="inlineStr">
        <is>
          <t>Condensed Financials</t>
        </is>
      </c>
      <c r="H52" t="inlineStr">
        <is>
          <t>D53</t>
        </is>
      </c>
      <c r="I52">
        <f>D52-D51</f>
        <v/>
      </c>
      <c r="J52" t="n">
        <v>-1984336</v>
      </c>
      <c r="K52" t="n">
        <v>0.01</v>
      </c>
      <c r="L52" t="inlineStr">
        <is>
          <t>financial_assets_agg__20250202,financial_liabilities_agg__20250202</t>
        </is>
      </c>
      <c r="M52" t="inlineStr">
        <is>
          <t>Net Debt = SUMIF(Financial Liability) − SUMIF(Financial Asset).|Positive net debt means the firm carries net financial obligations.</t>
        </is>
      </c>
      <c r="O52" t="inlineStr">
        <is>
          <t>pending</t>
        </is>
      </c>
      <c r="P52" t="inlineStr">
        <is>
          <t>net_debt</t>
        </is>
      </c>
      <c r="Q52" t="n">
        <v>16</v>
      </c>
      <c r="R52" t="n">
        <v>2</v>
      </c>
      <c r="S52" t="inlineStr">
        <is>
          <t>2025-02-02</t>
        </is>
      </c>
    </row>
    <row r="53">
      <c r="A53" t="inlineStr">
        <is>
          <t>net_debt__20260201</t>
        </is>
      </c>
      <c r="B53" t="n">
        <v>64</v>
      </c>
      <c r="C53" t="inlineStr">
        <is>
          <t>Net Debt</t>
        </is>
      </c>
      <c r="D53" t="inlineStr">
        <is>
          <t>Financial liabilities minus financial assets.</t>
        </is>
      </c>
      <c r="E53" t="inlineStr">
        <is>
          <t>condensed.net_debt.2026-02-01</t>
        </is>
      </c>
      <c r="F53" t="inlineStr">
        <is>
          <t>accounting</t>
        </is>
      </c>
      <c r="G53" t="inlineStr">
        <is>
          <t>Condensed Financials</t>
        </is>
      </c>
      <c r="H53" t="inlineStr">
        <is>
          <t>E53</t>
        </is>
      </c>
      <c r="I53">
        <f>E52-E51</f>
        <v/>
      </c>
      <c r="J53" t="n">
        <v>-1807202</v>
      </c>
      <c r="K53" t="n">
        <v>0.01</v>
      </c>
      <c r="L53" t="inlineStr">
        <is>
          <t>financial_assets_agg__20260201,financial_liabilities_agg__20260201</t>
        </is>
      </c>
      <c r="M53" t="inlineStr">
        <is>
          <t>Net Debt = SUMIF(Financial Liability) − SUMIF(Financial Asset).|Positive net debt means the firm carries net financial obligations.</t>
        </is>
      </c>
      <c r="O53" t="inlineStr">
        <is>
          <t>pending</t>
        </is>
      </c>
      <c r="P53" t="inlineStr">
        <is>
          <t>net_debt</t>
        </is>
      </c>
      <c r="Q53" t="n">
        <v>16</v>
      </c>
      <c r="R53" t="n">
        <v>3</v>
      </c>
      <c r="S53" t="inlineStr">
        <is>
          <t>2026-02-01</t>
        </is>
      </c>
    </row>
    <row r="54">
      <c r="A54" t="inlineStr">
        <is>
          <t>equity_reformulated_fy__20230129</t>
        </is>
      </c>
      <c r="B54" t="n">
        <v>65</v>
      </c>
      <c r="C54" t="inlineStr">
        <is>
          <t>Reformulated equity</t>
        </is>
      </c>
      <c r="D54" t="inlineStr">
        <is>
          <t>Use the operating/financing identity linking NOA, Net Debt, and Equity.</t>
        </is>
      </c>
      <c r="E54" t="inlineStr">
        <is>
          <t>condensed.equity.2023-01-29</t>
        </is>
      </c>
      <c r="F54" t="inlineStr">
        <is>
          <t>accounting</t>
        </is>
      </c>
      <c r="G54" t="inlineStr">
        <is>
          <t>Condensed Financials</t>
        </is>
      </c>
      <c r="H54" t="inlineStr">
        <is>
          <t>B54</t>
        </is>
      </c>
      <c r="I54">
        <f>B50-B53</f>
        <v/>
      </c>
      <c r="J54" t="n">
        <v>3148799</v>
      </c>
      <c r="K54" t="n">
        <v>0.01</v>
      </c>
      <c r="L54" t="inlineStr">
        <is>
          <t>noa_agg__20230129,net_debt__20230129</t>
        </is>
      </c>
      <c r="M54" t="inlineStr">
        <is>
          <t>Reformulated Equity = NOA − Net Debt.|This identity must reconcile to reported equity within tolerance.</t>
        </is>
      </c>
      <c r="O54" t="inlineStr">
        <is>
          <t>pending</t>
        </is>
      </c>
      <c r="P54" t="inlineStr">
        <is>
          <t>equity_reformulated_fy</t>
        </is>
      </c>
      <c r="Q54" t="n">
        <v>17</v>
      </c>
      <c r="R54" t="n">
        <v>0</v>
      </c>
      <c r="S54" t="inlineStr">
        <is>
          <t>2023-01-29</t>
        </is>
      </c>
    </row>
    <row r="55">
      <c r="A55" t="inlineStr">
        <is>
          <t>equity_reformulated_fy__20240128</t>
        </is>
      </c>
      <c r="B55" t="n">
        <v>66</v>
      </c>
      <c r="C55" t="inlineStr">
        <is>
          <t>Reformulated equity</t>
        </is>
      </c>
      <c r="D55" t="inlineStr">
        <is>
          <t>Use the operating/financing identity linking NOA, Net Debt, and Equity.</t>
        </is>
      </c>
      <c r="E55" t="inlineStr">
        <is>
          <t>condensed.equity.2024-01-28</t>
        </is>
      </c>
      <c r="F55" t="inlineStr">
        <is>
          <t>accounting</t>
        </is>
      </c>
      <c r="G55" t="inlineStr">
        <is>
          <t>Condensed Financials</t>
        </is>
      </c>
      <c r="H55" t="inlineStr">
        <is>
          <t>C54</t>
        </is>
      </c>
      <c r="I55">
        <f>C50-C53</f>
        <v/>
      </c>
      <c r="J55" t="n">
        <v>4232081</v>
      </c>
      <c r="K55" t="n">
        <v>0.01</v>
      </c>
      <c r="L55" t="inlineStr">
        <is>
          <t>noa_agg__20240128,net_debt__20240128</t>
        </is>
      </c>
      <c r="M55" t="inlineStr">
        <is>
          <t>Reformulated Equity = NOA − Net Debt.|This identity must reconcile to reported equity within tolerance.</t>
        </is>
      </c>
      <c r="O55" t="inlineStr">
        <is>
          <t>pending</t>
        </is>
      </c>
      <c r="P55" t="inlineStr">
        <is>
          <t>equity_reformulated_fy</t>
        </is>
      </c>
      <c r="Q55" t="n">
        <v>17</v>
      </c>
      <c r="R55" t="n">
        <v>1</v>
      </c>
      <c r="S55" t="inlineStr">
        <is>
          <t>2024-01-28</t>
        </is>
      </c>
    </row>
    <row r="56">
      <c r="A56" t="inlineStr">
        <is>
          <t>operating_cash_flow_link__20230129</t>
        </is>
      </c>
      <c r="B56" t="n">
        <v>66</v>
      </c>
      <c r="C56" t="inlineStr">
        <is>
          <t>Operating cash flow historical source link</t>
        </is>
      </c>
      <c r="D56" t="inlineStr">
        <is>
          <t>Link net cash from operating activities for the same fiscal period.</t>
        </is>
      </c>
      <c r="E56" t="inlineStr">
        <is>
          <t>quality.operating_cash_flow.2023-01-29</t>
        </is>
      </c>
      <c r="F56" t="inlineStr">
        <is>
          <t>earnings_quality</t>
        </is>
      </c>
      <c r="G56" t="inlineStr">
        <is>
          <t>Earnings Quality</t>
        </is>
      </c>
      <c r="H56" t="inlineStr">
        <is>
          <t>B5</t>
        </is>
      </c>
      <c r="I56">
        <f>'Cash Flow Statement'!B27</f>
        <v/>
      </c>
      <c r="J56" t="n">
        <v>966463</v>
      </c>
      <c r="K56" t="n">
        <v>0.01</v>
      </c>
      <c r="M56" t="inlineStr">
        <is>
          <t>Pull final net cash from operating activities for the same period.</t>
        </is>
      </c>
      <c r="O56" t="inlineStr">
        <is>
          <t>pending</t>
        </is>
      </c>
      <c r="P56" t="inlineStr">
        <is>
          <t>operating_cash_flow_link</t>
        </is>
      </c>
      <c r="Q56" t="n">
        <v>30</v>
      </c>
      <c r="R56" t="n">
        <v>0</v>
      </c>
      <c r="S56" t="inlineStr">
        <is>
          <t>2023-01-29</t>
        </is>
      </c>
    </row>
    <row r="57">
      <c r="A57" t="inlineStr">
        <is>
          <t>equity_reformulated_fy__20250202</t>
        </is>
      </c>
      <c r="B57" t="n">
        <v>67</v>
      </c>
      <c r="C57" t="inlineStr">
        <is>
          <t>Reformulated equity</t>
        </is>
      </c>
      <c r="D57" t="inlineStr">
        <is>
          <t>Use the operating/financing identity linking NOA, Net Debt, and Equity.</t>
        </is>
      </c>
      <c r="E57" t="inlineStr">
        <is>
          <t>condensed.equity.2025-02-02</t>
        </is>
      </c>
      <c r="F57" t="inlineStr">
        <is>
          <t>accounting</t>
        </is>
      </c>
      <c r="G57" t="inlineStr">
        <is>
          <t>Condensed Financials</t>
        </is>
      </c>
      <c r="H57" t="inlineStr">
        <is>
          <t>D54</t>
        </is>
      </c>
      <c r="I57">
        <f>D50-D53</f>
        <v/>
      </c>
      <c r="J57" t="n">
        <v>4324047</v>
      </c>
      <c r="K57" t="n">
        <v>0.01</v>
      </c>
      <c r="L57" t="inlineStr">
        <is>
          <t>noa_agg__20250202,net_debt__20250202</t>
        </is>
      </c>
      <c r="M57" t="inlineStr">
        <is>
          <t>Reformulated Equity = NOA − Net Debt.|This identity must reconcile to reported equity within tolerance.</t>
        </is>
      </c>
      <c r="O57" t="inlineStr">
        <is>
          <t>pending</t>
        </is>
      </c>
      <c r="P57" t="inlineStr">
        <is>
          <t>equity_reformulated_fy</t>
        </is>
      </c>
      <c r="Q57" t="n">
        <v>17</v>
      </c>
      <c r="R57" t="n">
        <v>2</v>
      </c>
      <c r="S57" t="inlineStr">
        <is>
          <t>2025-02-02</t>
        </is>
      </c>
    </row>
    <row r="58">
      <c r="A58" t="inlineStr">
        <is>
          <t>operating_cash_flow_link__20240128</t>
        </is>
      </c>
      <c r="B58" t="n">
        <v>67</v>
      </c>
      <c r="C58" t="inlineStr">
        <is>
          <t>Operating cash flow historical source link</t>
        </is>
      </c>
      <c r="D58" t="inlineStr">
        <is>
          <t>Link net cash from operating activities for the same fiscal period.</t>
        </is>
      </c>
      <c r="E58" t="inlineStr">
        <is>
          <t>quality.operating_cash_flow.2024-01-28</t>
        </is>
      </c>
      <c r="F58" t="inlineStr">
        <is>
          <t>earnings_quality</t>
        </is>
      </c>
      <c r="G58" t="inlineStr">
        <is>
          <t>Earnings Quality</t>
        </is>
      </c>
      <c r="H58" t="inlineStr">
        <is>
          <t>C5</t>
        </is>
      </c>
      <c r="I58">
        <f>'Cash Flow Statement'!C27</f>
        <v/>
      </c>
      <c r="J58" t="n">
        <v>2296164</v>
      </c>
      <c r="K58" t="n">
        <v>0.01</v>
      </c>
      <c r="M58" t="inlineStr">
        <is>
          <t>Pull final net cash from operating activities for the same period.</t>
        </is>
      </c>
      <c r="O58" t="inlineStr">
        <is>
          <t>pending</t>
        </is>
      </c>
      <c r="P58" t="inlineStr">
        <is>
          <t>operating_cash_flow_link</t>
        </is>
      </c>
      <c r="Q58" t="n">
        <v>30</v>
      </c>
      <c r="R58" t="n">
        <v>1</v>
      </c>
      <c r="S58" t="inlineStr">
        <is>
          <t>2024-01-28</t>
        </is>
      </c>
    </row>
    <row r="59">
      <c r="A59" t="inlineStr">
        <is>
          <t>equity_reformulated_fy__20260201</t>
        </is>
      </c>
      <c r="B59" t="n">
        <v>68</v>
      </c>
      <c r="C59" t="inlineStr">
        <is>
          <t>Reformulated equity</t>
        </is>
      </c>
      <c r="D59" t="inlineStr">
        <is>
          <t>Use the operating/financing identity linking NOA, Net Debt, and Equity.</t>
        </is>
      </c>
      <c r="E59" t="inlineStr">
        <is>
          <t>condensed.equity.2026-02-01</t>
        </is>
      </c>
      <c r="F59" t="inlineStr">
        <is>
          <t>accounting</t>
        </is>
      </c>
      <c r="G59" t="inlineStr">
        <is>
          <t>Condensed Financials</t>
        </is>
      </c>
      <c r="H59" t="inlineStr">
        <is>
          <t>E54</t>
        </is>
      </c>
      <c r="I59">
        <f>E50-E53</f>
        <v/>
      </c>
      <c r="J59" t="n">
        <v>4961840</v>
      </c>
      <c r="K59" t="n">
        <v>0.01</v>
      </c>
      <c r="L59" t="inlineStr">
        <is>
          <t>noa_agg__20260201,net_debt__20260201</t>
        </is>
      </c>
      <c r="M59" t="inlineStr">
        <is>
          <t>Reformulated Equity = NOA − Net Debt.|This identity must reconcile to reported equity within tolerance.</t>
        </is>
      </c>
      <c r="O59" t="inlineStr">
        <is>
          <t>pending</t>
        </is>
      </c>
      <c r="P59" t="inlineStr">
        <is>
          <t>equity_reformulated_fy</t>
        </is>
      </c>
      <c r="Q59" t="n">
        <v>17</v>
      </c>
      <c r="R59" t="n">
        <v>3</v>
      </c>
      <c r="S59" t="inlineStr">
        <is>
          <t>2026-02-01</t>
        </is>
      </c>
    </row>
    <row r="60">
      <c r="A60" t="inlineStr">
        <is>
          <t>operating_cash_flow_link__20250202</t>
        </is>
      </c>
      <c r="B60" t="n">
        <v>68</v>
      </c>
      <c r="C60" t="inlineStr">
        <is>
          <t>Operating cash flow historical source link</t>
        </is>
      </c>
      <c r="D60" t="inlineStr">
        <is>
          <t>Link net cash from operating activities for the same fiscal period.</t>
        </is>
      </c>
      <c r="E60" t="inlineStr">
        <is>
          <t>quality.operating_cash_flow.2025-02-02</t>
        </is>
      </c>
      <c r="F60" t="inlineStr">
        <is>
          <t>earnings_quality</t>
        </is>
      </c>
      <c r="G60" t="inlineStr">
        <is>
          <t>Earnings Quality</t>
        </is>
      </c>
      <c r="H60" t="inlineStr">
        <is>
          <t>D5</t>
        </is>
      </c>
      <c r="I60">
        <f>'Cash Flow Statement'!D27</f>
        <v/>
      </c>
      <c r="J60" t="n">
        <v>2272713</v>
      </c>
      <c r="K60" t="n">
        <v>0.01</v>
      </c>
      <c r="M60" t="inlineStr">
        <is>
          <t>Pull final net cash from operating activities for the same period.</t>
        </is>
      </c>
      <c r="O60" t="inlineStr">
        <is>
          <t>pending</t>
        </is>
      </c>
      <c r="P60" t="inlineStr">
        <is>
          <t>operating_cash_flow_link</t>
        </is>
      </c>
      <c r="Q60" t="n">
        <v>30</v>
      </c>
      <c r="R60" t="n">
        <v>2</v>
      </c>
      <c r="S60" t="inlineStr">
        <is>
          <t>2025-02-02</t>
        </is>
      </c>
    </row>
    <row r="61">
      <c r="A61" t="inlineStr">
        <is>
          <t>sales_growth__20240128</t>
        </is>
      </c>
      <c r="B61" t="n">
        <v>69</v>
      </c>
      <c r="C61" t="inlineStr">
        <is>
          <t>Sales Growth</t>
        </is>
      </c>
      <c r="D61" t="inlineStr">
        <is>
          <t>Current Revenue relative to the immediately preceding fiscal year.</t>
        </is>
      </c>
      <c r="E61" t="inlineStr">
        <is>
          <t>dupont.sales_growth.2024-01-28</t>
        </is>
      </c>
      <c r="F61" t="inlineStr">
        <is>
          <t>dupont</t>
        </is>
      </c>
      <c r="G61" t="inlineStr">
        <is>
          <t>ALT DuPont</t>
        </is>
      </c>
      <c r="H61" t="inlineStr">
        <is>
          <t>C5</t>
        </is>
      </c>
      <c r="I61">
        <f>IF('Condensed Financials'!B34=0,NA(),'Condensed Financials'!C34/'Condensed Financials'!B34-1)</f>
        <v/>
      </c>
      <c r="J61" t="n">
        <v>0.1860251096169196</v>
      </c>
      <c r="K61" t="n">
        <v>0.01</v>
      </c>
      <c r="L61" t="inlineStr">
        <is>
          <t>revenue_link__20240128,revenue_link__20230129</t>
        </is>
      </c>
      <c r="M61" t="inlineStr">
        <is>
          <t>Sales Growth = Current Revenue / Prior Revenue − 1.|A zero denominator makes this ratio undefined (#N/A), not 0%.</t>
        </is>
      </c>
      <c r="O61" t="inlineStr">
        <is>
          <t>pending</t>
        </is>
      </c>
      <c r="P61" t="inlineStr">
        <is>
          <t>sales_growth</t>
        </is>
      </c>
      <c r="Q61" t="n">
        <v>18</v>
      </c>
      <c r="R61" t="n">
        <v>1</v>
      </c>
      <c r="S61" t="inlineStr">
        <is>
          <t>2024-01-28</t>
        </is>
      </c>
    </row>
    <row r="62">
      <c r="A62" t="inlineStr">
        <is>
          <t>operating_cash_flow_link__20260201</t>
        </is>
      </c>
      <c r="B62" t="n">
        <v>69</v>
      </c>
      <c r="C62" t="inlineStr">
        <is>
          <t>Operating cash flow historical source link</t>
        </is>
      </c>
      <c r="D62" t="inlineStr">
        <is>
          <t>Link net cash from operating activities for the same fiscal period.</t>
        </is>
      </c>
      <c r="E62" t="inlineStr">
        <is>
          <t>quality.operating_cash_flow.2026-02-01</t>
        </is>
      </c>
      <c r="F62" t="inlineStr">
        <is>
          <t>earnings_quality</t>
        </is>
      </c>
      <c r="G62" t="inlineStr">
        <is>
          <t>Earnings Quality</t>
        </is>
      </c>
      <c r="H62" t="inlineStr">
        <is>
          <t>E5</t>
        </is>
      </c>
      <c r="I62">
        <f>'Cash Flow Statement'!E27</f>
        <v/>
      </c>
      <c r="J62" t="n">
        <v>1602477</v>
      </c>
      <c r="K62" t="n">
        <v>0.01</v>
      </c>
      <c r="M62" t="inlineStr">
        <is>
          <t>Pull final net cash from operating activities for the same period.</t>
        </is>
      </c>
      <c r="O62" t="inlineStr">
        <is>
          <t>pending</t>
        </is>
      </c>
      <c r="P62" t="inlineStr">
        <is>
          <t>operating_cash_flow_link</t>
        </is>
      </c>
      <c r="Q62" t="n">
        <v>30</v>
      </c>
      <c r="R62" t="n">
        <v>3</v>
      </c>
      <c r="S62" t="inlineStr">
        <is>
          <t>2026-02-01</t>
        </is>
      </c>
    </row>
    <row r="63">
      <c r="A63" t="inlineStr">
        <is>
          <t>sales_growth__20250202</t>
        </is>
      </c>
      <c r="B63" t="n">
        <v>70</v>
      </c>
      <c r="C63" t="inlineStr">
        <is>
          <t>Sales Growth</t>
        </is>
      </c>
      <c r="D63" t="inlineStr">
        <is>
          <t>Current Revenue relative to the immediately preceding fiscal year.</t>
        </is>
      </c>
      <c r="E63" t="inlineStr">
        <is>
          <t>dupont.sales_growth.2025-02-02</t>
        </is>
      </c>
      <c r="F63" t="inlineStr">
        <is>
          <t>dupont</t>
        </is>
      </c>
      <c r="G63" t="inlineStr">
        <is>
          <t>ALT DuPont</t>
        </is>
      </c>
      <c r="H63" t="inlineStr">
        <is>
          <t>D5</t>
        </is>
      </c>
      <c r="I63">
        <f>IF('Condensed Financials'!C34=0,NA(),'Condensed Financials'!D34/'Condensed Financials'!C34-1)</f>
        <v/>
      </c>
      <c r="J63" t="n">
        <v>0.1007194095024595</v>
      </c>
      <c r="K63" t="n">
        <v>0.01</v>
      </c>
      <c r="L63" t="inlineStr">
        <is>
          <t>revenue_link__20250202,revenue_link__20240128</t>
        </is>
      </c>
      <c r="M63" t="inlineStr">
        <is>
          <t>Sales Growth = Current Revenue / Prior Revenue − 1.|A zero denominator makes this ratio undefined (#N/A), not 0%.</t>
        </is>
      </c>
      <c r="O63" t="inlineStr">
        <is>
          <t>pending</t>
        </is>
      </c>
      <c r="P63" t="inlineStr">
        <is>
          <t>sales_growth</t>
        </is>
      </c>
      <c r="Q63" t="n">
        <v>18</v>
      </c>
      <c r="R63" t="n">
        <v>2</v>
      </c>
      <c r="S63" t="inlineStr">
        <is>
          <t>2025-02-02</t>
        </is>
      </c>
    </row>
    <row r="64">
      <c r="A64" t="inlineStr">
        <is>
          <t>cash_conversion_ratio__20230129</t>
        </is>
      </c>
      <c r="B64" t="n">
        <v>70</v>
      </c>
      <c r="C64" t="inlineStr">
        <is>
          <t>Cash conversion ratio</t>
        </is>
      </c>
      <c r="D64" t="inlineStr">
        <is>
          <t>Compare operating cash flow with reported Net Income.</t>
        </is>
      </c>
      <c r="E64" t="inlineStr">
        <is>
          <t>quality.cash_conversion_ratio.2023-01-29</t>
        </is>
      </c>
      <c r="F64" t="inlineStr">
        <is>
          <t>earnings_quality</t>
        </is>
      </c>
      <c r="G64" t="inlineStr">
        <is>
          <t>Earnings Quality</t>
        </is>
      </c>
      <c r="H64" t="inlineStr">
        <is>
          <t>B7</t>
        </is>
      </c>
      <c r="I64">
        <f>IF(B6=0,NA(),B5/B6)</f>
        <v/>
      </c>
      <c r="J64" t="n">
        <v>1.130630556855405</v>
      </c>
      <c r="K64" t="n">
        <v>0.01</v>
      </c>
      <c r="L64" t="inlineStr">
        <is>
          <t>operating_cash_flow_link__20230129,net_income_link__20230129</t>
        </is>
      </c>
      <c r="M64" t="inlineStr">
        <is>
          <t>Cash conversion = CFO / Reported Net Income.</t>
        </is>
      </c>
      <c r="O64" t="inlineStr">
        <is>
          <t>pending</t>
        </is>
      </c>
      <c r="P64" t="inlineStr">
        <is>
          <t>cash_conversion_ratio</t>
        </is>
      </c>
      <c r="Q64" t="n">
        <v>31</v>
      </c>
      <c r="R64" t="n">
        <v>0</v>
      </c>
      <c r="S64" t="inlineStr">
        <is>
          <t>2023-01-29</t>
        </is>
      </c>
    </row>
    <row r="65">
      <c r="A65" t="inlineStr">
        <is>
          <t>sales_growth__20260201</t>
        </is>
      </c>
      <c r="B65" t="n">
        <v>71</v>
      </c>
      <c r="C65" t="inlineStr">
        <is>
          <t>Sales Growth</t>
        </is>
      </c>
      <c r="D65" t="inlineStr">
        <is>
          <t>Current Revenue relative to the immediately preceding fiscal year.</t>
        </is>
      </c>
      <c r="E65" t="inlineStr">
        <is>
          <t>dupont.sales_growth.2026-02-01</t>
        </is>
      </c>
      <c r="F65" t="inlineStr">
        <is>
          <t>dupont</t>
        </is>
      </c>
      <c r="G65" t="inlineStr">
        <is>
          <t>ALT DuPont</t>
        </is>
      </c>
      <c r="H65" t="inlineStr">
        <is>
          <t>E5</t>
        </is>
      </c>
      <c r="I65">
        <f>IF('Condensed Financials'!D34=0,NA(),'Condensed Financials'!E34/'Condensed Financials'!D34-1)</f>
        <v/>
      </c>
      <c r="J65" t="n">
        <v>0.04858971266492285</v>
      </c>
      <c r="K65" t="n">
        <v>0.01</v>
      </c>
      <c r="L65" t="inlineStr">
        <is>
          <t>revenue_link__20260201,revenue_link__20250202</t>
        </is>
      </c>
      <c r="M65" t="inlineStr">
        <is>
          <t>Sales Growth = Current Revenue / Prior Revenue − 1.|A zero denominator makes this ratio undefined (#N/A), not 0%.</t>
        </is>
      </c>
      <c r="O65" t="inlineStr">
        <is>
          <t>pending</t>
        </is>
      </c>
      <c r="P65" t="inlineStr">
        <is>
          <t>sales_growth</t>
        </is>
      </c>
      <c r="Q65" t="n">
        <v>18</v>
      </c>
      <c r="R65" t="n">
        <v>3</v>
      </c>
      <c r="S65" t="inlineStr">
        <is>
          <t>2026-02-01</t>
        </is>
      </c>
    </row>
    <row r="66">
      <c r="A66" t="inlineStr">
        <is>
          <t>cash_conversion_ratio__20240128</t>
        </is>
      </c>
      <c r="B66" t="n">
        <v>71</v>
      </c>
      <c r="C66" t="inlineStr">
        <is>
          <t>Cash conversion ratio</t>
        </is>
      </c>
      <c r="D66" t="inlineStr">
        <is>
          <t>Compare operating cash flow with reported Net Income.</t>
        </is>
      </c>
      <c r="E66" t="inlineStr">
        <is>
          <t>quality.cash_conversion_ratio.2024-01-28</t>
        </is>
      </c>
      <c r="F66" t="inlineStr">
        <is>
          <t>earnings_quality</t>
        </is>
      </c>
      <c r="G66" t="inlineStr">
        <is>
          <t>Earnings Quality</t>
        </is>
      </c>
      <c r="H66" t="inlineStr">
        <is>
          <t>C7</t>
        </is>
      </c>
      <c r="I66">
        <f>IF(C6=0,NA(),C5/C6)</f>
        <v/>
      </c>
      <c r="J66" t="n">
        <v>1.481214560795773</v>
      </c>
      <c r="K66" t="n">
        <v>0.01</v>
      </c>
      <c r="L66" t="inlineStr">
        <is>
          <t>operating_cash_flow_link__20240128,net_income_link__20240128</t>
        </is>
      </c>
      <c r="M66" t="inlineStr">
        <is>
          <t>Cash conversion = CFO / Reported Net Income.</t>
        </is>
      </c>
      <c r="O66" t="inlineStr">
        <is>
          <t>pending</t>
        </is>
      </c>
      <c r="P66" t="inlineStr">
        <is>
          <t>cash_conversion_ratio</t>
        </is>
      </c>
      <c r="Q66" t="n">
        <v>31</v>
      </c>
      <c r="R66" t="n">
        <v>1</v>
      </c>
      <c r="S66" t="inlineStr">
        <is>
          <t>2024-01-28</t>
        </is>
      </c>
    </row>
    <row r="67">
      <c r="A67" t="inlineStr">
        <is>
          <t>cash_conversion_ratio__20250202</t>
        </is>
      </c>
      <c r="B67" t="n">
        <v>72</v>
      </c>
      <c r="C67" t="inlineStr">
        <is>
          <t>Cash conversion ratio</t>
        </is>
      </c>
      <c r="D67" t="inlineStr">
        <is>
          <t>Compare operating cash flow with reported Net Income.</t>
        </is>
      </c>
      <c r="E67" t="inlineStr">
        <is>
          <t>quality.cash_conversion_ratio.2025-02-02</t>
        </is>
      </c>
      <c r="F67" t="inlineStr">
        <is>
          <t>earnings_quality</t>
        </is>
      </c>
      <c r="G67" t="inlineStr">
        <is>
          <t>Earnings Quality</t>
        </is>
      </c>
      <c r="H67" t="inlineStr">
        <is>
          <t>D7</t>
        </is>
      </c>
      <c r="I67">
        <f>IF(D6=0,NA(),D5/D6)</f>
        <v/>
      </c>
      <c r="J67" t="n">
        <v>1.252448451903874</v>
      </c>
      <c r="K67" t="n">
        <v>0.01</v>
      </c>
      <c r="L67" t="inlineStr">
        <is>
          <t>operating_cash_flow_link__20250202,net_income_link__20250202</t>
        </is>
      </c>
      <c r="M67" t="inlineStr">
        <is>
          <t>Cash conversion = CFO / Reported Net Income.</t>
        </is>
      </c>
      <c r="O67" t="inlineStr">
        <is>
          <t>pending</t>
        </is>
      </c>
      <c r="P67" t="inlineStr">
        <is>
          <t>cash_conversion_ratio</t>
        </is>
      </c>
      <c r="Q67" t="n">
        <v>31</v>
      </c>
      <c r="R67" t="n">
        <v>2</v>
      </c>
      <c r="S67" t="inlineStr">
        <is>
          <t>2025-02-02</t>
        </is>
      </c>
    </row>
    <row r="68">
      <c r="A68" t="inlineStr">
        <is>
          <t>cash_conversion_ratio__20260201</t>
        </is>
      </c>
      <c r="B68" t="n">
        <v>73</v>
      </c>
      <c r="C68" t="inlineStr">
        <is>
          <t>Cash conversion ratio</t>
        </is>
      </c>
      <c r="D68" t="inlineStr">
        <is>
          <t>Compare operating cash flow with reported Net Income.</t>
        </is>
      </c>
      <c r="E68" t="inlineStr">
        <is>
          <t>quality.cash_conversion_ratio.2026-02-01</t>
        </is>
      </c>
      <c r="F68" t="inlineStr">
        <is>
          <t>earnings_quality</t>
        </is>
      </c>
      <c r="G68" t="inlineStr">
        <is>
          <t>Earnings Quality</t>
        </is>
      </c>
      <c r="H68" t="inlineStr">
        <is>
          <t>E7</t>
        </is>
      </c>
      <c r="I68">
        <f>IF(E6=0,NA(),E5/E6)</f>
        <v/>
      </c>
      <c r="J68" t="n">
        <v>1.014750665375704</v>
      </c>
      <c r="K68" t="n">
        <v>0.01</v>
      </c>
      <c r="L68" t="inlineStr">
        <is>
          <t>operating_cash_flow_link__20260201,net_income_link__20260201</t>
        </is>
      </c>
      <c r="M68" t="inlineStr">
        <is>
          <t>Cash conversion = CFO / Reported Net Income.</t>
        </is>
      </c>
      <c r="O68" t="inlineStr">
        <is>
          <t>pending</t>
        </is>
      </c>
      <c r="P68" t="inlineStr">
        <is>
          <t>cash_conversion_ratio</t>
        </is>
      </c>
      <c r="Q68" t="n">
        <v>31</v>
      </c>
      <c r="R68" t="n">
        <v>3</v>
      </c>
      <c r="S68" t="inlineStr">
        <is>
          <t>2026-02-01</t>
        </is>
      </c>
    </row>
    <row r="69">
      <c r="A69" t="inlineStr">
        <is>
          <t>total_accruals__20230129</t>
        </is>
      </c>
      <c r="B69" t="n">
        <v>74</v>
      </c>
      <c r="C69" t="inlineStr">
        <is>
          <t>Total accruals</t>
        </is>
      </c>
      <c r="D69" t="inlineStr">
        <is>
          <t>Reported Net Income minus operating cash flow.</t>
        </is>
      </c>
      <c r="E69" t="inlineStr">
        <is>
          <t>quality.total_accruals.2023-01-29</t>
        </is>
      </c>
      <c r="F69" t="inlineStr">
        <is>
          <t>earnings_quality</t>
        </is>
      </c>
      <c r="G69" t="inlineStr">
        <is>
          <t>Earnings Quality</t>
        </is>
      </c>
      <c r="H69" t="inlineStr">
        <is>
          <t>B8</t>
        </is>
      </c>
      <c r="I69">
        <f>B6-B5</f>
        <v/>
      </c>
      <c r="J69" t="n">
        <v>-111663</v>
      </c>
      <c r="K69" t="n">
        <v>0.01</v>
      </c>
      <c r="L69" t="inlineStr">
        <is>
          <t>operating_cash_flow_link__20230129,net_income_link__20230129</t>
        </is>
      </c>
      <c r="M69" t="inlineStr">
        <is>
          <t>Total accruals = Reported Net Income − CFO.</t>
        </is>
      </c>
      <c r="O69" t="inlineStr">
        <is>
          <t>pending</t>
        </is>
      </c>
      <c r="P69" t="inlineStr">
        <is>
          <t>total_accruals</t>
        </is>
      </c>
      <c r="Q69" t="n">
        <v>32</v>
      </c>
      <c r="R69" t="n">
        <v>0</v>
      </c>
      <c r="S69" t="inlineStr">
        <is>
          <t>2023-01-29</t>
        </is>
      </c>
    </row>
    <row r="70">
      <c r="A70" t="inlineStr">
        <is>
          <t>total_accruals__20240128</t>
        </is>
      </c>
      <c r="B70" t="n">
        <v>75</v>
      </c>
      <c r="C70" t="inlineStr">
        <is>
          <t>Total accruals</t>
        </is>
      </c>
      <c r="D70" t="inlineStr">
        <is>
          <t>Reported Net Income minus operating cash flow.</t>
        </is>
      </c>
      <c r="E70" t="inlineStr">
        <is>
          <t>quality.total_accruals.2024-01-28</t>
        </is>
      </c>
      <c r="F70" t="inlineStr">
        <is>
          <t>earnings_quality</t>
        </is>
      </c>
      <c r="G70" t="inlineStr">
        <is>
          <t>Earnings Quality</t>
        </is>
      </c>
      <c r="H70" t="inlineStr">
        <is>
          <t>C8</t>
        </is>
      </c>
      <c r="I70">
        <f>C6-C5</f>
        <v/>
      </c>
      <c r="J70" t="n">
        <v>-745974</v>
      </c>
      <c r="K70" t="n">
        <v>0.01</v>
      </c>
      <c r="L70" t="inlineStr">
        <is>
          <t>operating_cash_flow_link__20240128,net_income_link__20240128</t>
        </is>
      </c>
      <c r="M70" t="inlineStr">
        <is>
          <t>Total accruals = Reported Net Income − CFO.</t>
        </is>
      </c>
      <c r="O70" t="inlineStr">
        <is>
          <t>pending</t>
        </is>
      </c>
      <c r="P70" t="inlineStr">
        <is>
          <t>total_accruals</t>
        </is>
      </c>
      <c r="Q70" t="n">
        <v>32</v>
      </c>
      <c r="R70" t="n">
        <v>1</v>
      </c>
      <c r="S70" t="inlineStr">
        <is>
          <t>2024-01-28</t>
        </is>
      </c>
    </row>
    <row r="71">
      <c r="A71" t="inlineStr">
        <is>
          <t>total_accruals__20250202</t>
        </is>
      </c>
      <c r="B71" t="n">
        <v>76</v>
      </c>
      <c r="C71" t="inlineStr">
        <is>
          <t>Total accruals</t>
        </is>
      </c>
      <c r="D71" t="inlineStr">
        <is>
          <t>Reported Net Income minus operating cash flow.</t>
        </is>
      </c>
      <c r="E71" t="inlineStr">
        <is>
          <t>quality.total_accruals.2025-02-02</t>
        </is>
      </c>
      <c r="F71" t="inlineStr">
        <is>
          <t>earnings_quality</t>
        </is>
      </c>
      <c r="G71" t="inlineStr">
        <is>
          <t>Earnings Quality</t>
        </is>
      </c>
      <c r="H71" t="inlineStr">
        <is>
          <t>D8</t>
        </is>
      </c>
      <c r="I71">
        <f>D6-D5</f>
        <v/>
      </c>
      <c r="J71" t="n">
        <v>-458097</v>
      </c>
      <c r="K71" t="n">
        <v>0.01</v>
      </c>
      <c r="L71" t="inlineStr">
        <is>
          <t>operating_cash_flow_link__20250202,net_income_link__20250202</t>
        </is>
      </c>
      <c r="M71" t="inlineStr">
        <is>
          <t>Total accruals = Reported Net Income − CFO.</t>
        </is>
      </c>
      <c r="O71" t="inlineStr">
        <is>
          <t>pending</t>
        </is>
      </c>
      <c r="P71" t="inlineStr">
        <is>
          <t>total_accruals</t>
        </is>
      </c>
      <c r="Q71" t="n">
        <v>32</v>
      </c>
      <c r="R71" t="n">
        <v>2</v>
      </c>
      <c r="S71" t="inlineStr">
        <is>
          <t>2025-02-02</t>
        </is>
      </c>
    </row>
    <row r="72">
      <c r="A72" t="inlineStr">
        <is>
          <t>total_accruals__20260201</t>
        </is>
      </c>
      <c r="B72" t="n">
        <v>77</v>
      </c>
      <c r="C72" t="inlineStr">
        <is>
          <t>Total accruals</t>
        </is>
      </c>
      <c r="D72" t="inlineStr">
        <is>
          <t>Reported Net Income minus operating cash flow.</t>
        </is>
      </c>
      <c r="E72" t="inlineStr">
        <is>
          <t>quality.total_accruals.2026-02-01</t>
        </is>
      </c>
      <c r="F72" t="inlineStr">
        <is>
          <t>earnings_quality</t>
        </is>
      </c>
      <c r="G72" t="inlineStr">
        <is>
          <t>Earnings Quality</t>
        </is>
      </c>
      <c r="H72" t="inlineStr">
        <is>
          <t>E8</t>
        </is>
      </c>
      <c r="I72">
        <f>E6-E5</f>
        <v/>
      </c>
      <c r="J72" t="n">
        <v>-23294</v>
      </c>
      <c r="K72" t="n">
        <v>0.01</v>
      </c>
      <c r="L72" t="inlineStr">
        <is>
          <t>operating_cash_flow_link__20260201,net_income_link__20260201</t>
        </is>
      </c>
      <c r="M72" t="inlineStr">
        <is>
          <t>Total accruals = Reported Net Income − CFO.</t>
        </is>
      </c>
      <c r="O72" t="inlineStr">
        <is>
          <t>pending</t>
        </is>
      </c>
      <c r="P72" t="inlineStr">
        <is>
          <t>total_accruals</t>
        </is>
      </c>
      <c r="Q72" t="n">
        <v>32</v>
      </c>
      <c r="R72" t="n">
        <v>3</v>
      </c>
      <c r="S72" t="inlineStr">
        <is>
          <t>2026-02-01</t>
        </is>
      </c>
    </row>
    <row r="73">
      <c r="A73" t="inlineStr">
        <is>
          <t>average_total_assets__20240128</t>
        </is>
      </c>
      <c r="B73" t="n">
        <v>78</v>
      </c>
      <c r="C73" t="inlineStr">
        <is>
          <t>Average total assets</t>
        </is>
      </c>
      <c r="D73" t="inlineStr">
        <is>
          <t>Average beginning and ending reported total assets.</t>
        </is>
      </c>
      <c r="E73" t="inlineStr">
        <is>
          <t>quality.average_total_assets.2024-01-28</t>
        </is>
      </c>
      <c r="F73" t="inlineStr">
        <is>
          <t>earnings_quality</t>
        </is>
      </c>
      <c r="G73" t="inlineStr">
        <is>
          <t>Earnings Quality</t>
        </is>
      </c>
      <c r="H73" t="inlineStr">
        <is>
          <t>C11</t>
        </is>
      </c>
      <c r="I73">
        <f>(B10+C10)/2</f>
        <v/>
      </c>
      <c r="J73" t="n">
        <v>6349489.5</v>
      </c>
      <c r="K73" t="n">
        <v>0.01</v>
      </c>
      <c r="M73" t="inlineStr">
        <is>
          <t>Average Total Assets = (Beginning Total Assets + Ending Total Assets) / 2.</t>
        </is>
      </c>
      <c r="O73" t="inlineStr">
        <is>
          <t>pending</t>
        </is>
      </c>
      <c r="P73" t="inlineStr">
        <is>
          <t>average_total_assets</t>
        </is>
      </c>
      <c r="Q73" t="n">
        <v>33</v>
      </c>
      <c r="R73" t="n">
        <v>1</v>
      </c>
      <c r="S73" t="inlineStr">
        <is>
          <t>2024-01-28</t>
        </is>
      </c>
    </row>
    <row r="74">
      <c r="A74" t="inlineStr">
        <is>
          <t>average_total_assets__20250202</t>
        </is>
      </c>
      <c r="B74" t="n">
        <v>79</v>
      </c>
      <c r="C74" t="inlineStr">
        <is>
          <t>Average total assets</t>
        </is>
      </c>
      <c r="D74" t="inlineStr">
        <is>
          <t>Average beginning and ending reported total assets.</t>
        </is>
      </c>
      <c r="E74" t="inlineStr">
        <is>
          <t>quality.average_total_assets.2025-02-02</t>
        </is>
      </c>
      <c r="F74" t="inlineStr">
        <is>
          <t>earnings_quality</t>
        </is>
      </c>
      <c r="G74" t="inlineStr">
        <is>
          <t>Earnings Quality</t>
        </is>
      </c>
      <c r="H74" t="inlineStr">
        <is>
          <t>D11</t>
        </is>
      </c>
      <c r="I74">
        <f>(C10+D10)/2</f>
        <v/>
      </c>
      <c r="J74" t="n">
        <v>7347616.5</v>
      </c>
      <c r="K74" t="n">
        <v>0.01</v>
      </c>
      <c r="M74" t="inlineStr">
        <is>
          <t>Average Total Assets = (Beginning Total Assets + Ending Total Assets) / 2.</t>
        </is>
      </c>
      <c r="O74" t="inlineStr">
        <is>
          <t>pending</t>
        </is>
      </c>
      <c r="P74" t="inlineStr">
        <is>
          <t>average_total_assets</t>
        </is>
      </c>
      <c r="Q74" t="n">
        <v>33</v>
      </c>
      <c r="R74" t="n">
        <v>2</v>
      </c>
      <c r="S74" t="inlineStr">
        <is>
          <t>2025-02-02</t>
        </is>
      </c>
    </row>
    <row r="75">
      <c r="A75" t="inlineStr">
        <is>
          <t>average_total_assets__20260201</t>
        </is>
      </c>
      <c r="B75" t="n">
        <v>80</v>
      </c>
      <c r="C75" t="inlineStr">
        <is>
          <t>Average total assets</t>
        </is>
      </c>
      <c r="D75" t="inlineStr">
        <is>
          <t>Average beginning and ending reported total assets.</t>
        </is>
      </c>
      <c r="E75" t="inlineStr">
        <is>
          <t>quality.average_total_assets.2026-02-01</t>
        </is>
      </c>
      <c r="F75" t="inlineStr">
        <is>
          <t>earnings_quality</t>
        </is>
      </c>
      <c r="G75" t="inlineStr">
        <is>
          <t>Earnings Quality</t>
        </is>
      </c>
      <c r="H75" t="inlineStr">
        <is>
          <t>E11</t>
        </is>
      </c>
      <c r="I75">
        <f>(D10+E10)/2</f>
        <v/>
      </c>
      <c r="J75" t="n">
        <v>8030017.5</v>
      </c>
      <c r="K75" t="n">
        <v>0.01</v>
      </c>
      <c r="M75" t="inlineStr">
        <is>
          <t>Average Total Assets = (Beginning Total Assets + Ending Total Assets) / 2.</t>
        </is>
      </c>
      <c r="O75" t="inlineStr">
        <is>
          <t>pending</t>
        </is>
      </c>
      <c r="P75" t="inlineStr">
        <is>
          <t>average_total_assets</t>
        </is>
      </c>
      <c r="Q75" t="n">
        <v>33</v>
      </c>
      <c r="R75" t="n">
        <v>3</v>
      </c>
      <c r="S75" t="inlineStr">
        <is>
          <t>2026-02-01</t>
        </is>
      </c>
    </row>
    <row r="76">
      <c r="A76" t="inlineStr">
        <is>
          <t>accrual_ratio__20240128</t>
        </is>
      </c>
      <c r="B76" t="n">
        <v>81</v>
      </c>
      <c r="C76" t="inlineStr">
        <is>
          <t>Accrual ratio</t>
        </is>
      </c>
      <c r="D76" t="inlineStr">
        <is>
          <t>Scale total accruals by average total assets.</t>
        </is>
      </c>
      <c r="E76" t="inlineStr">
        <is>
          <t>quality.accrual_ratio.2024-01-28</t>
        </is>
      </c>
      <c r="F76" t="inlineStr">
        <is>
          <t>earnings_quality</t>
        </is>
      </c>
      <c r="G76" t="inlineStr">
        <is>
          <t>Earnings Quality</t>
        </is>
      </c>
      <c r="H76" t="inlineStr">
        <is>
          <t>C12</t>
        </is>
      </c>
      <c r="I76">
        <f>IF(C11=0,NA(),C8/C11)</f>
        <v/>
      </c>
      <c r="J76" t="n">
        <v>-0.1174856655798864</v>
      </c>
      <c r="K76" t="n">
        <v>0.01</v>
      </c>
      <c r="L76" t="inlineStr">
        <is>
          <t>total_accruals__20240128,average_total_assets__20240128</t>
        </is>
      </c>
      <c r="M76" t="inlineStr">
        <is>
          <t>Accrual ratio = Total Accruals / Average Total Assets.</t>
        </is>
      </c>
      <c r="O76" t="inlineStr">
        <is>
          <t>pending</t>
        </is>
      </c>
      <c r="P76" t="inlineStr">
        <is>
          <t>accrual_ratio</t>
        </is>
      </c>
      <c r="Q76" t="n">
        <v>34</v>
      </c>
      <c r="R76" t="n">
        <v>1</v>
      </c>
      <c r="S76" t="inlineStr">
        <is>
          <t>2024-01-28</t>
        </is>
      </c>
    </row>
    <row r="77">
      <c r="A77" t="inlineStr">
        <is>
          <t>accrual_ratio__20250202</t>
        </is>
      </c>
      <c r="B77" t="n">
        <v>82</v>
      </c>
      <c r="C77" t="inlineStr">
        <is>
          <t>Accrual ratio</t>
        </is>
      </c>
      <c r="D77" t="inlineStr">
        <is>
          <t>Scale total accruals by average total assets.</t>
        </is>
      </c>
      <c r="E77" t="inlineStr">
        <is>
          <t>quality.accrual_ratio.2025-02-02</t>
        </is>
      </c>
      <c r="F77" t="inlineStr">
        <is>
          <t>earnings_quality</t>
        </is>
      </c>
      <c r="G77" t="inlineStr">
        <is>
          <t>Earnings Quality</t>
        </is>
      </c>
      <c r="H77" t="inlineStr">
        <is>
          <t>D12</t>
        </is>
      </c>
      <c r="I77">
        <f>IF(D11=0,NA(),D8/D11)</f>
        <v/>
      </c>
      <c r="J77" t="n">
        <v>-0.06234634047653412</v>
      </c>
      <c r="K77" t="n">
        <v>0.01</v>
      </c>
      <c r="L77" t="inlineStr">
        <is>
          <t>total_accruals__20250202,average_total_assets__20250202</t>
        </is>
      </c>
      <c r="M77" t="inlineStr">
        <is>
          <t>Accrual ratio = Total Accruals / Average Total Assets.</t>
        </is>
      </c>
      <c r="O77" t="inlineStr">
        <is>
          <t>pending</t>
        </is>
      </c>
      <c r="P77" t="inlineStr">
        <is>
          <t>accrual_ratio</t>
        </is>
      </c>
      <c r="Q77" t="n">
        <v>34</v>
      </c>
      <c r="R77" t="n">
        <v>2</v>
      </c>
      <c r="S77" t="inlineStr">
        <is>
          <t>2025-02-02</t>
        </is>
      </c>
    </row>
    <row r="78">
      <c r="A78" t="inlineStr">
        <is>
          <t>accrual_ratio__20260201</t>
        </is>
      </c>
      <c r="B78" t="n">
        <v>83</v>
      </c>
      <c r="C78" t="inlineStr">
        <is>
          <t>Accrual ratio</t>
        </is>
      </c>
      <c r="D78" t="inlineStr">
        <is>
          <t>Scale total accruals by average total assets.</t>
        </is>
      </c>
      <c r="E78" t="inlineStr">
        <is>
          <t>quality.accrual_ratio.2026-02-01</t>
        </is>
      </c>
      <c r="F78" t="inlineStr">
        <is>
          <t>earnings_quality</t>
        </is>
      </c>
      <c r="G78" t="inlineStr">
        <is>
          <t>Earnings Quality</t>
        </is>
      </c>
      <c r="H78" t="inlineStr">
        <is>
          <t>E12</t>
        </is>
      </c>
      <c r="I78">
        <f>IF(E11=0,NA(),E8/E11)</f>
        <v/>
      </c>
      <c r="J78" t="n">
        <v>-0.002900865409072894</v>
      </c>
      <c r="K78" t="n">
        <v>0.01</v>
      </c>
      <c r="L78" t="inlineStr">
        <is>
          <t>total_accruals__20260201,average_total_assets__20260201</t>
        </is>
      </c>
      <c r="M78" t="inlineStr">
        <is>
          <t>Accrual ratio = Total Accruals / Average Total Assets.</t>
        </is>
      </c>
      <c r="O78" t="inlineStr">
        <is>
          <t>pending</t>
        </is>
      </c>
      <c r="P78" t="inlineStr">
        <is>
          <t>accrual_ratio</t>
        </is>
      </c>
      <c r="Q78" t="n">
        <v>34</v>
      </c>
      <c r="R78" t="n">
        <v>3</v>
      </c>
      <c r="S78" t="inlineStr">
        <is>
          <t>2026-02-01</t>
        </is>
      </c>
    </row>
    <row r="79">
      <c r="A79" t="inlineStr">
        <is>
          <t>owca_to_revenue__20230129</t>
        </is>
      </c>
      <c r="B79" t="n">
        <v>84</v>
      </c>
      <c r="C79" t="inlineStr">
        <is>
          <t>Operating working capital assets / Revenue</t>
        </is>
      </c>
      <c r="D79" t="inlineStr">
        <is>
          <t>OWCA divided by Revenue for the same fiscal period.</t>
        </is>
      </c>
      <c r="E79" t="inlineStr">
        <is>
          <t>working_capital.owca_to_revenue.2023-01-29</t>
        </is>
      </c>
      <c r="F79" t="inlineStr">
        <is>
          <t>working_capital</t>
        </is>
      </c>
      <c r="G79" t="inlineStr">
        <is>
          <t>Working Capital Analysis</t>
        </is>
      </c>
      <c r="H79" t="inlineStr">
        <is>
          <t>B11</t>
        </is>
      </c>
      <c r="I79">
        <f>IF(B6=0,NA(),B7/B6)</f>
        <v/>
      </c>
      <c r="J79" t="n">
        <v>0.2471588127909956</v>
      </c>
      <c r="K79" t="n">
        <v>0.01</v>
      </c>
      <c r="M79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79" t="inlineStr">
        <is>
          <t>pending</t>
        </is>
      </c>
      <c r="P79" t="inlineStr">
        <is>
          <t>owca_to_revenue</t>
        </is>
      </c>
      <c r="Q79" t="n">
        <v>35</v>
      </c>
      <c r="R79" t="n">
        <v>0</v>
      </c>
      <c r="S79" t="inlineStr">
        <is>
          <t>2023-01-29</t>
        </is>
      </c>
    </row>
    <row r="80">
      <c r="A80" t="inlineStr">
        <is>
          <t>flev__20240128</t>
        </is>
      </c>
      <c r="B80" t="n">
        <v>85</v>
      </c>
      <c r="C80" t="inlineStr">
        <is>
          <t>Financial leverage (FLEV)</t>
        </is>
      </c>
      <c r="D80" t="inlineStr">
        <is>
          <t>Relate average net debt to average reformulated equity.</t>
        </is>
      </c>
      <c r="E80" t="inlineStr">
        <is>
          <t>dupont.flev.2024-01-28</t>
        </is>
      </c>
      <c r="F80" t="inlineStr">
        <is>
          <t>dupont</t>
        </is>
      </c>
      <c r="G80" t="inlineStr">
        <is>
          <t>ALT DuPont</t>
        </is>
      </c>
      <c r="H80" t="inlineStr">
        <is>
          <t>C10</t>
        </is>
      </c>
      <c r="I80">
        <f>IF((('Condensed Financials'!C54+'Condensed Financials'!B54)/2)=0,NA(),(('Condensed Financials'!C53+'Condensed Financials'!B53)/2)/(('Condensed Financials'!C54+'Condensed Financials'!B54)/2))</f>
        <v/>
      </c>
      <c r="J80" t="n">
        <v>-0.4604922448271751</v>
      </c>
      <c r="K80" t="n">
        <v>0.01</v>
      </c>
      <c r="L80" t="inlineStr">
        <is>
          <t>net_debt__20240128,equity_reformulated_fy__20240128,net_debt__20230129,equity_reformulated_fy__20230129</t>
        </is>
      </c>
      <c r="M80" t="inlineStr">
        <is>
          <t>FLEV = Average Net Debt / Average Equity.|A zero denominator makes this ratio undefined (#N/A), not 0%.</t>
        </is>
      </c>
      <c r="O80" t="inlineStr">
        <is>
          <t>pending</t>
        </is>
      </c>
      <c r="P80" t="inlineStr">
        <is>
          <t>flev</t>
        </is>
      </c>
      <c r="Q80" t="n">
        <v>23</v>
      </c>
      <c r="R80" t="n">
        <v>1</v>
      </c>
      <c r="S80" t="inlineStr">
        <is>
          <t>2024-01-28</t>
        </is>
      </c>
    </row>
    <row r="81">
      <c r="A81" t="inlineStr">
        <is>
          <t>owca_to_revenue__20240128</t>
        </is>
      </c>
      <c r="B81" t="n">
        <v>85</v>
      </c>
      <c r="C81" t="inlineStr">
        <is>
          <t>Operating working capital assets / Revenue</t>
        </is>
      </c>
      <c r="D81" t="inlineStr">
        <is>
          <t>OWCA divided by Revenue for the same fiscal period.</t>
        </is>
      </c>
      <c r="E81" t="inlineStr">
        <is>
          <t>working_capital.owca_to_revenue.2024-01-28</t>
        </is>
      </c>
      <c r="F81" t="inlineStr">
        <is>
          <t>working_capital</t>
        </is>
      </c>
      <c r="G81" t="inlineStr">
        <is>
          <t>Working Capital Analysis</t>
        </is>
      </c>
      <c r="H81" t="inlineStr">
        <is>
          <t>C11</t>
        </is>
      </c>
      <c r="I81">
        <f>IF(C6=0,NA(),C7/C6)</f>
        <v/>
      </c>
      <c r="J81" t="n">
        <v>0.1888505561436108</v>
      </c>
      <c r="K81" t="n">
        <v>0.01</v>
      </c>
      <c r="M81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81" t="inlineStr">
        <is>
          <t>pending</t>
        </is>
      </c>
      <c r="P81" t="inlineStr">
        <is>
          <t>owca_to_revenue</t>
        </is>
      </c>
      <c r="Q81" t="n">
        <v>35</v>
      </c>
      <c r="R81" t="n">
        <v>1</v>
      </c>
      <c r="S81" t="inlineStr">
        <is>
          <t>2024-01-28</t>
        </is>
      </c>
    </row>
    <row r="82">
      <c r="A82" t="inlineStr">
        <is>
          <t>flev__20250202</t>
        </is>
      </c>
      <c r="B82" t="n">
        <v>86</v>
      </c>
      <c r="C82" t="inlineStr">
        <is>
          <t>Financial leverage (FLEV)</t>
        </is>
      </c>
      <c r="D82" t="inlineStr">
        <is>
          <t>Relate average net debt to average reformulated equity.</t>
        </is>
      </c>
      <c r="E82" t="inlineStr">
        <is>
          <t>dupont.flev.2025-02-02</t>
        </is>
      </c>
      <c r="F82" t="inlineStr">
        <is>
          <t>dupont</t>
        </is>
      </c>
      <c r="G82" t="inlineStr">
        <is>
          <t>ALT DuPont</t>
        </is>
      </c>
      <c r="H82" t="inlineStr">
        <is>
          <t>D10</t>
        </is>
      </c>
      <c r="I82">
        <f>IF((('Condensed Financials'!D54+'Condensed Financials'!C54)/2)=0,NA(),(('Condensed Financials'!D53+'Condensed Financials'!C53)/2)/(('Condensed Financials'!D54+'Condensed Financials'!C54)/2))</f>
        <v/>
      </c>
      <c r="J82" t="n">
        <v>-0.4941846358539751</v>
      </c>
      <c r="K82" t="n">
        <v>0.01</v>
      </c>
      <c r="L82" t="inlineStr">
        <is>
          <t>net_debt__20250202,equity_reformulated_fy__20250202,net_debt__20240128,equity_reformulated_fy__20240128</t>
        </is>
      </c>
      <c r="M82" t="inlineStr">
        <is>
          <t>FLEV = Average Net Debt / Average Equity.|A zero denominator makes this ratio undefined (#N/A), not 0%.</t>
        </is>
      </c>
      <c r="O82" t="inlineStr">
        <is>
          <t>pending</t>
        </is>
      </c>
      <c r="P82" t="inlineStr">
        <is>
          <t>flev</t>
        </is>
      </c>
      <c r="Q82" t="n">
        <v>23</v>
      </c>
      <c r="R82" t="n">
        <v>2</v>
      </c>
      <c r="S82" t="inlineStr">
        <is>
          <t>2025-02-02</t>
        </is>
      </c>
    </row>
    <row r="83">
      <c r="A83" t="inlineStr">
        <is>
          <t>owca_to_revenue__20250202</t>
        </is>
      </c>
      <c r="B83" t="n">
        <v>86</v>
      </c>
      <c r="C83" t="inlineStr">
        <is>
          <t>Operating working capital assets / Revenue</t>
        </is>
      </c>
      <c r="D83" t="inlineStr">
        <is>
          <t>OWCA divided by Revenue for the same fiscal period.</t>
        </is>
      </c>
      <c r="E83" t="inlineStr">
        <is>
          <t>working_capital.owca_to_revenue.2025-02-02</t>
        </is>
      </c>
      <c r="F83" t="inlineStr">
        <is>
          <t>working_capital</t>
        </is>
      </c>
      <c r="G83" t="inlineStr">
        <is>
          <t>Working Capital Analysis</t>
        </is>
      </c>
      <c r="H83" t="inlineStr">
        <is>
          <t>D11</t>
        </is>
      </c>
      <c r="I83">
        <f>IF(D6=0,NA(),D7/D6)</f>
        <v/>
      </c>
      <c r="J83" t="n">
        <v>0.1885098458405198</v>
      </c>
      <c r="K83" t="n">
        <v>0.01</v>
      </c>
      <c r="M83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83" t="inlineStr">
        <is>
          <t>pending</t>
        </is>
      </c>
      <c r="P83" t="inlineStr">
        <is>
          <t>owca_to_revenue</t>
        </is>
      </c>
      <c r="Q83" t="n">
        <v>35</v>
      </c>
      <c r="R83" t="n">
        <v>2</v>
      </c>
      <c r="S83" t="inlineStr">
        <is>
          <t>2025-02-02</t>
        </is>
      </c>
    </row>
    <row r="84">
      <c r="A84" t="inlineStr">
        <is>
          <t>flev__20260201</t>
        </is>
      </c>
      <c r="B84" t="n">
        <v>87</v>
      </c>
      <c r="C84" t="inlineStr">
        <is>
          <t>Financial leverage (FLEV)</t>
        </is>
      </c>
      <c r="D84" t="inlineStr">
        <is>
          <t>Relate average net debt to average reformulated equity.</t>
        </is>
      </c>
      <c r="E84" t="inlineStr">
        <is>
          <t>dupont.flev.2026-02-01</t>
        </is>
      </c>
      <c r="F84" t="inlineStr">
        <is>
          <t>dupont</t>
        </is>
      </c>
      <c r="G84" t="inlineStr">
        <is>
          <t>ALT DuPont</t>
        </is>
      </c>
      <c r="H84" t="inlineStr">
        <is>
          <t>E10</t>
        </is>
      </c>
      <c r="I84">
        <f>IF((('Condensed Financials'!E54+'Condensed Financials'!D54)/2)=0,NA(),(('Condensed Financials'!E53+'Condensed Financials'!D53)/2)/(('Condensed Financials'!E54+'Condensed Financials'!D54)/2))</f>
        <v/>
      </c>
      <c r="J84" t="n">
        <v>-0.4083118823220657</v>
      </c>
      <c r="K84" t="n">
        <v>0.01</v>
      </c>
      <c r="L84" t="inlineStr">
        <is>
          <t>net_debt__20260201,equity_reformulated_fy__20260201,net_debt__20250202,equity_reformulated_fy__20250202</t>
        </is>
      </c>
      <c r="M84" t="inlineStr">
        <is>
          <t>FLEV = Average Net Debt / Average Equity.|A zero denominator makes this ratio undefined (#N/A), not 0%.</t>
        </is>
      </c>
      <c r="O84" t="inlineStr">
        <is>
          <t>pending</t>
        </is>
      </c>
      <c r="P84" t="inlineStr">
        <is>
          <t>flev</t>
        </is>
      </c>
      <c r="Q84" t="n">
        <v>23</v>
      </c>
      <c r="R84" t="n">
        <v>3</v>
      </c>
      <c r="S84" t="inlineStr">
        <is>
          <t>2026-02-01</t>
        </is>
      </c>
    </row>
    <row r="85">
      <c r="A85" t="inlineStr">
        <is>
          <t>owca_to_revenue__20260201</t>
        </is>
      </c>
      <c r="B85" t="n">
        <v>87</v>
      </c>
      <c r="C85" t="inlineStr">
        <is>
          <t>Operating working capital assets / Revenue</t>
        </is>
      </c>
      <c r="D85" t="inlineStr">
        <is>
          <t>OWCA divided by Revenue for the same fiscal period.</t>
        </is>
      </c>
      <c r="E85" t="inlineStr">
        <is>
          <t>working_capital.owca_to_revenue.2026-02-01</t>
        </is>
      </c>
      <c r="F85" t="inlineStr">
        <is>
          <t>working_capital</t>
        </is>
      </c>
      <c r="G85" t="inlineStr">
        <is>
          <t>Working Capital Analysis</t>
        </is>
      </c>
      <c r="H85" t="inlineStr">
        <is>
          <t>E11</t>
        </is>
      </c>
      <c r="I85">
        <f>IF(E6=0,NA(),E7/E6)</f>
        <v/>
      </c>
      <c r="J85" t="n">
        <v>0.2211643218705528</v>
      </c>
      <c r="K85" t="n">
        <v>0.01</v>
      </c>
      <c r="M85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85" t="inlineStr">
        <is>
          <t>pending</t>
        </is>
      </c>
      <c r="P85" t="inlineStr">
        <is>
          <t>owca_to_revenue</t>
        </is>
      </c>
      <c r="Q85" t="n">
        <v>35</v>
      </c>
      <c r="R85" t="n">
        <v>3</v>
      </c>
      <c r="S85" t="inlineStr">
        <is>
          <t>2026-02-01</t>
        </is>
      </c>
    </row>
    <row r="86">
      <c r="A86" t="inlineStr">
        <is>
          <t>owcl_to_revenue__20230129</t>
        </is>
      </c>
      <c r="B86" t="n">
        <v>88</v>
      </c>
      <c r="C86" t="inlineStr">
        <is>
          <t>Operating working capital liabilities / Revenue</t>
        </is>
      </c>
      <c r="D86" t="inlineStr">
        <is>
          <t>OWCL divided by Revenue for the same fiscal period.</t>
        </is>
      </c>
      <c r="E86" t="inlineStr">
        <is>
          <t>working_capital.owcl_to_revenue.2023-01-29</t>
        </is>
      </c>
      <c r="F86" t="inlineStr">
        <is>
          <t>working_capital</t>
        </is>
      </c>
      <c r="G86" t="inlineStr">
        <is>
          <t>Working Capital Analysis</t>
        </is>
      </c>
      <c r="H86" t="inlineStr">
        <is>
          <t>B12</t>
        </is>
      </c>
      <c r="I86">
        <f>IF(B6=0,NA(),B8/B6)</f>
        <v/>
      </c>
      <c r="J86" t="n">
        <v>0.1618615481773174</v>
      </c>
      <c r="K86" t="n">
        <v>0.01</v>
      </c>
      <c r="M86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86" t="inlineStr">
        <is>
          <t>pending</t>
        </is>
      </c>
      <c r="P86" t="inlineStr">
        <is>
          <t>owcl_to_revenue</t>
        </is>
      </c>
      <c r="Q86" t="n">
        <v>36</v>
      </c>
      <c r="R86" t="n">
        <v>0</v>
      </c>
      <c r="S86" t="inlineStr">
        <is>
          <t>2023-01-29</t>
        </is>
      </c>
    </row>
    <row r="87">
      <c r="A87" t="inlineStr">
        <is>
          <t>owcl_to_revenue__20240128</t>
        </is>
      </c>
      <c r="B87" t="n">
        <v>89</v>
      </c>
      <c r="C87" t="inlineStr">
        <is>
          <t>Operating working capital liabilities / Revenue</t>
        </is>
      </c>
      <c r="D87" t="inlineStr">
        <is>
          <t>OWCL divided by Revenue for the same fiscal period.</t>
        </is>
      </c>
      <c r="E87" t="inlineStr">
        <is>
          <t>working_capital.owcl_to_revenue.2024-01-28</t>
        </is>
      </c>
      <c r="F87" t="inlineStr">
        <is>
          <t>working_capital</t>
        </is>
      </c>
      <c r="G87" t="inlineStr">
        <is>
          <t>Working Capital Analysis</t>
        </is>
      </c>
      <c r="H87" t="inlineStr">
        <is>
          <t>C12</t>
        </is>
      </c>
      <c r="I87">
        <f>IF(C6=0,NA(),C8/C6)</f>
        <v/>
      </c>
      <c r="J87" t="n">
        <v>0.1453180789660097</v>
      </c>
      <c r="K87" t="n">
        <v>0.01</v>
      </c>
      <c r="M87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87" t="inlineStr">
        <is>
          <t>pending</t>
        </is>
      </c>
      <c r="P87" t="inlineStr">
        <is>
          <t>owcl_to_revenue</t>
        </is>
      </c>
      <c r="Q87" t="n">
        <v>36</v>
      </c>
      <c r="R87" t="n">
        <v>1</v>
      </c>
      <c r="S87" t="inlineStr">
        <is>
          <t>2024-01-28</t>
        </is>
      </c>
    </row>
    <row r="88">
      <c r="A88" t="inlineStr">
        <is>
          <t>owcl_to_revenue__20250202</t>
        </is>
      </c>
      <c r="B88" t="n">
        <v>90</v>
      </c>
      <c r="C88" t="inlineStr">
        <is>
          <t>Operating working capital liabilities / Revenue</t>
        </is>
      </c>
      <c r="D88" t="inlineStr">
        <is>
          <t>OWCL divided by Revenue for the same fiscal period.</t>
        </is>
      </c>
      <c r="E88" t="inlineStr">
        <is>
          <t>working_capital.owcl_to_revenue.2025-02-02</t>
        </is>
      </c>
      <c r="F88" t="inlineStr">
        <is>
          <t>working_capital</t>
        </is>
      </c>
      <c r="G88" t="inlineStr">
        <is>
          <t>Working Capital Analysis</t>
        </is>
      </c>
      <c r="H88" t="inlineStr">
        <is>
          <t>D12</t>
        </is>
      </c>
      <c r="I88">
        <f>IF(D6=0,NA(),D8/D6)</f>
        <v/>
      </c>
      <c r="J88" t="n">
        <v>0.1477575918533648</v>
      </c>
      <c r="K88" t="n">
        <v>0.01</v>
      </c>
      <c r="M88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88" t="inlineStr">
        <is>
          <t>pending</t>
        </is>
      </c>
      <c r="P88" t="inlineStr">
        <is>
          <t>owcl_to_revenue</t>
        </is>
      </c>
      <c r="Q88" t="n">
        <v>36</v>
      </c>
      <c r="R88" t="n">
        <v>2</v>
      </c>
      <c r="S88" t="inlineStr">
        <is>
          <t>2025-02-02</t>
        </is>
      </c>
    </row>
    <row r="89">
      <c r="A89" t="inlineStr">
        <is>
          <t>actual_roe__20240128</t>
        </is>
      </c>
      <c r="B89" t="n">
        <v>91</v>
      </c>
      <c r="C89" t="inlineStr">
        <is>
          <t>Actual ROE</t>
        </is>
      </c>
      <c r="D89" t="inlineStr">
        <is>
          <t>Relate net income to average reformulated equity.</t>
        </is>
      </c>
      <c r="E89" t="inlineStr">
        <is>
          <t>dupont.actual_roe.2024-01-28</t>
        </is>
      </c>
      <c r="F89" t="inlineStr">
        <is>
          <t>dupont</t>
        </is>
      </c>
      <c r="G89" t="inlineStr">
        <is>
          <t>ALT DuPont</t>
        </is>
      </c>
      <c r="H89" t="inlineStr">
        <is>
          <t>C12</t>
        </is>
      </c>
      <c r="I89">
        <f>IF((('Condensed Financials'!C54+'Condensed Financials'!B54)/2)=0,NA(),'Condensed Financials'!C35/(('Condensed Financials'!C54+'Condensed Financials'!B54)/2))</f>
        <v/>
      </c>
      <c r="J89" t="n">
        <v>0.4200556031259145</v>
      </c>
      <c r="K89" t="n">
        <v>0.01</v>
      </c>
      <c r="L89" t="inlineStr">
        <is>
          <t>net_income_link__20240128,equity_reformulated_fy__20240128,equity_reformulated_fy__20230129</t>
        </is>
      </c>
      <c r="M89" t="inlineStr">
        <is>
          <t>Actual ROE = Net Income / Average Equity.|A zero denominator makes this ratio undefined (#N/A), not 0%.</t>
        </is>
      </c>
      <c r="O89" t="inlineStr">
        <is>
          <t>pending</t>
        </is>
      </c>
      <c r="P89" t="inlineStr">
        <is>
          <t>actual_roe</t>
        </is>
      </c>
      <c r="Q89" t="n">
        <v>25</v>
      </c>
      <c r="R89" t="n">
        <v>1</v>
      </c>
      <c r="S89" t="inlineStr">
        <is>
          <t>2024-01-28</t>
        </is>
      </c>
    </row>
    <row r="90">
      <c r="A90" t="inlineStr">
        <is>
          <t>owcl_to_revenue__20260201</t>
        </is>
      </c>
      <c r="B90" t="n">
        <v>91</v>
      </c>
      <c r="C90" t="inlineStr">
        <is>
          <t>Operating working capital liabilities / Revenue</t>
        </is>
      </c>
      <c r="D90" t="inlineStr">
        <is>
          <t>OWCL divided by Revenue for the same fiscal period.</t>
        </is>
      </c>
      <c r="E90" t="inlineStr">
        <is>
          <t>working_capital.owcl_to_revenue.2026-02-01</t>
        </is>
      </c>
      <c r="F90" t="inlineStr">
        <is>
          <t>working_capital</t>
        </is>
      </c>
      <c r="G90" t="inlineStr">
        <is>
          <t>Working Capital Analysis</t>
        </is>
      </c>
      <c r="H90" t="inlineStr">
        <is>
          <t>E12</t>
        </is>
      </c>
      <c r="I90">
        <f>IF(E6=0,NA(),E8/E6)</f>
        <v/>
      </c>
      <c r="J90" t="n">
        <v>0.1431037774935601</v>
      </c>
      <c r="K90" t="n">
        <v>0.01</v>
      </c>
      <c r="M90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90" t="inlineStr">
        <is>
          <t>pending</t>
        </is>
      </c>
      <c r="P90" t="inlineStr">
        <is>
          <t>owcl_to_revenue</t>
        </is>
      </c>
      <c r="Q90" t="n">
        <v>36</v>
      </c>
      <c r="R90" t="n">
        <v>3</v>
      </c>
      <c r="S90" t="inlineStr">
        <is>
          <t>2026-02-01</t>
        </is>
      </c>
    </row>
    <row r="91">
      <c r="A91" t="inlineStr">
        <is>
          <t>actual_roe__20250202</t>
        </is>
      </c>
      <c r="B91" t="n">
        <v>92</v>
      </c>
      <c r="C91" t="inlineStr">
        <is>
          <t>Actual ROE</t>
        </is>
      </c>
      <c r="D91" t="inlineStr">
        <is>
          <t>Relate net income to average reformulated equity.</t>
        </is>
      </c>
      <c r="E91" t="inlineStr">
        <is>
          <t>dupont.actual_roe.2025-02-02</t>
        </is>
      </c>
      <c r="F91" t="inlineStr">
        <is>
          <t>dupont</t>
        </is>
      </c>
      <c r="G91" t="inlineStr">
        <is>
          <t>ALT DuPont</t>
        </is>
      </c>
      <c r="H91" t="inlineStr">
        <is>
          <t>D12</t>
        </is>
      </c>
      <c r="I91">
        <f>IF((('Condensed Financials'!D54+'Condensed Financials'!C54)/2)=0,NA(),'Condensed Financials'!D35/(('Condensed Financials'!D54+'Condensed Financials'!C54)/2))</f>
        <v/>
      </c>
      <c r="J91" t="n">
        <v>0.4241675673856212</v>
      </c>
      <c r="K91" t="n">
        <v>0.01</v>
      </c>
      <c r="L91" t="inlineStr">
        <is>
          <t>net_income_link__20250202,equity_reformulated_fy__20250202,equity_reformulated_fy__20240128</t>
        </is>
      </c>
      <c r="M91" t="inlineStr">
        <is>
          <t>Actual ROE = Net Income / Average Equity.|A zero denominator makes this ratio undefined (#N/A), not 0%.</t>
        </is>
      </c>
      <c r="O91" t="inlineStr">
        <is>
          <t>pending</t>
        </is>
      </c>
      <c r="P91" t="inlineStr">
        <is>
          <t>actual_roe</t>
        </is>
      </c>
      <c r="Q91" t="n">
        <v>25</v>
      </c>
      <c r="R91" t="n">
        <v>2</v>
      </c>
      <c r="S91" t="inlineStr">
        <is>
          <t>2025-02-02</t>
        </is>
      </c>
    </row>
    <row r="92">
      <c r="A92" t="inlineStr">
        <is>
          <t>nowc_to_revenue__20230129</t>
        </is>
      </c>
      <c r="B92" t="n">
        <v>92</v>
      </c>
      <c r="C92" t="inlineStr">
        <is>
          <t>NOWC / Revenue</t>
        </is>
      </c>
      <c r="D92" t="inlineStr">
        <is>
          <t>NOWC divided by Revenue for the same fiscal period.</t>
        </is>
      </c>
      <c r="E92" t="inlineStr">
        <is>
          <t>working_capital.nowc_to_revenue.2023-01-29</t>
        </is>
      </c>
      <c r="F92" t="inlineStr">
        <is>
          <t>working_capital</t>
        </is>
      </c>
      <c r="G92" t="inlineStr">
        <is>
          <t>Working Capital Analysis</t>
        </is>
      </c>
      <c r="H92" t="inlineStr">
        <is>
          <t>B13</t>
        </is>
      </c>
      <c r="I92">
        <f>IF(B6=0,NA(),B9/B6)</f>
        <v/>
      </c>
      <c r="J92" t="n">
        <v>0.08529726461367819</v>
      </c>
      <c r="K92" t="n">
        <v>0.01</v>
      </c>
      <c r="M92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92" t="inlineStr">
        <is>
          <t>pending</t>
        </is>
      </c>
      <c r="P92" t="inlineStr">
        <is>
          <t>nowc_to_revenue</t>
        </is>
      </c>
      <c r="Q92" t="n">
        <v>37</v>
      </c>
      <c r="R92" t="n">
        <v>0</v>
      </c>
      <c r="S92" t="inlineStr">
        <is>
          <t>2023-01-29</t>
        </is>
      </c>
    </row>
    <row r="93">
      <c r="A93" t="inlineStr">
        <is>
          <t>actual_roe__20260201</t>
        </is>
      </c>
      <c r="B93" t="n">
        <v>93</v>
      </c>
      <c r="C93" t="inlineStr">
        <is>
          <t>Actual ROE</t>
        </is>
      </c>
      <c r="D93" t="inlineStr">
        <is>
          <t>Relate net income to average reformulated equity.</t>
        </is>
      </c>
      <c r="E93" t="inlineStr">
        <is>
          <t>dupont.actual_roe.2026-02-01</t>
        </is>
      </c>
      <c r="F93" t="inlineStr">
        <is>
          <t>dupont</t>
        </is>
      </c>
      <c r="G93" t="inlineStr">
        <is>
          <t>ALT DuPont</t>
        </is>
      </c>
      <c r="H93" t="inlineStr">
        <is>
          <t>E12</t>
        </is>
      </c>
      <c r="I93">
        <f>IF((('Condensed Financials'!E54+'Condensed Financials'!D54)/2)=0,NA(),'Condensed Financials'!E35/(('Condensed Financials'!E54+'Condensed Financials'!D54)/2))</f>
        <v/>
      </c>
      <c r="J93" t="n">
        <v>0.3401253967445436</v>
      </c>
      <c r="K93" t="n">
        <v>0.01</v>
      </c>
      <c r="L93" t="inlineStr">
        <is>
          <t>net_income_link__20260201,equity_reformulated_fy__20260201,equity_reformulated_fy__20250202</t>
        </is>
      </c>
      <c r="M93" t="inlineStr">
        <is>
          <t>Actual ROE = Net Income / Average Equity.|A zero denominator makes this ratio undefined (#N/A), not 0%.</t>
        </is>
      </c>
      <c r="O93" t="inlineStr">
        <is>
          <t>pending</t>
        </is>
      </c>
      <c r="P93" t="inlineStr">
        <is>
          <t>actual_roe</t>
        </is>
      </c>
      <c r="Q93" t="n">
        <v>25</v>
      </c>
      <c r="R93" t="n">
        <v>3</v>
      </c>
      <c r="S93" t="inlineStr">
        <is>
          <t>2026-02-01</t>
        </is>
      </c>
    </row>
    <row r="94">
      <c r="A94" t="inlineStr">
        <is>
          <t>nowc_to_revenue__20240128</t>
        </is>
      </c>
      <c r="B94" t="n">
        <v>93</v>
      </c>
      <c r="C94" t="inlineStr">
        <is>
          <t>NOWC / Revenue</t>
        </is>
      </c>
      <c r="D94" t="inlineStr">
        <is>
          <t>NOWC divided by Revenue for the same fiscal period.</t>
        </is>
      </c>
      <c r="E94" t="inlineStr">
        <is>
          <t>working_capital.nowc_to_revenue.2024-01-28</t>
        </is>
      </c>
      <c r="F94" t="inlineStr">
        <is>
          <t>working_capital</t>
        </is>
      </c>
      <c r="G94" t="inlineStr">
        <is>
          <t>Working Capital Analysis</t>
        </is>
      </c>
      <c r="H94" t="inlineStr">
        <is>
          <t>C13</t>
        </is>
      </c>
      <c r="I94">
        <f>IF(C6=0,NA(),C9/C6)</f>
        <v/>
      </c>
      <c r="J94" t="n">
        <v>0.04353247717760107</v>
      </c>
      <c r="K94" t="n">
        <v>0.01</v>
      </c>
      <c r="M94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94" t="inlineStr">
        <is>
          <t>pending</t>
        </is>
      </c>
      <c r="P94" t="inlineStr">
        <is>
          <t>nowc_to_revenue</t>
        </is>
      </c>
      <c r="Q94" t="n">
        <v>37</v>
      </c>
      <c r="R94" t="n">
        <v>1</v>
      </c>
      <c r="S94" t="inlineStr">
        <is>
          <t>2024-01-28</t>
        </is>
      </c>
    </row>
    <row r="95">
      <c r="A95" t="inlineStr">
        <is>
          <t>nowc_to_revenue__20250202</t>
        </is>
      </c>
      <c r="B95" t="n">
        <v>94</v>
      </c>
      <c r="C95" t="inlineStr">
        <is>
          <t>NOWC / Revenue</t>
        </is>
      </c>
      <c r="D95" t="inlineStr">
        <is>
          <t>NOWC divided by Revenue for the same fiscal period.</t>
        </is>
      </c>
      <c r="E95" t="inlineStr">
        <is>
          <t>working_capital.nowc_to_revenue.2025-02-02</t>
        </is>
      </c>
      <c r="F95" t="inlineStr">
        <is>
          <t>working_capital</t>
        </is>
      </c>
      <c r="G95" t="inlineStr">
        <is>
          <t>Working Capital Analysis</t>
        </is>
      </c>
      <c r="H95" t="inlineStr">
        <is>
          <t>D13</t>
        </is>
      </c>
      <c r="I95">
        <f>IF(D6=0,NA(),D9/D6)</f>
        <v/>
      </c>
      <c r="J95" t="n">
        <v>0.04075225398715505</v>
      </c>
      <c r="K95" t="n">
        <v>0.01</v>
      </c>
      <c r="M95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95" t="inlineStr">
        <is>
          <t>pending</t>
        </is>
      </c>
      <c r="P95" t="inlineStr">
        <is>
          <t>nowc_to_revenue</t>
        </is>
      </c>
      <c r="Q95" t="n">
        <v>37</v>
      </c>
      <c r="R95" t="n">
        <v>2</v>
      </c>
      <c r="S95" t="inlineStr">
        <is>
          <t>2025-02-02</t>
        </is>
      </c>
    </row>
    <row r="96">
      <c r="A96" t="inlineStr">
        <is>
          <t>nowc_to_revenue__20260201</t>
        </is>
      </c>
      <c r="B96" t="n">
        <v>95</v>
      </c>
      <c r="C96" t="inlineStr">
        <is>
          <t>NOWC / Revenue</t>
        </is>
      </c>
      <c r="D96" t="inlineStr">
        <is>
          <t>NOWC divided by Revenue for the same fiscal period.</t>
        </is>
      </c>
      <c r="E96" t="inlineStr">
        <is>
          <t>working_capital.nowc_to_revenue.2026-02-01</t>
        </is>
      </c>
      <c r="F96" t="inlineStr">
        <is>
          <t>working_capital</t>
        </is>
      </c>
      <c r="G96" t="inlineStr">
        <is>
          <t>Working Capital Analysis</t>
        </is>
      </c>
      <c r="H96" t="inlineStr">
        <is>
          <t>E13</t>
        </is>
      </c>
      <c r="I96">
        <f>IF(E6=0,NA(),E9/E6)</f>
        <v/>
      </c>
      <c r="J96" t="n">
        <v>0.07806054437699278</v>
      </c>
      <c r="K96" t="n">
        <v>0.01</v>
      </c>
      <c r="M96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96" t="inlineStr">
        <is>
          <t>pending</t>
        </is>
      </c>
      <c r="P96" t="inlineStr">
        <is>
          <t>nowc_to_revenue</t>
        </is>
      </c>
      <c r="Q96" t="n">
        <v>37</v>
      </c>
      <c r="R96" t="n">
        <v>3</v>
      </c>
      <c r="S96" t="inlineStr">
        <is>
          <t>2026-02-01</t>
        </is>
      </c>
    </row>
    <row r="97">
      <c r="A97" t="inlineStr">
        <is>
          <t>revenue_change__20240128</t>
        </is>
      </c>
      <c r="B97" t="n">
        <v>96</v>
      </c>
      <c r="C97" t="inlineStr">
        <is>
          <t>Change in Revenue</t>
        </is>
      </c>
      <c r="D97" t="inlineStr">
        <is>
          <t>Absolute year-on-year change in Revenue.</t>
        </is>
      </c>
      <c r="E97" t="inlineStr">
        <is>
          <t>working_capital.revenue_change.2024-01-28</t>
        </is>
      </c>
      <c r="F97" t="inlineStr">
        <is>
          <t>working_capital</t>
        </is>
      </c>
      <c r="G97" t="inlineStr">
        <is>
          <t>Working Capital Analysis</t>
        </is>
      </c>
      <c r="H97" t="inlineStr">
        <is>
          <t>C14</t>
        </is>
      </c>
      <c r="I97">
        <f>C6-B6</f>
        <v/>
      </c>
      <c r="J97" t="n">
        <v>1508760</v>
      </c>
      <c r="K97" t="n">
        <v>0.01</v>
      </c>
      <c r="M97" t="inlineStr">
        <is>
          <t>Use the absolute year-on-year change in Revenue, not the percentage growth rate.</t>
        </is>
      </c>
      <c r="O97" t="inlineStr">
        <is>
          <t>pending</t>
        </is>
      </c>
      <c r="P97" t="inlineStr">
        <is>
          <t>revenue_change</t>
        </is>
      </c>
      <c r="Q97" t="n">
        <v>38</v>
      </c>
      <c r="R97" t="n">
        <v>1</v>
      </c>
      <c r="S97" t="inlineStr">
        <is>
          <t>2024-01-28</t>
        </is>
      </c>
    </row>
    <row r="98">
      <c r="A98" t="inlineStr">
        <is>
          <t>revenue_change__20250202</t>
        </is>
      </c>
      <c r="B98" t="n">
        <v>97</v>
      </c>
      <c r="C98" t="inlineStr">
        <is>
          <t>Change in Revenue</t>
        </is>
      </c>
      <c r="D98" t="inlineStr">
        <is>
          <t>Absolute year-on-year change in Revenue.</t>
        </is>
      </c>
      <c r="E98" t="inlineStr">
        <is>
          <t>working_capital.revenue_change.2025-02-02</t>
        </is>
      </c>
      <c r="F98" t="inlineStr">
        <is>
          <t>working_capital</t>
        </is>
      </c>
      <c r="G98" t="inlineStr">
        <is>
          <t>Working Capital Analysis</t>
        </is>
      </c>
      <c r="H98" t="inlineStr">
        <is>
          <t>D14</t>
        </is>
      </c>
      <c r="I98">
        <f>D6-C6</f>
        <v/>
      </c>
      <c r="J98" t="n">
        <v>968848</v>
      </c>
      <c r="K98" t="n">
        <v>0.01</v>
      </c>
      <c r="M98" t="inlineStr">
        <is>
          <t>Use the absolute year-on-year change in Revenue, not the percentage growth rate.</t>
        </is>
      </c>
      <c r="O98" t="inlineStr">
        <is>
          <t>pending</t>
        </is>
      </c>
      <c r="P98" t="inlineStr">
        <is>
          <t>revenue_change</t>
        </is>
      </c>
      <c r="Q98" t="n">
        <v>38</v>
      </c>
      <c r="R98" t="n">
        <v>2</v>
      </c>
      <c r="S98" t="inlineStr">
        <is>
          <t>2025-02-02</t>
        </is>
      </c>
    </row>
    <row r="99">
      <c r="A99" t="inlineStr">
        <is>
          <t>revenue_change__20260201</t>
        </is>
      </c>
      <c r="B99" t="n">
        <v>98</v>
      </c>
      <c r="C99" t="inlineStr">
        <is>
          <t>Change in Revenue</t>
        </is>
      </c>
      <c r="D99" t="inlineStr">
        <is>
          <t>Absolute year-on-year change in Revenue.</t>
        </is>
      </c>
      <c r="E99" t="inlineStr">
        <is>
          <t>working_capital.revenue_change.2026-02-01</t>
        </is>
      </c>
      <c r="F99" t="inlineStr">
        <is>
          <t>working_capital</t>
        </is>
      </c>
      <c r="G99" t="inlineStr">
        <is>
          <t>Working Capital Analysis</t>
        </is>
      </c>
      <c r="H99" t="inlineStr">
        <is>
          <t>E14</t>
        </is>
      </c>
      <c r="I99">
        <f>E6-D6</f>
        <v/>
      </c>
      <c r="J99" t="n">
        <v>514474</v>
      </c>
      <c r="K99" t="n">
        <v>0.01</v>
      </c>
      <c r="M99" t="inlineStr">
        <is>
          <t>Use the absolute year-on-year change in Revenue, not the percentage growth rate.</t>
        </is>
      </c>
      <c r="O99" t="inlineStr">
        <is>
          <t>pending</t>
        </is>
      </c>
      <c r="P99" t="inlineStr">
        <is>
          <t>revenue_change</t>
        </is>
      </c>
      <c r="Q99" t="n">
        <v>38</v>
      </c>
      <c r="R99" t="n">
        <v>3</v>
      </c>
      <c r="S99" t="inlineStr">
        <is>
          <t>2026-02-01</t>
        </is>
      </c>
    </row>
    <row r="100">
      <c r="A100" t="inlineStr">
        <is>
          <t>nowc_change__20240128</t>
        </is>
      </c>
      <c r="B100" t="n">
        <v>99</v>
      </c>
      <c r="C100" t="inlineStr">
        <is>
          <t>Change in NOWC</t>
        </is>
      </c>
      <c r="D100" t="inlineStr">
        <is>
          <t>Absolute year-on-year change in NOWC.</t>
        </is>
      </c>
      <c r="E100" t="inlineStr">
        <is>
          <t>working_capital.nowc_change.2024-01-28</t>
        </is>
      </c>
      <c r="F100" t="inlineStr">
        <is>
          <t>working_capital</t>
        </is>
      </c>
      <c r="G100" t="inlineStr">
        <is>
          <t>Working Capital Analysis</t>
        </is>
      </c>
      <c r="H100" t="inlineStr">
        <is>
          <t>C15</t>
        </is>
      </c>
      <c r="I100">
        <f>C9-B9</f>
        <v/>
      </c>
      <c r="J100" t="n">
        <v>-273054</v>
      </c>
      <c r="K100" t="n">
        <v>0.01</v>
      </c>
      <c r="M100" t="inlineStr">
        <is>
          <t>Positive Change in NOWC means additional operating working capital is tied up; negative Change in NOWC means a release.|Do not call the movement good or bad without examining why it occurred.</t>
        </is>
      </c>
      <c r="O100" t="inlineStr">
        <is>
          <t>pending</t>
        </is>
      </c>
      <c r="P100" t="inlineStr">
        <is>
          <t>nowc_change</t>
        </is>
      </c>
      <c r="Q100" t="n">
        <v>39</v>
      </c>
      <c r="R100" t="n">
        <v>1</v>
      </c>
      <c r="S100" t="inlineStr">
        <is>
          <t>2024-01-28</t>
        </is>
      </c>
    </row>
    <row r="101">
      <c r="A101" t="inlineStr">
        <is>
          <t>nowc_change__20250202</t>
        </is>
      </c>
      <c r="B101" t="n">
        <v>100</v>
      </c>
      <c r="C101" t="inlineStr">
        <is>
          <t>Change in NOWC</t>
        </is>
      </c>
      <c r="D101" t="inlineStr">
        <is>
          <t>Absolute year-on-year change in NOWC.</t>
        </is>
      </c>
      <c r="E101" t="inlineStr">
        <is>
          <t>working_capital.nowc_change.2025-02-02</t>
        </is>
      </c>
      <c r="F101" t="inlineStr">
        <is>
          <t>working_capital</t>
        </is>
      </c>
      <c r="G101" t="inlineStr">
        <is>
          <t>Working Capital Analysis</t>
        </is>
      </c>
      <c r="H101" t="inlineStr">
        <is>
          <t>D15</t>
        </is>
      </c>
      <c r="I101">
        <f>D9-C9</f>
        <v/>
      </c>
      <c r="J101" t="n">
        <v>12739</v>
      </c>
      <c r="K101" t="n">
        <v>0.01</v>
      </c>
      <c r="M101" t="inlineStr">
        <is>
          <t>Positive Change in NOWC means additional operating working capital is tied up; negative Change in NOWC means a release.|Do not call the movement good or bad without examining why it occurred.</t>
        </is>
      </c>
      <c r="O101" t="inlineStr">
        <is>
          <t>pending</t>
        </is>
      </c>
      <c r="P101" t="inlineStr">
        <is>
          <t>nowc_change</t>
        </is>
      </c>
      <c r="Q101" t="n">
        <v>39</v>
      </c>
      <c r="R101" t="n">
        <v>2</v>
      </c>
      <c r="S101" t="inlineStr">
        <is>
          <t>2025-02-02</t>
        </is>
      </c>
    </row>
    <row r="102">
      <c r="A102" t="inlineStr">
        <is>
          <t>nowc_change__20260201</t>
        </is>
      </c>
      <c r="B102" t="n">
        <v>101</v>
      </c>
      <c r="C102" t="inlineStr">
        <is>
          <t>Change in NOWC</t>
        </is>
      </c>
      <c r="D102" t="inlineStr">
        <is>
          <t>Absolute year-on-year change in NOWC.</t>
        </is>
      </c>
      <c r="E102" t="inlineStr">
        <is>
          <t>working_capital.nowc_change.2026-02-01</t>
        </is>
      </c>
      <c r="F102" t="inlineStr">
        <is>
          <t>working_capital</t>
        </is>
      </c>
      <c r="G102" t="inlineStr">
        <is>
          <t>Working Capital Analysis</t>
        </is>
      </c>
      <c r="H102" t="inlineStr">
        <is>
          <t>E15</t>
        </is>
      </c>
      <c r="I102">
        <f>E9-D9</f>
        <v/>
      </c>
      <c r="J102" t="n">
        <v>435185</v>
      </c>
      <c r="K102" t="n">
        <v>0.01</v>
      </c>
      <c r="M102" t="inlineStr">
        <is>
          <t>Positive Change in NOWC means additional operating working capital is tied up; negative Change in NOWC means a release.|Do not call the movement good or bad without examining why it occurred.</t>
        </is>
      </c>
      <c r="O102" t="inlineStr">
        <is>
          <t>pending</t>
        </is>
      </c>
      <c r="P102" t="inlineStr">
        <is>
          <t>nowc_change</t>
        </is>
      </c>
      <c r="Q102" t="n">
        <v>39</v>
      </c>
      <c r="R102" t="n">
        <v>3</v>
      </c>
      <c r="S102" t="inlineStr">
        <is>
          <t>2026-02-01</t>
        </is>
      </c>
    </row>
    <row r="103">
      <c r="A103" t="inlineStr">
        <is>
          <t>incremental_nowc_to_revenue_change__20240128</t>
        </is>
      </c>
      <c r="B103" t="n">
        <v>102</v>
      </c>
      <c r="C103" t="inlineStr">
        <is>
          <t>Incremental NOWC / Change in Revenue</t>
        </is>
      </c>
      <c r="D103" t="inlineStr">
        <is>
          <t>Change in NOWC divided by Change in Revenue.</t>
        </is>
      </c>
      <c r="E103" t="inlineStr">
        <is>
          <t>working_capital.incremental_nowc_to_revenue_change.2024-01-28</t>
        </is>
      </c>
      <c r="F103" t="inlineStr">
        <is>
          <t>working_capital</t>
        </is>
      </c>
      <c r="G103" t="inlineStr">
        <is>
          <t>Working Capital Analysis</t>
        </is>
      </c>
      <c r="H103" t="inlineStr">
        <is>
          <t>C16</t>
        </is>
      </c>
      <c r="I103">
        <f>IF(C14=0,NA(),C15/C14)</f>
        <v/>
      </c>
      <c r="J103" t="n">
        <v>-0.1809790821601845</v>
      </c>
      <c r="K103" t="n">
        <v>0.01</v>
      </c>
      <c r="L103" t="inlineStr">
        <is>
          <t>nowc_change__20240128,revenue_change__20240128</t>
        </is>
      </c>
      <c r="M103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03" t="inlineStr">
        <is>
          <t>pending</t>
        </is>
      </c>
      <c r="P103" t="inlineStr">
        <is>
          <t>incremental_nowc_to_revenue_change</t>
        </is>
      </c>
      <c r="Q103" t="n">
        <v>40</v>
      </c>
      <c r="R103" t="n">
        <v>1</v>
      </c>
      <c r="S103" t="inlineStr">
        <is>
          <t>2024-01-28</t>
        </is>
      </c>
    </row>
    <row r="104">
      <c r="A104" t="inlineStr">
        <is>
          <t>incremental_nowc_to_revenue_change__20250202</t>
        </is>
      </c>
      <c r="B104" t="n">
        <v>103</v>
      </c>
      <c r="C104" t="inlineStr">
        <is>
          <t>Incremental NOWC / Change in Revenue</t>
        </is>
      </c>
      <c r="D104" t="inlineStr">
        <is>
          <t>Change in NOWC divided by Change in Revenue.</t>
        </is>
      </c>
      <c r="E104" t="inlineStr">
        <is>
          <t>working_capital.incremental_nowc_to_revenue_change.2025-02-02</t>
        </is>
      </c>
      <c r="F104" t="inlineStr">
        <is>
          <t>working_capital</t>
        </is>
      </c>
      <c r="G104" t="inlineStr">
        <is>
          <t>Working Capital Analysis</t>
        </is>
      </c>
      <c r="H104" t="inlineStr">
        <is>
          <t>D16</t>
        </is>
      </c>
      <c r="I104">
        <f>IF(D14=0,NA(),D15/D14)</f>
        <v/>
      </c>
      <c r="J104" t="n">
        <v>0.01314860535398742</v>
      </c>
      <c r="K104" t="n">
        <v>0.01</v>
      </c>
      <c r="L104" t="inlineStr">
        <is>
          <t>nowc_change__20250202,revenue_change__20250202</t>
        </is>
      </c>
      <c r="M104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04" t="inlineStr">
        <is>
          <t>pending</t>
        </is>
      </c>
      <c r="P104" t="inlineStr">
        <is>
          <t>incremental_nowc_to_revenue_change</t>
        </is>
      </c>
      <c r="Q104" t="n">
        <v>40</v>
      </c>
      <c r="R104" t="n">
        <v>2</v>
      </c>
      <c r="S104" t="inlineStr">
        <is>
          <t>2025-02-02</t>
        </is>
      </c>
    </row>
    <row r="105">
      <c r="A105" t="inlineStr">
        <is>
          <t>incremental_nowc_to_revenue_change__20260201</t>
        </is>
      </c>
      <c r="B105" t="n">
        <v>104</v>
      </c>
      <c r="C105" t="inlineStr">
        <is>
          <t>Incremental NOWC / Change in Revenue</t>
        </is>
      </c>
      <c r="D105" t="inlineStr">
        <is>
          <t>Change in NOWC divided by Change in Revenue.</t>
        </is>
      </c>
      <c r="E105" t="inlineStr">
        <is>
          <t>working_capital.incremental_nowc_to_revenue_change.2026-02-01</t>
        </is>
      </c>
      <c r="F105" t="inlineStr">
        <is>
          <t>working_capital</t>
        </is>
      </c>
      <c r="G105" t="inlineStr">
        <is>
          <t>Working Capital Analysis</t>
        </is>
      </c>
      <c r="H105" t="inlineStr">
        <is>
          <t>E16</t>
        </is>
      </c>
      <c r="I105">
        <f>IF(E14=0,NA(),E15/E14)</f>
        <v/>
      </c>
      <c r="J105" t="n">
        <v>0.8458833682557331</v>
      </c>
      <c r="K105" t="n">
        <v>0.01</v>
      </c>
      <c r="L105" t="inlineStr">
        <is>
          <t>nowc_change__20260201,revenue_change__20260201</t>
        </is>
      </c>
      <c r="M105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05" t="inlineStr">
        <is>
          <t>pending</t>
        </is>
      </c>
      <c r="P105" t="inlineStr">
        <is>
          <t>incremental_nowc_to_revenue_change</t>
        </is>
      </c>
      <c r="Q105" t="n">
        <v>40</v>
      </c>
      <c r="R105" t="n">
        <v>3</v>
      </c>
      <c r="S105" t="inlineStr">
        <is>
          <t>2026-02-01</t>
        </is>
      </c>
    </row>
    <row r="106">
      <c r="A106" t="inlineStr">
        <is>
          <t>owca_change__20240128</t>
        </is>
      </c>
      <c r="B106" t="n">
        <v>105</v>
      </c>
      <c r="C106" t="inlineStr">
        <is>
          <t>Change in Operating Working Capital Assets</t>
        </is>
      </c>
      <c r="D106" t="inlineStr">
        <is>
          <t>Absolute year-on-year change in OWCA.</t>
        </is>
      </c>
      <c r="E106" t="inlineStr">
        <is>
          <t>working_capital.owca_change.2024-01-28</t>
        </is>
      </c>
      <c r="F106" t="inlineStr">
        <is>
          <t>working_capital</t>
        </is>
      </c>
      <c r="G106" t="inlineStr">
        <is>
          <t>Working Capital Analysis</t>
        </is>
      </c>
      <c r="H106" t="inlineStr">
        <is>
          <t>C19</t>
        </is>
      </c>
      <c r="I106">
        <f>C7-B7</f>
        <v/>
      </c>
      <c r="J106" t="n">
        <v>-187980</v>
      </c>
      <c r="K106" t="n">
        <v>0.01</v>
      </c>
      <c r="L106" t="inlineStr">
        <is>
          <t>owca_agg__20240128,owca_agg__20230129</t>
        </is>
      </c>
      <c r="M106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06" t="inlineStr">
        <is>
          <t>pending</t>
        </is>
      </c>
      <c r="P106" t="inlineStr">
        <is>
          <t>owca_change</t>
        </is>
      </c>
      <c r="Q106" t="n">
        <v>41</v>
      </c>
      <c r="R106" t="n">
        <v>1</v>
      </c>
      <c r="S106" t="inlineStr">
        <is>
          <t>2024-01-28</t>
        </is>
      </c>
    </row>
    <row r="107">
      <c r="A107" t="inlineStr">
        <is>
          <t>owca_change__20250202</t>
        </is>
      </c>
      <c r="B107" t="n">
        <v>106</v>
      </c>
      <c r="C107" t="inlineStr">
        <is>
          <t>Change in Operating Working Capital Assets</t>
        </is>
      </c>
      <c r="D107" t="inlineStr">
        <is>
          <t>Absolute year-on-year change in OWCA.</t>
        </is>
      </c>
      <c r="E107" t="inlineStr">
        <is>
          <t>working_capital.owca_change.2025-02-02</t>
        </is>
      </c>
      <c r="F107" t="inlineStr">
        <is>
          <t>working_capital</t>
        </is>
      </c>
      <c r="G107" t="inlineStr">
        <is>
          <t>Working Capital Analysis</t>
        </is>
      </c>
      <c r="H107" t="inlineStr">
        <is>
          <t>D19</t>
        </is>
      </c>
      <c r="I107">
        <f>D7-C7</f>
        <v/>
      </c>
      <c r="J107" t="n">
        <v>179360</v>
      </c>
      <c r="K107" t="n">
        <v>0.01</v>
      </c>
      <c r="L107" t="inlineStr">
        <is>
          <t>owca_agg__20250202,owca_agg__20240128</t>
        </is>
      </c>
      <c r="M107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07" t="inlineStr">
        <is>
          <t>pending</t>
        </is>
      </c>
      <c r="P107" t="inlineStr">
        <is>
          <t>owca_change</t>
        </is>
      </c>
      <c r="Q107" t="n">
        <v>41</v>
      </c>
      <c r="R107" t="n">
        <v>2</v>
      </c>
      <c r="S107" t="inlineStr">
        <is>
          <t>2025-02-02</t>
        </is>
      </c>
    </row>
    <row r="108">
      <c r="A108" t="inlineStr">
        <is>
          <t>owca_change__20260201</t>
        </is>
      </c>
      <c r="B108" t="n">
        <v>107</v>
      </c>
      <c r="C108" t="inlineStr">
        <is>
          <t>Change in Operating Working Capital Assets</t>
        </is>
      </c>
      <c r="D108" t="inlineStr">
        <is>
          <t>Absolute year-on-year change in OWCA.</t>
        </is>
      </c>
      <c r="E108" t="inlineStr">
        <is>
          <t>working_capital.owca_change.2026-02-01</t>
        </is>
      </c>
      <c r="F108" t="inlineStr">
        <is>
          <t>working_capital</t>
        </is>
      </c>
      <c r="G108" t="inlineStr">
        <is>
          <t>Working Capital Analysis</t>
        </is>
      </c>
      <c r="H108" t="inlineStr">
        <is>
          <t>E19</t>
        </is>
      </c>
      <c r="I108">
        <f>E7-D7</f>
        <v/>
      </c>
      <c r="J108" t="n">
        <v>459533</v>
      </c>
      <c r="K108" t="n">
        <v>0.01</v>
      </c>
      <c r="L108" t="inlineStr">
        <is>
          <t>owca_agg__20260201,owca_agg__20250202</t>
        </is>
      </c>
      <c r="M108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08" t="inlineStr">
        <is>
          <t>pending</t>
        </is>
      </c>
      <c r="P108" t="inlineStr">
        <is>
          <t>owca_change</t>
        </is>
      </c>
      <c r="Q108" t="n">
        <v>41</v>
      </c>
      <c r="R108" t="n">
        <v>3</v>
      </c>
      <c r="S108" t="inlineStr">
        <is>
          <t>2026-02-01</t>
        </is>
      </c>
    </row>
    <row r="109">
      <c r="A109" t="inlineStr">
        <is>
          <t>owcl_change__20240128</t>
        </is>
      </c>
      <c r="B109" t="n">
        <v>108</v>
      </c>
      <c r="C109" t="inlineStr">
        <is>
          <t>Change in Operating Working Capital Liabilities</t>
        </is>
      </c>
      <c r="D109" t="inlineStr">
        <is>
          <t>Absolute year-on-year change in OWCL.</t>
        </is>
      </c>
      <c r="E109" t="inlineStr">
        <is>
          <t>working_capital.owcl_change.2024-01-28</t>
        </is>
      </c>
      <c r="F109" t="inlineStr">
        <is>
          <t>working_capital</t>
        </is>
      </c>
      <c r="G109" t="inlineStr">
        <is>
          <t>Working Capital Analysis</t>
        </is>
      </c>
      <c r="H109" t="inlineStr">
        <is>
          <t>C20</t>
        </is>
      </c>
      <c r="I109">
        <f>C8-B8</f>
        <v/>
      </c>
      <c r="J109" t="n">
        <v>85074</v>
      </c>
      <c r="K109" t="n">
        <v>0.01</v>
      </c>
      <c r="L109" t="inlineStr">
        <is>
          <t>owcl_agg__20240128,owcl_agg__20230129</t>
        </is>
      </c>
      <c r="M109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09" t="inlineStr">
        <is>
          <t>pending</t>
        </is>
      </c>
      <c r="P109" t="inlineStr">
        <is>
          <t>owcl_change</t>
        </is>
      </c>
      <c r="Q109" t="n">
        <v>42</v>
      </c>
      <c r="R109" t="n">
        <v>1</v>
      </c>
      <c r="S109" t="inlineStr">
        <is>
          <t>2024-01-28</t>
        </is>
      </c>
    </row>
    <row r="110">
      <c r="A110" t="inlineStr">
        <is>
          <t>owcl_change__20250202</t>
        </is>
      </c>
      <c r="B110" t="n">
        <v>109</v>
      </c>
      <c r="C110" t="inlineStr">
        <is>
          <t>Change in Operating Working Capital Liabilities</t>
        </is>
      </c>
      <c r="D110" t="inlineStr">
        <is>
          <t>Absolute year-on-year change in OWCL.</t>
        </is>
      </c>
      <c r="E110" t="inlineStr">
        <is>
          <t>working_capital.owcl_change.2025-02-02</t>
        </is>
      </c>
      <c r="F110" t="inlineStr">
        <is>
          <t>working_capital</t>
        </is>
      </c>
      <c r="G110" t="inlineStr">
        <is>
          <t>Working Capital Analysis</t>
        </is>
      </c>
      <c r="H110" t="inlineStr">
        <is>
          <t>D20</t>
        </is>
      </c>
      <c r="I110">
        <f>D8-C8</f>
        <v/>
      </c>
      <c r="J110" t="n">
        <v>166621</v>
      </c>
      <c r="K110" t="n">
        <v>0.01</v>
      </c>
      <c r="L110" t="inlineStr">
        <is>
          <t>owcl_agg__20250202,owcl_agg__20240128</t>
        </is>
      </c>
      <c r="M110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10" t="inlineStr">
        <is>
          <t>pending</t>
        </is>
      </c>
      <c r="P110" t="inlineStr">
        <is>
          <t>owcl_change</t>
        </is>
      </c>
      <c r="Q110" t="n">
        <v>42</v>
      </c>
      <c r="R110" t="n">
        <v>2</v>
      </c>
      <c r="S110" t="inlineStr">
        <is>
          <t>2025-02-02</t>
        </is>
      </c>
    </row>
    <row r="111">
      <c r="A111" t="inlineStr">
        <is>
          <t>owcl_change__20260201</t>
        </is>
      </c>
      <c r="B111" t="n">
        <v>110</v>
      </c>
      <c r="C111" t="inlineStr">
        <is>
          <t>Change in Operating Working Capital Liabilities</t>
        </is>
      </c>
      <c r="D111" t="inlineStr">
        <is>
          <t>Absolute year-on-year change in OWCL.</t>
        </is>
      </c>
      <c r="E111" t="inlineStr">
        <is>
          <t>working_capital.owcl_change.2026-02-01</t>
        </is>
      </c>
      <c r="F111" t="inlineStr">
        <is>
          <t>working_capital</t>
        </is>
      </c>
      <c r="G111" t="inlineStr">
        <is>
          <t>Working Capital Analysis</t>
        </is>
      </c>
      <c r="H111" t="inlineStr">
        <is>
          <t>E20</t>
        </is>
      </c>
      <c r="I111">
        <f>E8-D8</f>
        <v/>
      </c>
      <c r="J111" t="n">
        <v>24348</v>
      </c>
      <c r="K111" t="n">
        <v>0.01</v>
      </c>
      <c r="L111" t="inlineStr">
        <is>
          <t>owcl_agg__20260201,owcl_agg__20250202</t>
        </is>
      </c>
      <c r="M111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11" t="inlineStr">
        <is>
          <t>pending</t>
        </is>
      </c>
      <c r="P111" t="inlineStr">
        <is>
          <t>owcl_change</t>
        </is>
      </c>
      <c r="Q111" t="n">
        <v>42</v>
      </c>
      <c r="R111" t="n">
        <v>3</v>
      </c>
      <c r="S111" t="inlineStr">
        <is>
          <t>2026-02-01</t>
        </is>
      </c>
    </row>
    <row r="112">
      <c r="A112" t="inlineStr">
        <is>
          <t>nowc_change_from_components__20240128</t>
        </is>
      </c>
      <c r="B112" t="n">
        <v>111</v>
      </c>
      <c r="C112" t="inlineStr">
        <is>
          <t>Change in NOWC from OWCA / OWCL bridge</t>
        </is>
      </c>
      <c r="D112" t="inlineStr">
        <is>
          <t>Change in OWCA minus Change in OWCL.</t>
        </is>
      </c>
      <c r="E112" t="inlineStr">
        <is>
          <t>working_capital.nowc_change_from_components.2024-01-28</t>
        </is>
      </c>
      <c r="F112" t="inlineStr">
        <is>
          <t>working_capital</t>
        </is>
      </c>
      <c r="G112" t="inlineStr">
        <is>
          <t>Working Capital Analysis</t>
        </is>
      </c>
      <c r="H112" t="inlineStr">
        <is>
          <t>C21</t>
        </is>
      </c>
      <c r="I112">
        <f>C19-C20</f>
        <v/>
      </c>
      <c r="J112" t="n">
        <v>-273054</v>
      </c>
      <c r="K112" t="n">
        <v>0.01</v>
      </c>
      <c r="L112" t="inlineStr">
        <is>
          <t>owca_change__20240128,owcl_change__20240128</t>
        </is>
      </c>
      <c r="M112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12" t="inlineStr">
        <is>
          <t>pending</t>
        </is>
      </c>
      <c r="P112" t="inlineStr">
        <is>
          <t>nowc_change_from_components</t>
        </is>
      </c>
      <c r="Q112" t="n">
        <v>43</v>
      </c>
      <c r="R112" t="n">
        <v>1</v>
      </c>
      <c r="S112" t="inlineStr">
        <is>
          <t>2024-01-28</t>
        </is>
      </c>
    </row>
    <row r="113">
      <c r="A113" t="inlineStr">
        <is>
          <t>nowc_change_from_components__20250202</t>
        </is>
      </c>
      <c r="B113" t="n">
        <v>112</v>
      </c>
      <c r="C113" t="inlineStr">
        <is>
          <t>Change in NOWC from OWCA / OWCL bridge</t>
        </is>
      </c>
      <c r="D113" t="inlineStr">
        <is>
          <t>Change in OWCA minus Change in OWCL.</t>
        </is>
      </c>
      <c r="E113" t="inlineStr">
        <is>
          <t>working_capital.nowc_change_from_components.2025-02-02</t>
        </is>
      </c>
      <c r="F113" t="inlineStr">
        <is>
          <t>working_capital</t>
        </is>
      </c>
      <c r="G113" t="inlineStr">
        <is>
          <t>Working Capital Analysis</t>
        </is>
      </c>
      <c r="H113" t="inlineStr">
        <is>
          <t>D21</t>
        </is>
      </c>
      <c r="I113">
        <f>D19-D20</f>
        <v/>
      </c>
      <c r="J113" t="n">
        <v>12739</v>
      </c>
      <c r="K113" t="n">
        <v>0.01</v>
      </c>
      <c r="L113" t="inlineStr">
        <is>
          <t>owca_change__20250202,owcl_change__20250202</t>
        </is>
      </c>
      <c r="M113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13" t="inlineStr">
        <is>
          <t>pending</t>
        </is>
      </c>
      <c r="P113" t="inlineStr">
        <is>
          <t>nowc_change_from_components</t>
        </is>
      </c>
      <c r="Q113" t="n">
        <v>43</v>
      </c>
      <c r="R113" t="n">
        <v>2</v>
      </c>
      <c r="S113" t="inlineStr">
        <is>
          <t>2025-02-02</t>
        </is>
      </c>
    </row>
    <row r="114">
      <c r="A114" t="inlineStr">
        <is>
          <t>nowc_change_from_components__20260201</t>
        </is>
      </c>
      <c r="B114" t="n">
        <v>113</v>
      </c>
      <c r="C114" t="inlineStr">
        <is>
          <t>Change in NOWC from OWCA / OWCL bridge</t>
        </is>
      </c>
      <c r="D114" t="inlineStr">
        <is>
          <t>Change in OWCA minus Change in OWCL.</t>
        </is>
      </c>
      <c r="E114" t="inlineStr">
        <is>
          <t>working_capital.nowc_change_from_components.2026-02-01</t>
        </is>
      </c>
      <c r="F114" t="inlineStr">
        <is>
          <t>working_capital</t>
        </is>
      </c>
      <c r="G114" t="inlineStr">
        <is>
          <t>Working Capital Analysis</t>
        </is>
      </c>
      <c r="H114" t="inlineStr">
        <is>
          <t>E21</t>
        </is>
      </c>
      <c r="I114">
        <f>E19-E20</f>
        <v/>
      </c>
      <c r="J114" t="n">
        <v>435185</v>
      </c>
      <c r="K114" t="n">
        <v>0.01</v>
      </c>
      <c r="L114" t="inlineStr">
        <is>
          <t>owca_change__20260201,owcl_change__20260201</t>
        </is>
      </c>
      <c r="M114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14" t="inlineStr">
        <is>
          <t>pending</t>
        </is>
      </c>
      <c r="P114" t="inlineStr">
        <is>
          <t>nowc_change_from_components</t>
        </is>
      </c>
      <c r="Q114" t="n">
        <v>43</v>
      </c>
      <c r="R114" t="n">
        <v>3</v>
      </c>
      <c r="S114" t="inlineStr">
        <is>
          <t>2026-02-01</t>
        </is>
      </c>
    </row>
    <row r="115">
      <c r="A115" t="inlineStr">
        <is>
          <t>incremental_owca_to_revenue_change__20240128</t>
        </is>
      </c>
      <c r="B115" t="n">
        <v>114</v>
      </c>
      <c r="C115" t="inlineStr">
        <is>
          <t>Incremental OWCA / Change in Revenue</t>
        </is>
      </c>
      <c r="D115" t="inlineStr">
        <is>
          <t>Change in OWCA divided by Change in Revenue.</t>
        </is>
      </c>
      <c r="E115" t="inlineStr">
        <is>
          <t>working_capital.incremental_owca_to_revenue_change.2024-01-28</t>
        </is>
      </c>
      <c r="F115" t="inlineStr">
        <is>
          <t>working_capital</t>
        </is>
      </c>
      <c r="G115" t="inlineStr">
        <is>
          <t>Working Capital Analysis</t>
        </is>
      </c>
      <c r="H115" t="inlineStr">
        <is>
          <t>C22</t>
        </is>
      </c>
      <c r="I115">
        <f>IF(C14=0,NA(),C19/C14)</f>
        <v/>
      </c>
      <c r="J115" t="n">
        <v>-0.1245923804978923</v>
      </c>
      <c r="K115" t="n">
        <v>0.01</v>
      </c>
      <c r="L115" t="inlineStr">
        <is>
          <t>owca_change__20240128,revenue_change__20240128</t>
        </is>
      </c>
      <c r="M115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15" t="inlineStr">
        <is>
          <t>pending</t>
        </is>
      </c>
      <c r="P115" t="inlineStr">
        <is>
          <t>incremental_owca_to_revenue_change</t>
        </is>
      </c>
      <c r="Q115" t="n">
        <v>44</v>
      </c>
      <c r="R115" t="n">
        <v>1</v>
      </c>
      <c r="S115" t="inlineStr">
        <is>
          <t>2024-01-28</t>
        </is>
      </c>
    </row>
    <row r="116">
      <c r="A116" t="inlineStr">
        <is>
          <t>incremental_owca_to_revenue_change__20250202</t>
        </is>
      </c>
      <c r="B116" t="n">
        <v>115</v>
      </c>
      <c r="C116" t="inlineStr">
        <is>
          <t>Incremental OWCA / Change in Revenue</t>
        </is>
      </c>
      <c r="D116" t="inlineStr">
        <is>
          <t>Change in OWCA divided by Change in Revenue.</t>
        </is>
      </c>
      <c r="E116" t="inlineStr">
        <is>
          <t>working_capital.incremental_owca_to_revenue_change.2025-02-02</t>
        </is>
      </c>
      <c r="F116" t="inlineStr">
        <is>
          <t>working_capital</t>
        </is>
      </c>
      <c r="G116" t="inlineStr">
        <is>
          <t>Working Capital Analysis</t>
        </is>
      </c>
      <c r="H116" t="inlineStr">
        <is>
          <t>D22</t>
        </is>
      </c>
      <c r="I116">
        <f>IF(D14=0,NA(),D19/D14)</f>
        <v/>
      </c>
      <c r="J116" t="n">
        <v>0.1851270787574522</v>
      </c>
      <c r="K116" t="n">
        <v>0.01</v>
      </c>
      <c r="L116" t="inlineStr">
        <is>
          <t>owca_change__20250202,revenue_change__20250202</t>
        </is>
      </c>
      <c r="M116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16" t="inlineStr">
        <is>
          <t>pending</t>
        </is>
      </c>
      <c r="P116" t="inlineStr">
        <is>
          <t>incremental_owca_to_revenue_change</t>
        </is>
      </c>
      <c r="Q116" t="n">
        <v>44</v>
      </c>
      <c r="R116" t="n">
        <v>2</v>
      </c>
      <c r="S116" t="inlineStr">
        <is>
          <t>2025-02-02</t>
        </is>
      </c>
    </row>
    <row r="117">
      <c r="A117" t="inlineStr">
        <is>
          <t>incremental_owca_to_revenue_change__20260201</t>
        </is>
      </c>
      <c r="B117" t="n">
        <v>116</v>
      </c>
      <c r="C117" t="inlineStr">
        <is>
          <t>Incremental OWCA / Change in Revenue</t>
        </is>
      </c>
      <c r="D117" t="inlineStr">
        <is>
          <t>Change in OWCA divided by Change in Revenue.</t>
        </is>
      </c>
      <c r="E117" t="inlineStr">
        <is>
          <t>working_capital.incremental_owca_to_revenue_change.2026-02-01</t>
        </is>
      </c>
      <c r="F117" t="inlineStr">
        <is>
          <t>working_capital</t>
        </is>
      </c>
      <c r="G117" t="inlineStr">
        <is>
          <t>Working Capital Analysis</t>
        </is>
      </c>
      <c r="H117" t="inlineStr">
        <is>
          <t>E22</t>
        </is>
      </c>
      <c r="I117">
        <f>IF(E14=0,NA(),E19/E14)</f>
        <v/>
      </c>
      <c r="J117" t="n">
        <v>0.8932093750121484</v>
      </c>
      <c r="K117" t="n">
        <v>0.01</v>
      </c>
      <c r="L117" t="inlineStr">
        <is>
          <t>owca_change__20260201,revenue_change__20260201</t>
        </is>
      </c>
      <c r="M117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17" t="inlineStr">
        <is>
          <t>pending</t>
        </is>
      </c>
      <c r="P117" t="inlineStr">
        <is>
          <t>incremental_owca_to_revenue_change</t>
        </is>
      </c>
      <c r="Q117" t="n">
        <v>44</v>
      </c>
      <c r="R117" t="n">
        <v>3</v>
      </c>
      <c r="S117" t="inlineStr">
        <is>
          <t>2026-02-01</t>
        </is>
      </c>
    </row>
    <row r="118">
      <c r="A118" t="inlineStr">
        <is>
          <t>incremental_owcl_to_revenue_change__20240128</t>
        </is>
      </c>
      <c r="B118" t="n">
        <v>117</v>
      </c>
      <c r="C118" t="inlineStr">
        <is>
          <t>Incremental OWCL / Change in Revenue</t>
        </is>
      </c>
      <c r="D118" t="inlineStr">
        <is>
          <t>Change in OWCL divided by Change in Revenue.</t>
        </is>
      </c>
      <c r="E118" t="inlineStr">
        <is>
          <t>working_capital.incremental_owcl_to_revenue_change.2024-01-28</t>
        </is>
      </c>
      <c r="F118" t="inlineStr">
        <is>
          <t>working_capital</t>
        </is>
      </c>
      <c r="G118" t="inlineStr">
        <is>
          <t>Working Capital Analysis</t>
        </is>
      </c>
      <c r="H118" t="inlineStr">
        <is>
          <t>C23</t>
        </is>
      </c>
      <c r="I118">
        <f>IF(C14=0,NA(),C20/C14)</f>
        <v/>
      </c>
      <c r="J118" t="n">
        <v>0.05638670166229221</v>
      </c>
      <c r="K118" t="n">
        <v>0.01</v>
      </c>
      <c r="L118" t="inlineStr">
        <is>
          <t>owcl_change__20240128,revenue_change__20240128</t>
        </is>
      </c>
      <c r="M118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18" t="inlineStr">
        <is>
          <t>pending</t>
        </is>
      </c>
      <c r="P118" t="inlineStr">
        <is>
          <t>incremental_owcl_to_revenue_change</t>
        </is>
      </c>
      <c r="Q118" t="n">
        <v>45</v>
      </c>
      <c r="R118" t="n">
        <v>1</v>
      </c>
      <c r="S118" t="inlineStr">
        <is>
          <t>2024-01-28</t>
        </is>
      </c>
    </row>
    <row r="119">
      <c r="A119" t="inlineStr">
        <is>
          <t>incremental_owcl_to_revenue_change__20250202</t>
        </is>
      </c>
      <c r="B119" t="n">
        <v>118</v>
      </c>
      <c r="C119" t="inlineStr">
        <is>
          <t>Incremental OWCL / Change in Revenue</t>
        </is>
      </c>
      <c r="D119" t="inlineStr">
        <is>
          <t>Change in OWCL divided by Change in Revenue.</t>
        </is>
      </c>
      <c r="E119" t="inlineStr">
        <is>
          <t>working_capital.incremental_owcl_to_revenue_change.2025-02-02</t>
        </is>
      </c>
      <c r="F119" t="inlineStr">
        <is>
          <t>working_capital</t>
        </is>
      </c>
      <c r="G119" t="inlineStr">
        <is>
          <t>Working Capital Analysis</t>
        </is>
      </c>
      <c r="H119" t="inlineStr">
        <is>
          <t>D23</t>
        </is>
      </c>
      <c r="I119">
        <f>IF(D14=0,NA(),D20/D14)</f>
        <v/>
      </c>
      <c r="J119" t="n">
        <v>0.1719784734034647</v>
      </c>
      <c r="K119" t="n">
        <v>0.01</v>
      </c>
      <c r="L119" t="inlineStr">
        <is>
          <t>owcl_change__20250202,revenue_change__20250202</t>
        </is>
      </c>
      <c r="M119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19" t="inlineStr">
        <is>
          <t>pending</t>
        </is>
      </c>
      <c r="P119" t="inlineStr">
        <is>
          <t>incremental_owcl_to_revenue_change</t>
        </is>
      </c>
      <c r="Q119" t="n">
        <v>45</v>
      </c>
      <c r="R119" t="n">
        <v>2</v>
      </c>
      <c r="S119" t="inlineStr">
        <is>
          <t>2025-02-02</t>
        </is>
      </c>
    </row>
    <row r="120">
      <c r="A120" t="inlineStr">
        <is>
          <t>incremental_owcl_to_revenue_change__20260201</t>
        </is>
      </c>
      <c r="B120" t="n">
        <v>119</v>
      </c>
      <c r="C120" t="inlineStr">
        <is>
          <t>Incremental OWCL / Change in Revenue</t>
        </is>
      </c>
      <c r="D120" t="inlineStr">
        <is>
          <t>Change in OWCL divided by Change in Revenue.</t>
        </is>
      </c>
      <c r="E120" t="inlineStr">
        <is>
          <t>working_capital.incremental_owcl_to_revenue_change.2026-02-01</t>
        </is>
      </c>
      <c r="F120" t="inlineStr">
        <is>
          <t>working_capital</t>
        </is>
      </c>
      <c r="G120" t="inlineStr">
        <is>
          <t>Working Capital Analysis</t>
        </is>
      </c>
      <c r="H120" t="inlineStr">
        <is>
          <t>E23</t>
        </is>
      </c>
      <c r="I120">
        <f>IF(E14=0,NA(),E20/E14)</f>
        <v/>
      </c>
      <c r="J120" t="n">
        <v>0.04732600675641529</v>
      </c>
      <c r="K120" t="n">
        <v>0.01</v>
      </c>
      <c r="L120" t="inlineStr">
        <is>
          <t>owcl_change__20260201,revenue_change__20260201</t>
        </is>
      </c>
      <c r="M120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20" t="inlineStr">
        <is>
          <t>pending</t>
        </is>
      </c>
      <c r="P120" t="inlineStr">
        <is>
          <t>incremental_owcl_to_revenue_change</t>
        </is>
      </c>
      <c r="Q120" t="n">
        <v>45</v>
      </c>
      <c r="R120" t="n">
        <v>3</v>
      </c>
      <c r="S120" t="inlineStr">
        <is>
          <t>2026-02-01</t>
        </is>
      </c>
    </row>
    <row r="121">
      <c r="A121" t="inlineStr">
        <is>
          <t>average_noa__20240128</t>
        </is>
      </c>
      <c r="B121" t="n">
        <v>120</v>
      </c>
      <c r="C121" t="inlineStr">
        <is>
          <t>Average Net Operating Assets</t>
        </is>
      </c>
      <c r="D121" t="inlineStr">
        <is>
          <t>Average beginning and ending NOA for the comparable period.</t>
        </is>
      </c>
      <c r="E121" t="inlineStr">
        <is>
          <t>profitability.average_noa.2024-01-28</t>
        </is>
      </c>
      <c r="F121" t="inlineStr">
        <is>
          <t>profitability_driver</t>
        </is>
      </c>
      <c r="G121" t="inlineStr">
        <is>
          <t>ALT DuPont</t>
        </is>
      </c>
      <c r="H121" t="inlineStr">
        <is>
          <t>C15</t>
        </is>
      </c>
      <c r="I121">
        <f>('Condensed Financials'!B50+'Condensed Financials'!C50)/2</f>
        <v/>
      </c>
      <c r="J121" t="n">
        <v>1991021</v>
      </c>
      <c r="K121" t="n">
        <v>0.01</v>
      </c>
      <c r="L121" t="inlineStr">
        <is>
          <t>noa_agg__20240128,noa_agg__20230129</t>
        </is>
      </c>
      <c r="M121" t="inlineStr">
        <is>
          <t>Average NOA = (Beginning NOA + Ending NOA) / 2.|Use the same Average NOA denominator as direct RNOA.</t>
        </is>
      </c>
      <c r="O121" t="inlineStr">
        <is>
          <t>pending</t>
        </is>
      </c>
      <c r="P121" t="inlineStr">
        <is>
          <t>average_noa</t>
        </is>
      </c>
      <c r="Q121" t="n">
        <v>46</v>
      </c>
      <c r="R121" t="n">
        <v>1</v>
      </c>
      <c r="S121" t="inlineStr">
        <is>
          <t>2024-01-28</t>
        </is>
      </c>
    </row>
    <row r="122">
      <c r="A122" t="inlineStr">
        <is>
          <t>average_noa__20250202</t>
        </is>
      </c>
      <c r="B122" t="n">
        <v>121</v>
      </c>
      <c r="C122" t="inlineStr">
        <is>
          <t>Average Net Operating Assets</t>
        </is>
      </c>
      <c r="D122" t="inlineStr">
        <is>
          <t>Average beginning and ending NOA for the comparable period.</t>
        </is>
      </c>
      <c r="E122" t="inlineStr">
        <is>
          <t>profitability.average_noa.2025-02-02</t>
        </is>
      </c>
      <c r="F122" t="inlineStr">
        <is>
          <t>profitability_driver</t>
        </is>
      </c>
      <c r="G122" t="inlineStr">
        <is>
          <t>ALT DuPont</t>
        </is>
      </c>
      <c r="H122" t="inlineStr">
        <is>
          <t>D15</t>
        </is>
      </c>
      <c r="I122">
        <f>('Condensed Financials'!C50+'Condensed Financials'!D50)/2</f>
        <v/>
      </c>
      <c r="J122" t="n">
        <v>2163910.5</v>
      </c>
      <c r="K122" t="n">
        <v>0.01</v>
      </c>
      <c r="L122" t="inlineStr">
        <is>
          <t>noa_agg__20250202,noa_agg__20240128</t>
        </is>
      </c>
      <c r="M122" t="inlineStr">
        <is>
          <t>Average NOA = (Beginning NOA + Ending NOA) / 2.|Use the same Average NOA denominator as direct RNOA.</t>
        </is>
      </c>
      <c r="O122" t="inlineStr">
        <is>
          <t>pending</t>
        </is>
      </c>
      <c r="P122" t="inlineStr">
        <is>
          <t>average_noa</t>
        </is>
      </c>
      <c r="Q122" t="n">
        <v>46</v>
      </c>
      <c r="R122" t="n">
        <v>2</v>
      </c>
      <c r="S122" t="inlineStr">
        <is>
          <t>2025-02-02</t>
        </is>
      </c>
    </row>
    <row r="123">
      <c r="A123" t="inlineStr">
        <is>
          <t>average_noa__20260201</t>
        </is>
      </c>
      <c r="B123" t="n">
        <v>122</v>
      </c>
      <c r="C123" t="inlineStr">
        <is>
          <t>Average Net Operating Assets</t>
        </is>
      </c>
      <c r="D123" t="inlineStr">
        <is>
          <t>Average beginning and ending NOA for the comparable period.</t>
        </is>
      </c>
      <c r="E123" t="inlineStr">
        <is>
          <t>profitability.average_noa.2026-02-01</t>
        </is>
      </c>
      <c r="F123" t="inlineStr">
        <is>
          <t>profitability_driver</t>
        </is>
      </c>
      <c r="G123" t="inlineStr">
        <is>
          <t>ALT DuPont</t>
        </is>
      </c>
      <c r="H123" t="inlineStr">
        <is>
          <t>E15</t>
        </is>
      </c>
      <c r="I123">
        <f>('Condensed Financials'!D50+'Condensed Financials'!E50)/2</f>
        <v/>
      </c>
      <c r="J123" t="n">
        <v>2747174.5</v>
      </c>
      <c r="K123" t="n">
        <v>0.01</v>
      </c>
      <c r="L123" t="inlineStr">
        <is>
          <t>noa_agg__20260201,noa_agg__20250202</t>
        </is>
      </c>
      <c r="M123" t="inlineStr">
        <is>
          <t>Average NOA = (Beginning NOA + Ending NOA) / 2.|Use the same Average NOA denominator as direct RNOA.</t>
        </is>
      </c>
      <c r="O123" t="inlineStr">
        <is>
          <t>pending</t>
        </is>
      </c>
      <c r="P123" t="inlineStr">
        <is>
          <t>average_noa</t>
        </is>
      </c>
      <c r="Q123" t="n">
        <v>46</v>
      </c>
      <c r="R123" t="n">
        <v>3</v>
      </c>
      <c r="S123" t="inlineStr">
        <is>
          <t>2026-02-01</t>
        </is>
      </c>
    </row>
    <row r="124">
      <c r="A124" t="inlineStr">
        <is>
          <t>noa_turnover__20240128</t>
        </is>
      </c>
      <c r="B124" t="n">
        <v>123</v>
      </c>
      <c r="C124" t="inlineStr">
        <is>
          <t>Net Operating Asset Turnover</t>
        </is>
      </c>
      <c r="D124" t="inlineStr">
        <is>
          <t>Revenue divided by Average NOA.</t>
        </is>
      </c>
      <c r="E124" t="inlineStr">
        <is>
          <t>profitability.noa_turnover.2024-01-28</t>
        </is>
      </c>
      <c r="F124" t="inlineStr">
        <is>
          <t>profitability_driver</t>
        </is>
      </c>
      <c r="G124" t="inlineStr">
        <is>
          <t>ALT DuPont</t>
        </is>
      </c>
      <c r="H124" t="inlineStr">
        <is>
          <t>C16</t>
        </is>
      </c>
      <c r="I124">
        <f>IF(C15=0,NA(),'Condensed Financials'!C34/C15)</f>
        <v/>
      </c>
      <c r="J124" t="n">
        <v>4.831329252679907</v>
      </c>
      <c r="K124" t="n">
        <v>0.01</v>
      </c>
      <c r="L124" t="inlineStr">
        <is>
          <t>revenue_link__20240128,average_noa__20240128</t>
        </is>
      </c>
      <c r="M124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24" t="inlineStr">
        <is>
          <t>pending</t>
        </is>
      </c>
      <c r="P124" t="inlineStr">
        <is>
          <t>noa_turnover</t>
        </is>
      </c>
      <c r="Q124" t="n">
        <v>47</v>
      </c>
      <c r="R124" t="n">
        <v>1</v>
      </c>
      <c r="S124" t="inlineStr">
        <is>
          <t>2024-01-28</t>
        </is>
      </c>
    </row>
    <row r="125">
      <c r="A125" t="inlineStr">
        <is>
          <t>noa_turnover__20250202</t>
        </is>
      </c>
      <c r="B125" t="n">
        <v>124</v>
      </c>
      <c r="C125" t="inlineStr">
        <is>
          <t>Net Operating Asset Turnover</t>
        </is>
      </c>
      <c r="D125" t="inlineStr">
        <is>
          <t>Revenue divided by Average NOA.</t>
        </is>
      </c>
      <c r="E125" t="inlineStr">
        <is>
          <t>profitability.noa_turnover.2025-02-02</t>
        </is>
      </c>
      <c r="F125" t="inlineStr">
        <is>
          <t>profitability_driver</t>
        </is>
      </c>
      <c r="G125" t="inlineStr">
        <is>
          <t>ALT DuPont</t>
        </is>
      </c>
      <c r="H125" t="inlineStr">
        <is>
          <t>D16</t>
        </is>
      </c>
      <c r="I125">
        <f>IF(D15=0,NA(),'Condensed Financials'!D34/D15)</f>
        <v/>
      </c>
      <c r="J125" t="n">
        <v>4.893051722795374</v>
      </c>
      <c r="K125" t="n">
        <v>0.01</v>
      </c>
      <c r="L125" t="inlineStr">
        <is>
          <t>revenue_link__20250202,average_noa__20250202</t>
        </is>
      </c>
      <c r="M125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25" t="inlineStr">
        <is>
          <t>pending</t>
        </is>
      </c>
      <c r="P125" t="inlineStr">
        <is>
          <t>noa_turnover</t>
        </is>
      </c>
      <c r="Q125" t="n">
        <v>47</v>
      </c>
      <c r="R125" t="n">
        <v>2</v>
      </c>
      <c r="S125" t="inlineStr">
        <is>
          <t>2025-02-02</t>
        </is>
      </c>
    </row>
    <row r="126">
      <c r="A126" t="inlineStr">
        <is>
          <t>noa_turnover__20260201</t>
        </is>
      </c>
      <c r="B126" t="n">
        <v>125</v>
      </c>
      <c r="C126" t="inlineStr">
        <is>
          <t>Net Operating Asset Turnover</t>
        </is>
      </c>
      <c r="D126" t="inlineStr">
        <is>
          <t>Revenue divided by Average NOA.</t>
        </is>
      </c>
      <c r="E126" t="inlineStr">
        <is>
          <t>profitability.noa_turnover.2026-02-01</t>
        </is>
      </c>
      <c r="F126" t="inlineStr">
        <is>
          <t>profitability_driver</t>
        </is>
      </c>
      <c r="G126" t="inlineStr">
        <is>
          <t>ALT DuPont</t>
        </is>
      </c>
      <c r="H126" t="inlineStr">
        <is>
          <t>E16</t>
        </is>
      </c>
      <c r="I126">
        <f>IF(E15=0,NA(),'Condensed Financials'!E34/E15)</f>
        <v/>
      </c>
      <c r="J126" t="n">
        <v>4.041461508906696</v>
      </c>
      <c r="K126" t="n">
        <v>0.01</v>
      </c>
      <c r="L126" t="inlineStr">
        <is>
          <t>revenue_link__20260201,average_noa__20260201</t>
        </is>
      </c>
      <c r="M126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26" t="inlineStr">
        <is>
          <t>pending</t>
        </is>
      </c>
      <c r="P126" t="inlineStr">
        <is>
          <t>noa_turnover</t>
        </is>
      </c>
      <c r="Q126" t="n">
        <v>47</v>
      </c>
      <c r="R126" t="n">
        <v>3</v>
      </c>
      <c r="S126" t="inlineStr">
        <is>
          <t>2026-02-01</t>
        </is>
      </c>
    </row>
    <row r="127">
      <c r="A127" t="inlineStr">
        <is>
          <t>noa_intensity__20240128</t>
        </is>
      </c>
      <c r="B127" t="n">
        <v>126</v>
      </c>
      <c r="C127" t="inlineStr">
        <is>
          <t>Net Operating Asset Intensity</t>
        </is>
      </c>
      <c r="D127" t="inlineStr">
        <is>
          <t>Average NOA divided by Revenue.</t>
        </is>
      </c>
      <c r="E127" t="inlineStr">
        <is>
          <t>profitability.noa_intensity.2024-01-28</t>
        </is>
      </c>
      <c r="F127" t="inlineStr">
        <is>
          <t>profitability_driver</t>
        </is>
      </c>
      <c r="G127" t="inlineStr">
        <is>
          <t>ALT DuPont</t>
        </is>
      </c>
      <c r="H127" t="inlineStr">
        <is>
          <t>C17</t>
        </is>
      </c>
      <c r="I127">
        <f>IF('Condensed Financials'!C34=0,NA(),C15/'Condensed Financials'!C34)</f>
        <v/>
      </c>
      <c r="J127" t="n">
        <v>0.206982374352836</v>
      </c>
      <c r="K127" t="n">
        <v>0.01</v>
      </c>
      <c r="L127" t="inlineStr">
        <is>
          <t>average_noa__20240128,revenue_link__20240128</t>
        </is>
      </c>
      <c r="M127" t="inlineStr">
        <is>
          <t>NOA Intensity = Average NOA / Revenue.|It expresses how much net operating asset investment supports each unit of Revenue.|A zero Revenue denominator makes the ratio undefined (#N/A).</t>
        </is>
      </c>
      <c r="O127" t="inlineStr">
        <is>
          <t>pending</t>
        </is>
      </c>
      <c r="P127" t="inlineStr">
        <is>
          <t>noa_intensity</t>
        </is>
      </c>
      <c r="Q127" t="n">
        <v>48</v>
      </c>
      <c r="R127" t="n">
        <v>1</v>
      </c>
      <c r="S127" t="inlineStr">
        <is>
          <t>2024-01-28</t>
        </is>
      </c>
    </row>
    <row r="128">
      <c r="A128" t="inlineStr">
        <is>
          <t>noa_intensity__20250202</t>
        </is>
      </c>
      <c r="B128" t="n">
        <v>127</v>
      </c>
      <c r="C128" t="inlineStr">
        <is>
          <t>Net Operating Asset Intensity</t>
        </is>
      </c>
      <c r="D128" t="inlineStr">
        <is>
          <t>Average NOA divided by Revenue.</t>
        </is>
      </c>
      <c r="E128" t="inlineStr">
        <is>
          <t>profitability.noa_intensity.2025-02-02</t>
        </is>
      </c>
      <c r="F128" t="inlineStr">
        <is>
          <t>profitability_driver</t>
        </is>
      </c>
      <c r="G128" t="inlineStr">
        <is>
          <t>ALT DuPont</t>
        </is>
      </c>
      <c r="H128" t="inlineStr">
        <is>
          <t>D17</t>
        </is>
      </c>
      <c r="I128">
        <f>IF('Condensed Financials'!D34=0,NA(),D15/'Condensed Financials'!D34)</f>
        <v/>
      </c>
      <c r="J128" t="n">
        <v>0.2043714345673635</v>
      </c>
      <c r="K128" t="n">
        <v>0.01</v>
      </c>
      <c r="L128" t="inlineStr">
        <is>
          <t>average_noa__20250202,revenue_link__20250202</t>
        </is>
      </c>
      <c r="M128" t="inlineStr">
        <is>
          <t>NOA Intensity = Average NOA / Revenue.|It expresses how much net operating asset investment supports each unit of Revenue.|A zero Revenue denominator makes the ratio undefined (#N/A).</t>
        </is>
      </c>
      <c r="O128" t="inlineStr">
        <is>
          <t>pending</t>
        </is>
      </c>
      <c r="P128" t="inlineStr">
        <is>
          <t>noa_intensity</t>
        </is>
      </c>
      <c r="Q128" t="n">
        <v>48</v>
      </c>
      <c r="R128" t="n">
        <v>2</v>
      </c>
      <c r="S128" t="inlineStr">
        <is>
          <t>2025-02-02</t>
        </is>
      </c>
    </row>
    <row r="129">
      <c r="A129" t="inlineStr">
        <is>
          <t>noa_intensity__20260201</t>
        </is>
      </c>
      <c r="B129" t="n">
        <v>128</v>
      </c>
      <c r="C129" t="inlineStr">
        <is>
          <t>Net Operating Asset Intensity</t>
        </is>
      </c>
      <c r="D129" t="inlineStr">
        <is>
          <t>Average NOA divided by Revenue.</t>
        </is>
      </c>
      <c r="E129" t="inlineStr">
        <is>
          <t>profitability.noa_intensity.2026-02-01</t>
        </is>
      </c>
      <c r="F129" t="inlineStr">
        <is>
          <t>profitability_driver</t>
        </is>
      </c>
      <c r="G129" t="inlineStr">
        <is>
          <t>ALT DuPont</t>
        </is>
      </c>
      <c r="H129" t="inlineStr">
        <is>
          <t>E17</t>
        </is>
      </c>
      <c r="I129">
        <f>IF('Condensed Financials'!E34=0,NA(),E15/'Condensed Financials'!E34)</f>
        <v/>
      </c>
      <c r="J129" t="n">
        <v>0.2474352403941419</v>
      </c>
      <c r="K129" t="n">
        <v>0.01</v>
      </c>
      <c r="L129" t="inlineStr">
        <is>
          <t>average_noa__20260201,revenue_link__20260201</t>
        </is>
      </c>
      <c r="M129" t="inlineStr">
        <is>
          <t>NOA Intensity = Average NOA / Revenue.|It expresses how much net operating asset investment supports each unit of Revenue.|A zero Revenue denominator makes the ratio undefined (#N/A).</t>
        </is>
      </c>
      <c r="O129" t="inlineStr">
        <is>
          <t>pending</t>
        </is>
      </c>
      <c r="P129" t="inlineStr">
        <is>
          <t>noa_intensity</t>
        </is>
      </c>
      <c r="Q129" t="n">
        <v>48</v>
      </c>
      <c r="R129" t="n">
        <v>3</v>
      </c>
      <c r="S129" t="inlineStr">
        <is>
          <t>2026-02-01</t>
        </is>
      </c>
    </row>
    <row r="130">
      <c r="A130" t="inlineStr">
        <is>
          <t>noa_turnover_change__20250202</t>
        </is>
      </c>
      <c r="B130" t="n">
        <v>131</v>
      </c>
      <c r="C130" t="inlineStr">
        <is>
          <t>Change in NOA Turnover</t>
        </is>
      </c>
      <c r="D130" t="inlineStr">
        <is>
          <t>Current NOA Turnover minus prior comparable NOA Turnover.</t>
        </is>
      </c>
      <c r="E130" t="inlineStr">
        <is>
          <t>profitability_change.noa_turnover_change.2025-02-02</t>
        </is>
      </c>
      <c r="F130" t="inlineStr">
        <is>
          <t>profitability_change</t>
        </is>
      </c>
      <c r="G130" t="inlineStr">
        <is>
          <t>ALT DuPont</t>
        </is>
      </c>
      <c r="H130" t="inlineStr">
        <is>
          <t>D23</t>
        </is>
      </c>
      <c r="I130">
        <f>D16-C16</f>
        <v/>
      </c>
      <c r="J130" t="n">
        <v>0.06172247011546794</v>
      </c>
      <c r="K130" t="n">
        <v>0.01</v>
      </c>
      <c r="L130" t="inlineStr">
        <is>
          <t>noa_turnover__20250202,noa_turnover__20240128</t>
        </is>
      </c>
      <c r="M130" t="inlineStr">
        <is>
          <t>Change in NOA Turnover = Current Turnover - Prior Turnover.|A lower turnover is mechanically consistent with greater NOA intensity when the reciprocal is defined, but the business cause requires separate analysis.</t>
        </is>
      </c>
      <c r="O130" t="inlineStr">
        <is>
          <t>pending</t>
        </is>
      </c>
      <c r="P130" t="inlineStr">
        <is>
          <t>noa_turnover_change</t>
        </is>
      </c>
      <c r="Q130" t="n">
        <v>51</v>
      </c>
      <c r="R130" t="n">
        <v>2</v>
      </c>
      <c r="S130" t="inlineStr">
        <is>
          <t>2025-02-02</t>
        </is>
      </c>
    </row>
    <row r="131">
      <c r="A131" t="inlineStr">
        <is>
          <t>operating_cash_flow_change__20240128</t>
        </is>
      </c>
      <c r="B131" t="n">
        <v>131</v>
      </c>
      <c r="C131" t="inlineStr">
        <is>
          <t>Change in Operating Cash Flow</t>
        </is>
      </c>
      <c r="D131" t="inlineStr">
        <is>
          <t>Current CFO minus prior CFO.</t>
        </is>
      </c>
      <c r="E131" t="inlineStr">
        <is>
          <t>quality_change.operating_cash_flow_change.2024-01-28</t>
        </is>
      </c>
      <c r="F131" t="inlineStr">
        <is>
          <t>earnings_quality_change</t>
        </is>
      </c>
      <c r="G131" t="inlineStr">
        <is>
          <t>Earnings Quality</t>
        </is>
      </c>
      <c r="H131" t="inlineStr">
        <is>
          <t>C15</t>
        </is>
      </c>
      <c r="I131">
        <f>C5-B5</f>
        <v/>
      </c>
      <c r="J131" t="n">
        <v>1329701</v>
      </c>
      <c r="K131" t="n">
        <v>0.01</v>
      </c>
      <c r="L131" t="inlineStr">
        <is>
          <t>operating_cash_flow_link__20240128,operating_cash_flow_link__20230129</t>
        </is>
      </c>
      <c r="M131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131" t="inlineStr">
        <is>
          <t>pending</t>
        </is>
      </c>
      <c r="P131" t="inlineStr">
        <is>
          <t>operating_cash_flow_change</t>
        </is>
      </c>
      <c r="Q131" t="n">
        <v>63</v>
      </c>
      <c r="R131" t="n">
        <v>1</v>
      </c>
      <c r="S131" t="inlineStr">
        <is>
          <t>2024-01-28</t>
        </is>
      </c>
    </row>
    <row r="132">
      <c r="A132" t="inlineStr">
        <is>
          <t>noa_turnover_change__20260201</t>
        </is>
      </c>
      <c r="B132" t="n">
        <v>132</v>
      </c>
      <c r="C132" t="inlineStr">
        <is>
          <t>Change in NOA Turnover</t>
        </is>
      </c>
      <c r="D132" t="inlineStr">
        <is>
          <t>Current NOA Turnover minus prior comparable NOA Turnover.</t>
        </is>
      </c>
      <c r="E132" t="inlineStr">
        <is>
          <t>profitability_change.noa_turnover_change.2026-02-01</t>
        </is>
      </c>
      <c r="F132" t="inlineStr">
        <is>
          <t>profitability_change</t>
        </is>
      </c>
      <c r="G132" t="inlineStr">
        <is>
          <t>ALT DuPont</t>
        </is>
      </c>
      <c r="H132" t="inlineStr">
        <is>
          <t>E23</t>
        </is>
      </c>
      <c r="I132">
        <f>E16-D16</f>
        <v/>
      </c>
      <c r="J132" t="n">
        <v>-0.8515902138886782</v>
      </c>
      <c r="K132" t="n">
        <v>0.01</v>
      </c>
      <c r="L132" t="inlineStr">
        <is>
          <t>noa_turnover__20260201,noa_turnover__20250202</t>
        </is>
      </c>
      <c r="M132" t="inlineStr">
        <is>
          <t>Change in NOA Turnover = Current Turnover - Prior Turnover.|A lower turnover is mechanically consistent with greater NOA intensity when the reciprocal is defined, but the business cause requires separate analysis.</t>
        </is>
      </c>
      <c r="O132" t="inlineStr">
        <is>
          <t>pending</t>
        </is>
      </c>
      <c r="P132" t="inlineStr">
        <is>
          <t>noa_turnover_change</t>
        </is>
      </c>
      <c r="Q132" t="n">
        <v>51</v>
      </c>
      <c r="R132" t="n">
        <v>3</v>
      </c>
      <c r="S132" t="inlineStr">
        <is>
          <t>2026-02-01</t>
        </is>
      </c>
    </row>
    <row r="133">
      <c r="A133" t="inlineStr">
        <is>
          <t>operating_cash_flow_change__20250202</t>
        </is>
      </c>
      <c r="B133" t="n">
        <v>132</v>
      </c>
      <c r="C133" t="inlineStr">
        <is>
          <t>Change in Operating Cash Flow</t>
        </is>
      </c>
      <c r="D133" t="inlineStr">
        <is>
          <t>Current CFO minus prior CFO.</t>
        </is>
      </c>
      <c r="E133" t="inlineStr">
        <is>
          <t>quality_change.operating_cash_flow_change.2025-02-02</t>
        </is>
      </c>
      <c r="F133" t="inlineStr">
        <is>
          <t>earnings_quality_change</t>
        </is>
      </c>
      <c r="G133" t="inlineStr">
        <is>
          <t>Earnings Quality</t>
        </is>
      </c>
      <c r="H133" t="inlineStr">
        <is>
          <t>D15</t>
        </is>
      </c>
      <c r="I133">
        <f>D5-C5</f>
        <v/>
      </c>
      <c r="J133" t="n">
        <v>-23451</v>
      </c>
      <c r="K133" t="n">
        <v>0.01</v>
      </c>
      <c r="L133" t="inlineStr">
        <is>
          <t>operating_cash_flow_link__20250202,operating_cash_flow_link__20240128</t>
        </is>
      </c>
      <c r="M133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133" t="inlineStr">
        <is>
          <t>pending</t>
        </is>
      </c>
      <c r="P133" t="inlineStr">
        <is>
          <t>operating_cash_flow_change</t>
        </is>
      </c>
      <c r="Q133" t="n">
        <v>63</v>
      </c>
      <c r="R133" t="n">
        <v>2</v>
      </c>
      <c r="S133" t="inlineStr">
        <is>
          <t>2025-02-02</t>
        </is>
      </c>
    </row>
    <row r="134">
      <c r="A134" t="inlineStr">
        <is>
          <t>operating_cash_flow_change__20260201</t>
        </is>
      </c>
      <c r="B134" t="n">
        <v>133</v>
      </c>
      <c r="C134" t="inlineStr">
        <is>
          <t>Change in Operating Cash Flow</t>
        </is>
      </c>
      <c r="D134" t="inlineStr">
        <is>
          <t>Current CFO minus prior CFO.</t>
        </is>
      </c>
      <c r="E134" t="inlineStr">
        <is>
          <t>quality_change.operating_cash_flow_change.2026-02-01</t>
        </is>
      </c>
      <c r="F134" t="inlineStr">
        <is>
          <t>earnings_quality_change</t>
        </is>
      </c>
      <c r="G134" t="inlineStr">
        <is>
          <t>Earnings Quality</t>
        </is>
      </c>
      <c r="H134" t="inlineStr">
        <is>
          <t>E15</t>
        </is>
      </c>
      <c r="I134">
        <f>E5-D5</f>
        <v/>
      </c>
      <c r="J134" t="n">
        <v>-670236</v>
      </c>
      <c r="K134" t="n">
        <v>0.01</v>
      </c>
      <c r="L134" t="inlineStr">
        <is>
          <t>operating_cash_flow_link__20260201,operating_cash_flow_link__20250202</t>
        </is>
      </c>
      <c r="M134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134" t="inlineStr">
        <is>
          <t>pending</t>
        </is>
      </c>
      <c r="P134" t="inlineStr">
        <is>
          <t>operating_cash_flow_change</t>
        </is>
      </c>
      <c r="Q134" t="n">
        <v>63</v>
      </c>
      <c r="R134" t="n">
        <v>3</v>
      </c>
      <c r="S134" t="inlineStr">
        <is>
          <t>2026-02-01</t>
        </is>
      </c>
    </row>
    <row r="135">
      <c r="A135" t="inlineStr">
        <is>
          <t>cash_conversion_ratio_change__20240128</t>
        </is>
      </c>
      <c r="B135" t="n">
        <v>134</v>
      </c>
      <c r="C135" t="inlineStr">
        <is>
          <t>Change in Cash Conversion Ratio</t>
        </is>
      </c>
      <c r="D135" t="inlineStr">
        <is>
          <t>Current cash conversion ratio minus prior ratio.</t>
        </is>
      </c>
      <c r="E135" t="inlineStr">
        <is>
          <t>quality_change.cash_conversion_ratio_change.2024-01-28</t>
        </is>
      </c>
      <c r="F135" t="inlineStr">
        <is>
          <t>earnings_quality_change</t>
        </is>
      </c>
      <c r="G135" t="inlineStr">
        <is>
          <t>Earnings Quality</t>
        </is>
      </c>
      <c r="H135" t="inlineStr">
        <is>
          <t>C16</t>
        </is>
      </c>
      <c r="I135">
        <f>C7-B7</f>
        <v/>
      </c>
      <c r="J135" t="n">
        <v>0.3505840039403687</v>
      </c>
      <c r="K135" t="n">
        <v>0.01</v>
      </c>
      <c r="L135" t="inlineStr">
        <is>
          <t>cash_conversion_ratio__20240128,cash_conversion_ratio__20230129</t>
        </is>
      </c>
      <c r="M135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135" t="inlineStr">
        <is>
          <t>pending</t>
        </is>
      </c>
      <c r="P135" t="inlineStr">
        <is>
          <t>cash_conversion_ratio_change</t>
        </is>
      </c>
      <c r="Q135" t="n">
        <v>64</v>
      </c>
      <c r="R135" t="n">
        <v>1</v>
      </c>
      <c r="S135" t="inlineStr">
        <is>
          <t>2024-01-28</t>
        </is>
      </c>
    </row>
    <row r="136">
      <c r="A136" t="inlineStr">
        <is>
          <t>cash_conversion_ratio_change__20250202</t>
        </is>
      </c>
      <c r="B136" t="n">
        <v>135</v>
      </c>
      <c r="C136" t="inlineStr">
        <is>
          <t>Change in Cash Conversion Ratio</t>
        </is>
      </c>
      <c r="D136" t="inlineStr">
        <is>
          <t>Current cash conversion ratio minus prior ratio.</t>
        </is>
      </c>
      <c r="E136" t="inlineStr">
        <is>
          <t>quality_change.cash_conversion_ratio_change.2025-02-02</t>
        </is>
      </c>
      <c r="F136" t="inlineStr">
        <is>
          <t>earnings_quality_change</t>
        </is>
      </c>
      <c r="G136" t="inlineStr">
        <is>
          <t>Earnings Quality</t>
        </is>
      </c>
      <c r="H136" t="inlineStr">
        <is>
          <t>D16</t>
        </is>
      </c>
      <c r="I136">
        <f>D7-C7</f>
        <v/>
      </c>
      <c r="J136" t="n">
        <v>-0.2287661088918995</v>
      </c>
      <c r="K136" t="n">
        <v>0.01</v>
      </c>
      <c r="L136" t="inlineStr">
        <is>
          <t>cash_conversion_ratio__20250202,cash_conversion_ratio__20240128</t>
        </is>
      </c>
      <c r="M136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136" t="inlineStr">
        <is>
          <t>pending</t>
        </is>
      </c>
      <c r="P136" t="inlineStr">
        <is>
          <t>cash_conversion_ratio_change</t>
        </is>
      </c>
      <c r="Q136" t="n">
        <v>64</v>
      </c>
      <c r="R136" t="n">
        <v>2</v>
      </c>
      <c r="S136" t="inlineStr">
        <is>
          <t>2025-02-02</t>
        </is>
      </c>
    </row>
    <row r="137">
      <c r="A137" t="inlineStr">
        <is>
          <t>cash_conversion_ratio_change__20260201</t>
        </is>
      </c>
      <c r="B137" t="n">
        <v>136</v>
      </c>
      <c r="C137" t="inlineStr">
        <is>
          <t>Change in Cash Conversion Ratio</t>
        </is>
      </c>
      <c r="D137" t="inlineStr">
        <is>
          <t>Current cash conversion ratio minus prior ratio.</t>
        </is>
      </c>
      <c r="E137" t="inlineStr">
        <is>
          <t>quality_change.cash_conversion_ratio_change.2026-02-01</t>
        </is>
      </c>
      <c r="F137" t="inlineStr">
        <is>
          <t>earnings_quality_change</t>
        </is>
      </c>
      <c r="G137" t="inlineStr">
        <is>
          <t>Earnings Quality</t>
        </is>
      </c>
      <c r="H137" t="inlineStr">
        <is>
          <t>E16</t>
        </is>
      </c>
      <c r="I137">
        <f>E7-D7</f>
        <v/>
      </c>
      <c r="J137" t="n">
        <v>-0.2376977865281702</v>
      </c>
      <c r="K137" t="n">
        <v>0.01</v>
      </c>
      <c r="L137" t="inlineStr">
        <is>
          <t>cash_conversion_ratio__20260201,cash_conversion_ratio__20250202</t>
        </is>
      </c>
      <c r="M137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137" t="inlineStr">
        <is>
          <t>pending</t>
        </is>
      </c>
      <c r="P137" t="inlineStr">
        <is>
          <t>cash_conversion_ratio_change</t>
        </is>
      </c>
      <c r="Q137" t="n">
        <v>64</v>
      </c>
      <c r="R137" t="n">
        <v>3</v>
      </c>
      <c r="S137" t="inlineStr">
        <is>
          <t>2026-02-01</t>
        </is>
      </c>
    </row>
    <row r="138">
      <c r="A138" t="inlineStr">
        <is>
          <t>total_accruals_change__20240128</t>
        </is>
      </c>
      <c r="B138" t="n">
        <v>137</v>
      </c>
      <c r="C138" t="inlineStr">
        <is>
          <t>Change in Total Accruals</t>
        </is>
      </c>
      <c r="D138" t="inlineStr">
        <is>
          <t>Current Total Accruals minus prior Total Accruals.</t>
        </is>
      </c>
      <c r="E138" t="inlineStr">
        <is>
          <t>quality_change.total_accruals_change.2024-01-28</t>
        </is>
      </c>
      <c r="F138" t="inlineStr">
        <is>
          <t>earnings_quality_change</t>
        </is>
      </c>
      <c r="G138" t="inlineStr">
        <is>
          <t>Earnings Quality</t>
        </is>
      </c>
      <c r="H138" t="inlineStr">
        <is>
          <t>C17</t>
        </is>
      </c>
      <c r="I138">
        <f>C8-B8</f>
        <v/>
      </c>
      <c r="J138" t="n">
        <v>-634311</v>
      </c>
      <c r="K138" t="n">
        <v>0.01</v>
      </c>
      <c r="L138" t="inlineStr">
        <is>
          <t>total_accruals__20240128,total_accruals__20230129</t>
        </is>
      </c>
      <c r="M138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138" t="inlineStr">
        <is>
          <t>pending</t>
        </is>
      </c>
      <c r="P138" t="inlineStr">
        <is>
          <t>total_accruals_change</t>
        </is>
      </c>
      <c r="Q138" t="n">
        <v>65</v>
      </c>
      <c r="R138" t="n">
        <v>1</v>
      </c>
      <c r="S138" t="inlineStr">
        <is>
          <t>2024-01-28</t>
        </is>
      </c>
    </row>
    <row r="139">
      <c r="A139" t="inlineStr">
        <is>
          <t>total_accruals_change__20250202</t>
        </is>
      </c>
      <c r="B139" t="n">
        <v>138</v>
      </c>
      <c r="C139" t="inlineStr">
        <is>
          <t>Change in Total Accruals</t>
        </is>
      </c>
      <c r="D139" t="inlineStr">
        <is>
          <t>Current Total Accruals minus prior Total Accruals.</t>
        </is>
      </c>
      <c r="E139" t="inlineStr">
        <is>
          <t>quality_change.total_accruals_change.2025-02-02</t>
        </is>
      </c>
      <c r="F139" t="inlineStr">
        <is>
          <t>earnings_quality_change</t>
        </is>
      </c>
      <c r="G139" t="inlineStr">
        <is>
          <t>Earnings Quality</t>
        </is>
      </c>
      <c r="H139" t="inlineStr">
        <is>
          <t>D17</t>
        </is>
      </c>
      <c r="I139">
        <f>D8-C8</f>
        <v/>
      </c>
      <c r="J139" t="n">
        <v>287877</v>
      </c>
      <c r="K139" t="n">
        <v>0.01</v>
      </c>
      <c r="L139" t="inlineStr">
        <is>
          <t>total_accruals__20250202,total_accruals__20240128</t>
        </is>
      </c>
      <c r="M139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139" t="inlineStr">
        <is>
          <t>pending</t>
        </is>
      </c>
      <c r="P139" t="inlineStr">
        <is>
          <t>total_accruals_change</t>
        </is>
      </c>
      <c r="Q139" t="n">
        <v>65</v>
      </c>
      <c r="R139" t="n">
        <v>2</v>
      </c>
      <c r="S139" t="inlineStr">
        <is>
          <t>2025-02-02</t>
        </is>
      </c>
    </row>
    <row r="140">
      <c r="A140" t="inlineStr">
        <is>
          <t>total_accruals_change__20260201</t>
        </is>
      </c>
      <c r="B140" t="n">
        <v>139</v>
      </c>
      <c r="C140" t="inlineStr">
        <is>
          <t>Change in Total Accruals</t>
        </is>
      </c>
      <c r="D140" t="inlineStr">
        <is>
          <t>Current Total Accruals minus prior Total Accruals.</t>
        </is>
      </c>
      <c r="E140" t="inlineStr">
        <is>
          <t>quality_change.total_accruals_change.2026-02-01</t>
        </is>
      </c>
      <c r="F140" t="inlineStr">
        <is>
          <t>earnings_quality_change</t>
        </is>
      </c>
      <c r="G140" t="inlineStr">
        <is>
          <t>Earnings Quality</t>
        </is>
      </c>
      <c r="H140" t="inlineStr">
        <is>
          <t>E17</t>
        </is>
      </c>
      <c r="I140">
        <f>E8-D8</f>
        <v/>
      </c>
      <c r="J140" t="n">
        <v>434803</v>
      </c>
      <c r="K140" t="n">
        <v>0.01</v>
      </c>
      <c r="L140" t="inlineStr">
        <is>
          <t>total_accruals__20260201,total_accruals__20250202</t>
        </is>
      </c>
      <c r="M140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140" t="inlineStr">
        <is>
          <t>pending</t>
        </is>
      </c>
      <c r="P140" t="inlineStr">
        <is>
          <t>total_accruals_change</t>
        </is>
      </c>
      <c r="Q140" t="n">
        <v>65</v>
      </c>
      <c r="R140" t="n">
        <v>3</v>
      </c>
      <c r="S140" t="inlineStr">
        <is>
          <t>2026-02-01</t>
        </is>
      </c>
    </row>
    <row r="141">
      <c r="A141" t="inlineStr">
        <is>
          <t>accrual_ratio_change__20250202</t>
        </is>
      </c>
      <c r="B141" t="n">
        <v>140</v>
      </c>
      <c r="C141" t="inlineStr">
        <is>
          <t>Change in Accrual Ratio</t>
        </is>
      </c>
      <c r="D141" t="inlineStr">
        <is>
          <t>Current accrual ratio minus prior comparable accrual ratio.</t>
        </is>
      </c>
      <c r="E141" t="inlineStr">
        <is>
          <t>quality_change.accrual_ratio_change.2025-02-02</t>
        </is>
      </c>
      <c r="F141" t="inlineStr">
        <is>
          <t>earnings_quality_change</t>
        </is>
      </c>
      <c r="G141" t="inlineStr">
        <is>
          <t>Earnings Quality</t>
        </is>
      </c>
      <c r="H141" t="inlineStr">
        <is>
          <t>D18</t>
        </is>
      </c>
      <c r="I141">
        <f>D12-C12</f>
        <v/>
      </c>
      <c r="J141" t="n">
        <v>0.05513932510335225</v>
      </c>
      <c r="K141" t="n">
        <v>0.01</v>
      </c>
      <c r="L141" t="inlineStr">
        <is>
          <t>accrual_ratio__20250202,accrual_ratio__20240128</t>
        </is>
      </c>
      <c r="M141" t="inlineStr">
        <is>
          <t>Change in Accrual Ratio = Current Accrual Ratio - Prior Accrual Ratio.|This family is available only when reported Total Assets support the existing accrual-ratio schedule.|Undefined current or prior ratios propagate to #N/A.</t>
        </is>
      </c>
      <c r="O141" t="inlineStr">
        <is>
          <t>pending</t>
        </is>
      </c>
      <c r="P141" t="inlineStr">
        <is>
          <t>accrual_ratio_change</t>
        </is>
      </c>
      <c r="Q141" t="n">
        <v>66</v>
      </c>
      <c r="R141" t="n">
        <v>2</v>
      </c>
      <c r="S141" t="inlineStr">
        <is>
          <t>2025-02-02</t>
        </is>
      </c>
    </row>
    <row r="142">
      <c r="A142" t="inlineStr">
        <is>
          <t>accrual_ratio_change__20260201</t>
        </is>
      </c>
      <c r="B142" t="n">
        <v>141</v>
      </c>
      <c r="C142" t="inlineStr">
        <is>
          <t>Change in Accrual Ratio</t>
        </is>
      </c>
      <c r="D142" t="inlineStr">
        <is>
          <t>Current accrual ratio minus prior comparable accrual ratio.</t>
        </is>
      </c>
      <c r="E142" t="inlineStr">
        <is>
          <t>quality_change.accrual_ratio_change.2026-02-01</t>
        </is>
      </c>
      <c r="F142" t="inlineStr">
        <is>
          <t>earnings_quality_change</t>
        </is>
      </c>
      <c r="G142" t="inlineStr">
        <is>
          <t>Earnings Quality</t>
        </is>
      </c>
      <c r="H142" t="inlineStr">
        <is>
          <t>E18</t>
        </is>
      </c>
      <c r="I142">
        <f>E12-D12</f>
        <v/>
      </c>
      <c r="J142" t="n">
        <v>0.05944547506746123</v>
      </c>
      <c r="K142" t="n">
        <v>0.01</v>
      </c>
      <c r="L142" t="inlineStr">
        <is>
          <t>accrual_ratio__20260201,accrual_ratio__20250202</t>
        </is>
      </c>
      <c r="M142" t="inlineStr">
        <is>
          <t>Change in Accrual Ratio = Current Accrual Ratio - Prior Accrual Ratio.|This family is available only when reported Total Assets support the existing accrual-ratio schedule.|Undefined current or prior ratios propagate to #N/A.</t>
        </is>
      </c>
      <c r="O142" t="inlineStr">
        <is>
          <t>pending</t>
        </is>
      </c>
      <c r="P142" t="inlineStr">
        <is>
          <t>accrual_ratio_change</t>
        </is>
      </c>
      <c r="Q142" t="n">
        <v>66</v>
      </c>
      <c r="R142" t="n">
        <v>3</v>
      </c>
      <c r="S142" t="inlineStr">
        <is>
          <t>2026-02-01</t>
        </is>
      </c>
    </row>
    <row r="143">
      <c r="A143" t="inlineStr">
        <is>
          <t>reported_diluted_eps__20230129</t>
        </is>
      </c>
      <c r="B143" t="n">
        <v>142</v>
      </c>
      <c r="C143" t="inlineStr">
        <is>
          <t>Diluted EPS (Comparable Basis)</t>
        </is>
      </c>
      <c r="D143" t="inlineStr">
        <is>
          <t>Earnings numerator / diluted weighted-average shares on the supplied comparable share basis.</t>
        </is>
      </c>
      <c r="E143" t="inlineStr">
        <is>
          <t>per_share.reported_diluted_eps.2023-01-29</t>
        </is>
      </c>
      <c r="F143" t="inlineStr">
        <is>
          <t>per_share</t>
        </is>
      </c>
      <c r="G143" t="inlineStr">
        <is>
          <t>Per Share Analysis</t>
        </is>
      </c>
      <c r="H143" t="inlineStr">
        <is>
          <t>B9</t>
        </is>
      </c>
      <c r="I143">
        <f>IF(B7&lt;=0,NA(),B5/B7)</f>
        <v/>
      </c>
      <c r="J143" t="n">
        <v>6.677238179304311</v>
      </c>
      <c r="K143" t="n">
        <v>0.01</v>
      </c>
      <c r="L143" t="inlineStr">
        <is>
          <t>net_income_link__20230129</t>
        </is>
      </c>
      <c r="M143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143" t="inlineStr">
        <is>
          <t>pending</t>
        </is>
      </c>
      <c r="P143" t="inlineStr">
        <is>
          <t>reported_diluted_eps</t>
        </is>
      </c>
      <c r="Q143" t="n">
        <v>67</v>
      </c>
      <c r="R143" t="n">
        <v>0</v>
      </c>
      <c r="S143" t="inlineStr">
        <is>
          <t>2023-01-29</t>
        </is>
      </c>
    </row>
    <row r="144">
      <c r="A144" t="inlineStr">
        <is>
          <t>reported_diluted_eps__20240128</t>
        </is>
      </c>
      <c r="B144" t="n">
        <v>143</v>
      </c>
      <c r="C144" t="inlineStr">
        <is>
          <t>Diluted EPS (Comparable Basis)</t>
        </is>
      </c>
      <c r="D144" t="inlineStr">
        <is>
          <t>Earnings numerator / diluted weighted-average shares on the supplied comparable share basis.</t>
        </is>
      </c>
      <c r="E144" t="inlineStr">
        <is>
          <t>per_share.reported_diluted_eps.2024-01-28</t>
        </is>
      </c>
      <c r="F144" t="inlineStr">
        <is>
          <t>per_share</t>
        </is>
      </c>
      <c r="G144" t="inlineStr">
        <is>
          <t>Per Share Analysis</t>
        </is>
      </c>
      <c r="H144" t="inlineStr">
        <is>
          <t>C9</t>
        </is>
      </c>
      <c r="I144">
        <f>IF(C7&lt;=0,NA(),C5/C7)</f>
        <v/>
      </c>
      <c r="J144" t="n">
        <v>12.20045647725484</v>
      </c>
      <c r="K144" t="n">
        <v>0.01</v>
      </c>
      <c r="L144" t="inlineStr">
        <is>
          <t>net_income_link__20240128</t>
        </is>
      </c>
      <c r="M144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144" t="inlineStr">
        <is>
          <t>pending</t>
        </is>
      </c>
      <c r="P144" t="inlineStr">
        <is>
          <t>reported_diluted_eps</t>
        </is>
      </c>
      <c r="Q144" t="n">
        <v>67</v>
      </c>
      <c r="R144" t="n">
        <v>1</v>
      </c>
      <c r="S144" t="inlineStr">
        <is>
          <t>2024-01-28</t>
        </is>
      </c>
    </row>
    <row r="145">
      <c r="A145" t="inlineStr">
        <is>
          <t>reported_diluted_eps__20250202</t>
        </is>
      </c>
      <c r="B145" t="n">
        <v>144</v>
      </c>
      <c r="C145" t="inlineStr">
        <is>
          <t>Diluted EPS (Comparable Basis)</t>
        </is>
      </c>
      <c r="D145" t="inlineStr">
        <is>
          <t>Earnings numerator / diluted weighted-average shares on the supplied comparable share basis.</t>
        </is>
      </c>
      <c r="E145" t="inlineStr">
        <is>
          <t>per_share.reported_diluted_eps.2025-02-02</t>
        </is>
      </c>
      <c r="F145" t="inlineStr">
        <is>
          <t>per_share</t>
        </is>
      </c>
      <c r="G145" t="inlineStr">
        <is>
          <t>Per Share Analysis</t>
        </is>
      </c>
      <c r="H145" t="inlineStr">
        <is>
          <t>D9</t>
        </is>
      </c>
      <c r="I145">
        <f>IF(D7&lt;=0,NA(),D5/D7)</f>
        <v/>
      </c>
      <c r="J145" t="n">
        <v>14.64167507161012</v>
      </c>
      <c r="K145" t="n">
        <v>0.01</v>
      </c>
      <c r="L145" t="inlineStr">
        <is>
          <t>net_income_link__20250202</t>
        </is>
      </c>
      <c r="M145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145" t="inlineStr">
        <is>
          <t>pending</t>
        </is>
      </c>
      <c r="P145" t="inlineStr">
        <is>
          <t>reported_diluted_eps</t>
        </is>
      </c>
      <c r="Q145" t="n">
        <v>67</v>
      </c>
      <c r="R145" t="n">
        <v>2</v>
      </c>
      <c r="S145" t="inlineStr">
        <is>
          <t>2025-02-02</t>
        </is>
      </c>
    </row>
    <row r="146">
      <c r="A146" t="inlineStr">
        <is>
          <t>reported_diluted_eps__20260201</t>
        </is>
      </c>
      <c r="B146" t="n">
        <v>145</v>
      </c>
      <c r="C146" t="inlineStr">
        <is>
          <t>Diluted EPS (Comparable Basis)</t>
        </is>
      </c>
      <c r="D146" t="inlineStr">
        <is>
          <t>Earnings numerator / diluted weighted-average shares on the supplied comparable share basis.</t>
        </is>
      </c>
      <c r="E146" t="inlineStr">
        <is>
          <t>per_share.reported_diluted_eps.2026-02-01</t>
        </is>
      </c>
      <c r="F146" t="inlineStr">
        <is>
          <t>per_share</t>
        </is>
      </c>
      <c r="G146" t="inlineStr">
        <is>
          <t>Per Share Analysis</t>
        </is>
      </c>
      <c r="H146" t="inlineStr">
        <is>
          <t>E9</t>
        </is>
      </c>
      <c r="I146">
        <f>IF(E7&lt;=0,NA(),E5/E7)</f>
        <v/>
      </c>
      <c r="J146" t="n">
        <v>13.26286659723855</v>
      </c>
      <c r="K146" t="n">
        <v>0.01</v>
      </c>
      <c r="L146" t="inlineStr">
        <is>
          <t>net_income_link__20260201</t>
        </is>
      </c>
      <c r="M146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146" t="inlineStr">
        <is>
          <t>pending</t>
        </is>
      </c>
      <c r="P146" t="inlineStr">
        <is>
          <t>reported_diluted_eps</t>
        </is>
      </c>
      <c r="Q146" t="n">
        <v>67</v>
      </c>
      <c r="R146" t="n">
        <v>3</v>
      </c>
      <c r="S146" t="inlineStr">
        <is>
          <t>2026-02-01</t>
        </is>
      </c>
    </row>
    <row r="147">
      <c r="A147" t="inlineStr">
        <is>
          <t>diluted_eps_change__20240128</t>
        </is>
      </c>
      <c r="B147" t="n">
        <v>150</v>
      </c>
      <c r="C147" t="inlineStr">
        <is>
          <t>Change in Diluted EPS</t>
        </is>
      </c>
      <c r="D147" t="inlineStr">
        <is>
          <t>Current comparable-basis Diluted EPS minus prior EPS.</t>
        </is>
      </c>
      <c r="E147" t="inlineStr">
        <is>
          <t>per_share.diluted_eps_change.2024-01-28</t>
        </is>
      </c>
      <c r="F147" t="inlineStr">
        <is>
          <t>per_share</t>
        </is>
      </c>
      <c r="G147" t="inlineStr">
        <is>
          <t>Per Share Analysis</t>
        </is>
      </c>
      <c r="H147" t="inlineStr">
        <is>
          <t>C12</t>
        </is>
      </c>
      <c r="I147">
        <f>C9-B9</f>
        <v/>
      </c>
      <c r="J147" t="n">
        <v>5.52321829795053</v>
      </c>
      <c r="K147" t="n">
        <v>0.01</v>
      </c>
      <c r="L147" t="inlineStr">
        <is>
          <t>reported_diluted_eps__20240128,reported_diluted_eps__20230129</t>
        </is>
      </c>
      <c r="M147" t="inlineStr">
        <is>
          <t>Change in Diluted EPS = Current EPS - Prior EPS.|Use an absolute per-share change here rather than a growth rate that can become misleading around zero or negative EPS.</t>
        </is>
      </c>
      <c r="O147" t="inlineStr">
        <is>
          <t>pending</t>
        </is>
      </c>
      <c r="P147" t="inlineStr">
        <is>
          <t>diluted_eps_change</t>
        </is>
      </c>
      <c r="Q147" t="n">
        <v>69</v>
      </c>
      <c r="R147" t="n">
        <v>1</v>
      </c>
      <c r="S147" t="inlineStr">
        <is>
          <t>2024-01-28</t>
        </is>
      </c>
    </row>
    <row r="148">
      <c r="A148" t="inlineStr">
        <is>
          <t>diluted_eps_change__20250202</t>
        </is>
      </c>
      <c r="B148" t="n">
        <v>151</v>
      </c>
      <c r="C148" t="inlineStr">
        <is>
          <t>Change in Diluted EPS</t>
        </is>
      </c>
      <c r="D148" t="inlineStr">
        <is>
          <t>Current comparable-basis Diluted EPS minus prior EPS.</t>
        </is>
      </c>
      <c r="E148" t="inlineStr">
        <is>
          <t>per_share.diluted_eps_change.2025-02-02</t>
        </is>
      </c>
      <c r="F148" t="inlineStr">
        <is>
          <t>per_share</t>
        </is>
      </c>
      <c r="G148" t="inlineStr">
        <is>
          <t>Per Share Analysis</t>
        </is>
      </c>
      <c r="H148" t="inlineStr">
        <is>
          <t>D12</t>
        </is>
      </c>
      <c r="I148">
        <f>D9-C9</f>
        <v/>
      </c>
      <c r="J148" t="n">
        <v>2.441218594355277</v>
      </c>
      <c r="K148" t="n">
        <v>0.01</v>
      </c>
      <c r="L148" t="inlineStr">
        <is>
          <t>reported_diluted_eps__20250202,reported_diluted_eps__20240128</t>
        </is>
      </c>
      <c r="M148" t="inlineStr">
        <is>
          <t>Change in Diluted EPS = Current EPS - Prior EPS.|Use an absolute per-share change here rather than a growth rate that can become misleading around zero or negative EPS.</t>
        </is>
      </c>
      <c r="O148" t="inlineStr">
        <is>
          <t>pending</t>
        </is>
      </c>
      <c r="P148" t="inlineStr">
        <is>
          <t>diluted_eps_change</t>
        </is>
      </c>
      <c r="Q148" t="n">
        <v>69</v>
      </c>
      <c r="R148" t="n">
        <v>2</v>
      </c>
      <c r="S148" t="inlineStr">
        <is>
          <t>2025-02-02</t>
        </is>
      </c>
    </row>
    <row r="149">
      <c r="A149" t="inlineStr">
        <is>
          <t>diluted_eps_change__20260201</t>
        </is>
      </c>
      <c r="B149" t="n">
        <v>152</v>
      </c>
      <c r="C149" t="inlineStr">
        <is>
          <t>Change in Diluted EPS</t>
        </is>
      </c>
      <c r="D149" t="inlineStr">
        <is>
          <t>Current comparable-basis Diluted EPS minus prior EPS.</t>
        </is>
      </c>
      <c r="E149" t="inlineStr">
        <is>
          <t>per_share.diluted_eps_change.2026-02-01</t>
        </is>
      </c>
      <c r="F149" t="inlineStr">
        <is>
          <t>per_share</t>
        </is>
      </c>
      <c r="G149" t="inlineStr">
        <is>
          <t>Per Share Analysis</t>
        </is>
      </c>
      <c r="H149" t="inlineStr">
        <is>
          <t>E12</t>
        </is>
      </c>
      <c r="I149">
        <f>E9-D9</f>
        <v/>
      </c>
      <c r="J149" t="n">
        <v>-1.378808474371565</v>
      </c>
      <c r="K149" t="n">
        <v>0.01</v>
      </c>
      <c r="L149" t="inlineStr">
        <is>
          <t>reported_diluted_eps__20260201,reported_diluted_eps__20250202</t>
        </is>
      </c>
      <c r="M149" t="inlineStr">
        <is>
          <t>Change in Diluted EPS = Current EPS - Prior EPS.|Use an absolute per-share change here rather than a growth rate that can become misleading around zero or negative EPS.</t>
        </is>
      </c>
      <c r="O149" t="inlineStr">
        <is>
          <t>pending</t>
        </is>
      </c>
      <c r="P149" t="inlineStr">
        <is>
          <t>diluted_eps_change</t>
        </is>
      </c>
      <c r="Q149" t="n">
        <v>69</v>
      </c>
      <c r="R149" t="n">
        <v>3</v>
      </c>
      <c r="S149" t="inlineStr">
        <is>
          <t>2026-02-01</t>
        </is>
      </c>
    </row>
    <row r="150">
      <c r="A150" t="inlineStr">
        <is>
          <t>reported_net_income_change__20240128</t>
        </is>
      </c>
      <c r="B150" t="n">
        <v>152</v>
      </c>
      <c r="C150" t="inlineStr">
        <is>
          <t>Change in Per-Share Earnings Numerator</t>
        </is>
      </c>
      <c r="D150" t="inlineStr">
        <is>
          <t>Current per-share earnings numerator minus prior per-share earnings numerator.</t>
        </is>
      </c>
      <c r="E150" t="inlineStr">
        <is>
          <t>per_share_attribution.reported_net_income_change.2024-01-28</t>
        </is>
      </c>
      <c r="F150" t="inlineStr">
        <is>
          <t>per_share_attribution</t>
        </is>
      </c>
      <c r="G150" t="inlineStr">
        <is>
          <t>Per Share Analysis</t>
        </is>
      </c>
      <c r="H150" t="inlineStr">
        <is>
          <t>C16</t>
        </is>
      </c>
      <c r="I150">
        <f>C5-B5</f>
        <v/>
      </c>
      <c r="J150" t="n">
        <v>695390</v>
      </c>
      <c r="K150" t="n">
        <v>0.01</v>
      </c>
      <c r="L150" t="inlineStr">
        <is>
          <t>net_income_link__20240128,net_income_link__20230129</t>
        </is>
      </c>
      <c r="M150" t="inlineStr">
        <is>
          <t>Change in Per-Share Earnings Numerator = Current Numerator - Prior Numerator.|This is the earnings-numerator movement used in diluted-EPS attribution.</t>
        </is>
      </c>
      <c r="O150" t="inlineStr">
        <is>
          <t>pending</t>
        </is>
      </c>
      <c r="P150" t="inlineStr">
        <is>
          <t>reported_net_income_change</t>
        </is>
      </c>
      <c r="Q150" t="n">
        <v>71</v>
      </c>
      <c r="R150" t="n">
        <v>1</v>
      </c>
      <c r="S150" t="inlineStr">
        <is>
          <t>2024-01-28</t>
        </is>
      </c>
    </row>
    <row r="151">
      <c r="A151" t="inlineStr">
        <is>
          <t>diluted_share_count_change__20240128</t>
        </is>
      </c>
      <c r="B151" t="n">
        <v>153</v>
      </c>
      <c r="C151" t="inlineStr">
        <is>
          <t>Change in Diluted Weighted-Average Shares</t>
        </is>
      </c>
      <c r="D151" t="inlineStr">
        <is>
          <t>Current diluted weighted-average shares minus prior shares.</t>
        </is>
      </c>
      <c r="E151" t="inlineStr">
        <is>
          <t>per_share.diluted_share_count_change.2024-01-28</t>
        </is>
      </c>
      <c r="F151" t="inlineStr">
        <is>
          <t>per_share</t>
        </is>
      </c>
      <c r="G151" t="inlineStr">
        <is>
          <t>Per Share Analysis</t>
        </is>
      </c>
      <c r="H151" t="inlineStr">
        <is>
          <t>C13</t>
        </is>
      </c>
      <c r="I151">
        <f>C7-B7</f>
        <v/>
      </c>
      <c r="J151" t="n">
        <v>-957</v>
      </c>
      <c r="K151" t="n">
        <v>0.01</v>
      </c>
      <c r="M151" t="inlineStr">
        <is>
          <t>Change in Diluted Weighted-Average Shares = Current Shares - Prior Shares.|A positive change is mechanical evidence of a larger diluted share denominator; do not infer the cause automatically.</t>
        </is>
      </c>
      <c r="O151" t="inlineStr">
        <is>
          <t>pending</t>
        </is>
      </c>
      <c r="P151" t="inlineStr">
        <is>
          <t>diluted_share_count_change</t>
        </is>
      </c>
      <c r="Q151" t="n">
        <v>70</v>
      </c>
      <c r="R151" t="n">
        <v>1</v>
      </c>
      <c r="S151" t="inlineStr">
        <is>
          <t>2024-01-28</t>
        </is>
      </c>
    </row>
    <row r="152">
      <c r="A152" t="inlineStr">
        <is>
          <t>reported_net_income_change__20250202</t>
        </is>
      </c>
      <c r="B152" t="n">
        <v>153</v>
      </c>
      <c r="C152" t="inlineStr">
        <is>
          <t>Change in Per-Share Earnings Numerator</t>
        </is>
      </c>
      <c r="D152" t="inlineStr">
        <is>
          <t>Current per-share earnings numerator minus prior per-share earnings numerator.</t>
        </is>
      </c>
      <c r="E152" t="inlineStr">
        <is>
          <t>per_share_attribution.reported_net_income_change.2025-02-02</t>
        </is>
      </c>
      <c r="F152" t="inlineStr">
        <is>
          <t>per_share_attribution</t>
        </is>
      </c>
      <c r="G152" t="inlineStr">
        <is>
          <t>Per Share Analysis</t>
        </is>
      </c>
      <c r="H152" t="inlineStr">
        <is>
          <t>D16</t>
        </is>
      </c>
      <c r="I152">
        <f>D5-C5</f>
        <v/>
      </c>
      <c r="J152" t="n">
        <v>264426</v>
      </c>
      <c r="K152" t="n">
        <v>0.01</v>
      </c>
      <c r="L152" t="inlineStr">
        <is>
          <t>net_income_link__20250202,net_income_link__20240128</t>
        </is>
      </c>
      <c r="M152" t="inlineStr">
        <is>
          <t>Change in Per-Share Earnings Numerator = Current Numerator - Prior Numerator.|This is the earnings-numerator movement used in diluted-EPS attribution.</t>
        </is>
      </c>
      <c r="O152" t="inlineStr">
        <is>
          <t>pending</t>
        </is>
      </c>
      <c r="P152" t="inlineStr">
        <is>
          <t>reported_net_income_change</t>
        </is>
      </c>
      <c r="Q152" t="n">
        <v>71</v>
      </c>
      <c r="R152" t="n">
        <v>2</v>
      </c>
      <c r="S152" t="inlineStr">
        <is>
          <t>2025-02-02</t>
        </is>
      </c>
    </row>
    <row r="153">
      <c r="A153" t="inlineStr">
        <is>
          <t>diluted_share_count_change__20250202</t>
        </is>
      </c>
      <c r="B153" t="n">
        <v>154</v>
      </c>
      <c r="C153" t="inlineStr">
        <is>
          <t>Change in Diluted Weighted-Average Shares</t>
        </is>
      </c>
      <c r="D153" t="inlineStr">
        <is>
          <t>Current diluted weighted-average shares minus prior shares.</t>
        </is>
      </c>
      <c r="E153" t="inlineStr">
        <is>
          <t>per_share.diluted_share_count_change.2025-02-02</t>
        </is>
      </c>
      <c r="F153" t="inlineStr">
        <is>
          <t>per_share</t>
        </is>
      </c>
      <c r="G153" t="inlineStr">
        <is>
          <t>Per Share Analysis</t>
        </is>
      </c>
      <c r="H153" t="inlineStr">
        <is>
          <t>D13</t>
        </is>
      </c>
      <c r="I153">
        <f>D7-C7</f>
        <v/>
      </c>
      <c r="J153" t="n">
        <v>-3125</v>
      </c>
      <c r="K153" t="n">
        <v>0.01</v>
      </c>
      <c r="M153" t="inlineStr">
        <is>
          <t>Change in Diluted Weighted-Average Shares = Current Shares - Prior Shares.|A positive change is mechanical evidence of a larger diluted share denominator; do not infer the cause automatically.</t>
        </is>
      </c>
      <c r="O153" t="inlineStr">
        <is>
          <t>pending</t>
        </is>
      </c>
      <c r="P153" t="inlineStr">
        <is>
          <t>diluted_share_count_change</t>
        </is>
      </c>
      <c r="Q153" t="n">
        <v>70</v>
      </c>
      <c r="R153" t="n">
        <v>2</v>
      </c>
      <c r="S153" t="inlineStr">
        <is>
          <t>2025-02-02</t>
        </is>
      </c>
    </row>
    <row r="154">
      <c r="A154" t="inlineStr">
        <is>
          <t>reported_net_income_change__20260201</t>
        </is>
      </c>
      <c r="B154" t="n">
        <v>154</v>
      </c>
      <c r="C154" t="inlineStr">
        <is>
          <t>Change in Per-Share Earnings Numerator</t>
        </is>
      </c>
      <c r="D154" t="inlineStr">
        <is>
          <t>Current per-share earnings numerator minus prior per-share earnings numerator.</t>
        </is>
      </c>
      <c r="E154" t="inlineStr">
        <is>
          <t>per_share_attribution.reported_net_income_change.2026-02-01</t>
        </is>
      </c>
      <c r="F154" t="inlineStr">
        <is>
          <t>per_share_attribution</t>
        </is>
      </c>
      <c r="G154" t="inlineStr">
        <is>
          <t>Per Share Analysis</t>
        </is>
      </c>
      <c r="H154" t="inlineStr">
        <is>
          <t>E16</t>
        </is>
      </c>
      <c r="I154">
        <f>E5-D5</f>
        <v/>
      </c>
      <c r="J154" t="n">
        <v>-235433</v>
      </c>
      <c r="K154" t="n">
        <v>0.01</v>
      </c>
      <c r="L154" t="inlineStr">
        <is>
          <t>net_income_link__20260201,net_income_link__20250202</t>
        </is>
      </c>
      <c r="M154" t="inlineStr">
        <is>
          <t>Change in Per-Share Earnings Numerator = Current Numerator - Prior Numerator.|This is the earnings-numerator movement used in diluted-EPS attribution.</t>
        </is>
      </c>
      <c r="O154" t="inlineStr">
        <is>
          <t>pending</t>
        </is>
      </c>
      <c r="P154" t="inlineStr">
        <is>
          <t>reported_net_income_change</t>
        </is>
      </c>
      <c r="Q154" t="n">
        <v>71</v>
      </c>
      <c r="R154" t="n">
        <v>3</v>
      </c>
      <c r="S154" t="inlineStr">
        <is>
          <t>2026-02-01</t>
        </is>
      </c>
    </row>
    <row r="155">
      <c r="A155" t="inlineStr">
        <is>
          <t>diluted_share_count_change__20260201</t>
        </is>
      </c>
      <c r="B155" t="n">
        <v>155</v>
      </c>
      <c r="C155" t="inlineStr">
        <is>
          <t>Change in Diluted Weighted-Average Shares</t>
        </is>
      </c>
      <c r="D155" t="inlineStr">
        <is>
          <t>Current diluted weighted-average shares minus prior shares.</t>
        </is>
      </c>
      <c r="E155" t="inlineStr">
        <is>
          <t>per_share.diluted_share_count_change.2026-02-01</t>
        </is>
      </c>
      <c r="F155" t="inlineStr">
        <is>
          <t>per_share</t>
        </is>
      </c>
      <c r="G155" t="inlineStr">
        <is>
          <t>Per Share Analysis</t>
        </is>
      </c>
      <c r="H155" t="inlineStr">
        <is>
          <t>E13</t>
        </is>
      </c>
      <c r="I155">
        <f>E7-D7</f>
        <v/>
      </c>
      <c r="J155" t="n">
        <v>-4867</v>
      </c>
      <c r="K155" t="n">
        <v>0.01</v>
      </c>
      <c r="M155" t="inlineStr">
        <is>
          <t>Change in Diluted Weighted-Average Shares = Current Shares - Prior Shares.|A positive change is mechanical evidence of a larger diluted share denominator; do not infer the cause automatically.</t>
        </is>
      </c>
      <c r="O155" t="inlineStr">
        <is>
          <t>pending</t>
        </is>
      </c>
      <c r="P155" t="inlineStr">
        <is>
          <t>diluted_share_count_change</t>
        </is>
      </c>
      <c r="Q155" t="n">
        <v>70</v>
      </c>
      <c r="R155" t="n">
        <v>3</v>
      </c>
      <c r="S155" t="inlineStr">
        <is>
          <t>2026-02-01</t>
        </is>
      </c>
    </row>
    <row r="156">
      <c r="A156" t="inlineStr">
        <is>
          <t>earnings_effect_on_diluted_eps_change__20240128</t>
        </is>
      </c>
      <c r="B156" t="n">
        <v>155</v>
      </c>
      <c r="C156" t="inlineStr">
        <is>
          <t>Earnings Effect on Change in Diluted EPS</t>
        </is>
      </c>
      <c r="D156" t="inlineStr">
        <is>
          <t>Change in per-share earnings numerator multiplied by midpoint inverse diluted shares.</t>
        </is>
      </c>
      <c r="E156" t="inlineStr">
        <is>
          <t>per_share_attribution.earnings_effect.2024-01-28</t>
        </is>
      </c>
      <c r="F156" t="inlineStr">
        <is>
          <t>per_share_attribution</t>
        </is>
      </c>
      <c r="G156" t="inlineStr">
        <is>
          <t>Per Share Analysis</t>
        </is>
      </c>
      <c r="H156" t="inlineStr">
        <is>
          <t>C17</t>
        </is>
      </c>
      <c r="I156">
        <f>C16*((1/C7+1/B7)/2)</f>
        <v/>
      </c>
      <c r="J156" t="n">
        <v>5.452469556195721</v>
      </c>
      <c r="K156" t="n">
        <v>0.01</v>
      </c>
      <c r="L156" t="inlineStr">
        <is>
          <t>reported_net_income_change__20240128</t>
        </is>
      </c>
      <c r="M156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156" t="inlineStr">
        <is>
          <t>pending</t>
        </is>
      </c>
      <c r="P156" t="inlineStr">
        <is>
          <t>earnings_effect_on_diluted_eps_change</t>
        </is>
      </c>
      <c r="Q156" t="n">
        <v>72</v>
      </c>
      <c r="R156" t="n">
        <v>1</v>
      </c>
      <c r="S156" t="inlineStr">
        <is>
          <t>2024-01-28</t>
        </is>
      </c>
    </row>
    <row r="157">
      <c r="A157" t="inlineStr">
        <is>
          <t>earnings_effect_on_diluted_eps_change__20250202</t>
        </is>
      </c>
      <c r="B157" t="n">
        <v>156</v>
      </c>
      <c r="C157" t="inlineStr">
        <is>
          <t>Earnings Effect on Change in Diluted EPS</t>
        </is>
      </c>
      <c r="D157" t="inlineStr">
        <is>
          <t>Change in per-share earnings numerator multiplied by midpoint inverse diluted shares.</t>
        </is>
      </c>
      <c r="E157" t="inlineStr">
        <is>
          <t>per_share_attribution.earnings_effect.2025-02-02</t>
        </is>
      </c>
      <c r="F157" t="inlineStr">
        <is>
          <t>per_share_attribution</t>
        </is>
      </c>
      <c r="G157" t="inlineStr">
        <is>
          <t>Per Share Analysis</t>
        </is>
      </c>
      <c r="H157" t="inlineStr">
        <is>
          <t>D17</t>
        </is>
      </c>
      <c r="I157">
        <f>D16*((1/D7+1/C7)/2)</f>
        <v/>
      </c>
      <c r="J157" t="n">
        <v>2.107348720019483</v>
      </c>
      <c r="K157" t="n">
        <v>0.01</v>
      </c>
      <c r="L157" t="inlineStr">
        <is>
          <t>reported_net_income_change__20250202</t>
        </is>
      </c>
      <c r="M157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157" t="inlineStr">
        <is>
          <t>pending</t>
        </is>
      </c>
      <c r="P157" t="inlineStr">
        <is>
          <t>earnings_effect_on_diluted_eps_change</t>
        </is>
      </c>
      <c r="Q157" t="n">
        <v>72</v>
      </c>
      <c r="R157" t="n">
        <v>2</v>
      </c>
      <c r="S157" t="inlineStr">
        <is>
          <t>2025-02-02</t>
        </is>
      </c>
    </row>
    <row r="158">
      <c r="A158" t="inlineStr">
        <is>
          <t>earnings_effect_on_diluted_eps_change__20260201</t>
        </is>
      </c>
      <c r="B158" t="n">
        <v>157</v>
      </c>
      <c r="C158" t="inlineStr">
        <is>
          <t>Earnings Effect on Change in Diluted EPS</t>
        </is>
      </c>
      <c r="D158" t="inlineStr">
        <is>
          <t>Change in per-share earnings numerator multiplied by midpoint inverse diluted shares.</t>
        </is>
      </c>
      <c r="E158" t="inlineStr">
        <is>
          <t>per_share_attribution.earnings_effect.2026-02-01</t>
        </is>
      </c>
      <c r="F158" t="inlineStr">
        <is>
          <t>per_share_attribution</t>
        </is>
      </c>
      <c r="G158" t="inlineStr">
        <is>
          <t>Per Share Analysis</t>
        </is>
      </c>
      <c r="H158" t="inlineStr">
        <is>
          <t>E17</t>
        </is>
      </c>
      <c r="I158">
        <f>E16*((1/E7+1/D7)/2)</f>
        <v/>
      </c>
      <c r="J158" t="n">
        <v>-1.93847384801317</v>
      </c>
      <c r="K158" t="n">
        <v>0.01</v>
      </c>
      <c r="L158" t="inlineStr">
        <is>
          <t>reported_net_income_change__20260201</t>
        </is>
      </c>
      <c r="M158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158" t="inlineStr">
        <is>
          <t>pending</t>
        </is>
      </c>
      <c r="P158" t="inlineStr">
        <is>
          <t>earnings_effect_on_diluted_eps_change</t>
        </is>
      </c>
      <c r="Q158" t="n">
        <v>72</v>
      </c>
      <c r="R158" t="n">
        <v>3</v>
      </c>
      <c r="S158" t="inlineStr">
        <is>
          <t>2026-02-01</t>
        </is>
      </c>
    </row>
    <row r="159">
      <c r="A159" t="inlineStr">
        <is>
          <t>share_count_effect_on_diluted_eps_change__20240128</t>
        </is>
      </c>
      <c r="B159" t="n">
        <v>158</v>
      </c>
      <c r="C159" t="inlineStr">
        <is>
          <t>Share-Count Effect on Change in Diluted EPS</t>
        </is>
      </c>
      <c r="D159" t="inlineStr">
        <is>
          <t>Change in inverse diluted shares multiplied by midpoint per-share earnings numerator.</t>
        </is>
      </c>
      <c r="E159" t="inlineStr">
        <is>
          <t>per_share_attribution.share_count_effect.2024-01-28</t>
        </is>
      </c>
      <c r="F159" t="inlineStr">
        <is>
          <t>per_share_attribution</t>
        </is>
      </c>
      <c r="G159" t="inlineStr">
        <is>
          <t>Per Share Analysis</t>
        </is>
      </c>
      <c r="H159" t="inlineStr">
        <is>
          <t>C18</t>
        </is>
      </c>
      <c r="I159">
        <f>((1/C7)-(1/B7))*((C5+B5)/2)</f>
        <v/>
      </c>
      <c r="J159" t="n">
        <v>0.07074874175480896</v>
      </c>
      <c r="K159" t="n">
        <v>0.01</v>
      </c>
      <c r="L159" t="inlineStr">
        <is>
          <t>diluted_share_count_change__20240128,net_income_link__20240128,net_income_link__20230129</t>
        </is>
      </c>
      <c r="M159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159" t="inlineStr">
        <is>
          <t>pending</t>
        </is>
      </c>
      <c r="P159" t="inlineStr">
        <is>
          <t>share_count_effect_on_diluted_eps_change</t>
        </is>
      </c>
      <c r="Q159" t="n">
        <v>73</v>
      </c>
      <c r="R159" t="n">
        <v>1</v>
      </c>
      <c r="S159" t="inlineStr">
        <is>
          <t>2024-01-28</t>
        </is>
      </c>
    </row>
    <row r="160">
      <c r="A160" t="inlineStr">
        <is>
          <t>share_count_effect_on_diluted_eps_change__20250202</t>
        </is>
      </c>
      <c r="B160" t="n">
        <v>159</v>
      </c>
      <c r="C160" t="inlineStr">
        <is>
          <t>Share-Count Effect on Change in Diluted EPS</t>
        </is>
      </c>
      <c r="D160" t="inlineStr">
        <is>
          <t>Change in inverse diluted shares multiplied by midpoint per-share earnings numerator.</t>
        </is>
      </c>
      <c r="E160" t="inlineStr">
        <is>
          <t>per_share_attribution.share_count_effect.2025-02-02</t>
        </is>
      </c>
      <c r="F160" t="inlineStr">
        <is>
          <t>per_share_attribution</t>
        </is>
      </c>
      <c r="G160" t="inlineStr">
        <is>
          <t>Per Share Analysis</t>
        </is>
      </c>
      <c r="H160" t="inlineStr">
        <is>
          <t>D18</t>
        </is>
      </c>
      <c r="I160">
        <f>((1/D7)-(1/C7))*((D5+C5)/2)</f>
        <v/>
      </c>
      <c r="J160" t="n">
        <v>0.3338698743357935</v>
      </c>
      <c r="K160" t="n">
        <v>0.01</v>
      </c>
      <c r="L160" t="inlineStr">
        <is>
          <t>diluted_share_count_change__20250202,net_income_link__20250202,net_income_link__20240128</t>
        </is>
      </c>
      <c r="M160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160" t="inlineStr">
        <is>
          <t>pending</t>
        </is>
      </c>
      <c r="P160" t="inlineStr">
        <is>
          <t>share_count_effect_on_diluted_eps_change</t>
        </is>
      </c>
      <c r="Q160" t="n">
        <v>73</v>
      </c>
      <c r="R160" t="n">
        <v>2</v>
      </c>
      <c r="S160" t="inlineStr">
        <is>
          <t>2025-02-02</t>
        </is>
      </c>
    </row>
    <row r="161">
      <c r="A161" t="inlineStr">
        <is>
          <t>share_count_effect_on_diluted_eps_change__20260201</t>
        </is>
      </c>
      <c r="B161" t="n">
        <v>160</v>
      </c>
      <c r="C161" t="inlineStr">
        <is>
          <t>Share-Count Effect on Change in Diluted EPS</t>
        </is>
      </c>
      <c r="D161" t="inlineStr">
        <is>
          <t>Change in inverse diluted shares multiplied by midpoint per-share earnings numerator.</t>
        </is>
      </c>
      <c r="E161" t="inlineStr">
        <is>
          <t>per_share_attribution.share_count_effect.2026-02-01</t>
        </is>
      </c>
      <c r="F161" t="inlineStr">
        <is>
          <t>per_share_attribution</t>
        </is>
      </c>
      <c r="G161" t="inlineStr">
        <is>
          <t>Per Share Analysis</t>
        </is>
      </c>
      <c r="H161" t="inlineStr">
        <is>
          <t>E18</t>
        </is>
      </c>
      <c r="I161">
        <f>((1/E7)-(1/D7))*((E5+D5)/2)</f>
        <v/>
      </c>
      <c r="J161" t="n">
        <v>0.5596653736416045</v>
      </c>
      <c r="K161" t="n">
        <v>0.01</v>
      </c>
      <c r="L161" t="inlineStr">
        <is>
          <t>diluted_share_count_change__20260201,net_income_link__20260201,net_income_link__20250202</t>
        </is>
      </c>
      <c r="M161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161" t="inlineStr">
        <is>
          <t>pending</t>
        </is>
      </c>
      <c r="P161" t="inlineStr">
        <is>
          <t>share_count_effect_on_diluted_eps_change</t>
        </is>
      </c>
      <c r="Q161" t="n">
        <v>73</v>
      </c>
      <c r="R161" t="n">
        <v>3</v>
      </c>
      <c r="S161" t="inlineStr">
        <is>
          <t>2026-02-01</t>
        </is>
      </c>
    </row>
    <row r="162">
      <c r="A162" t="inlineStr">
        <is>
          <t>diluted_eps_change_from_drivers__20240128</t>
        </is>
      </c>
      <c r="B162" t="n">
        <v>161</v>
      </c>
      <c r="C162" t="inlineStr">
        <is>
          <t>Change in Diluted EPS from Earnings + Share-Count Effects</t>
        </is>
      </c>
      <c r="D162" t="inlineStr">
        <is>
          <t>Earnings Effect plus Share-Count Effect.</t>
        </is>
      </c>
      <c r="E162" t="inlineStr">
        <is>
          <t>per_share_attribution.diluted_eps_change_from_drivers.2024-01-28</t>
        </is>
      </c>
      <c r="F162" t="inlineStr">
        <is>
          <t>per_share_attribution</t>
        </is>
      </c>
      <c r="G162" t="inlineStr">
        <is>
          <t>Per Share Analysis</t>
        </is>
      </c>
      <c r="H162" t="inlineStr">
        <is>
          <t>C19</t>
        </is>
      </c>
      <c r="I162">
        <f>C17+C18</f>
        <v/>
      </c>
      <c r="J162" t="n">
        <v>5.52321829795053</v>
      </c>
      <c r="K162" t="n">
        <v>0.01</v>
      </c>
      <c r="L162" t="inlineStr">
        <is>
          <t>earnings_effect_on_diluted_eps_change__20240128,share_count_effect_on_diluted_eps_change__20240128</t>
        </is>
      </c>
      <c r="M162" t="inlineStr">
        <is>
          <t>Change in Diluted EPS from Drivers = Earnings Effect + Share-Count Effect.|The driver total must reconcile exactly to the direct Change in Diluted EPS.</t>
        </is>
      </c>
      <c r="O162" t="inlineStr">
        <is>
          <t>pending</t>
        </is>
      </c>
      <c r="P162" t="inlineStr">
        <is>
          <t>diluted_eps_change_from_drivers</t>
        </is>
      </c>
      <c r="Q162" t="n">
        <v>74</v>
      </c>
      <c r="R162" t="n">
        <v>1</v>
      </c>
      <c r="S162" t="inlineStr">
        <is>
          <t>2024-01-28</t>
        </is>
      </c>
    </row>
    <row r="163">
      <c r="A163" t="inlineStr">
        <is>
          <t>diluted_eps_change_from_drivers__20250202</t>
        </is>
      </c>
      <c r="B163" t="n">
        <v>162</v>
      </c>
      <c r="C163" t="inlineStr">
        <is>
          <t>Change in Diluted EPS from Earnings + Share-Count Effects</t>
        </is>
      </c>
      <c r="D163" t="inlineStr">
        <is>
          <t>Earnings Effect plus Share-Count Effect.</t>
        </is>
      </c>
      <c r="E163" t="inlineStr">
        <is>
          <t>per_share_attribution.diluted_eps_change_from_drivers.2025-02-02</t>
        </is>
      </c>
      <c r="F163" t="inlineStr">
        <is>
          <t>per_share_attribution</t>
        </is>
      </c>
      <c r="G163" t="inlineStr">
        <is>
          <t>Per Share Analysis</t>
        </is>
      </c>
      <c r="H163" t="inlineStr">
        <is>
          <t>D19</t>
        </is>
      </c>
      <c r="I163">
        <f>D17+D18</f>
        <v/>
      </c>
      <c r="J163" t="n">
        <v>2.441218594355277</v>
      </c>
      <c r="K163" t="n">
        <v>0.01</v>
      </c>
      <c r="L163" t="inlineStr">
        <is>
          <t>earnings_effect_on_diluted_eps_change__20250202,share_count_effect_on_diluted_eps_change__20250202</t>
        </is>
      </c>
      <c r="M163" t="inlineStr">
        <is>
          <t>Change in Diluted EPS from Drivers = Earnings Effect + Share-Count Effect.|The driver total must reconcile exactly to the direct Change in Diluted EPS.</t>
        </is>
      </c>
      <c r="O163" t="inlineStr">
        <is>
          <t>pending</t>
        </is>
      </c>
      <c r="P163" t="inlineStr">
        <is>
          <t>diluted_eps_change_from_drivers</t>
        </is>
      </c>
      <c r="Q163" t="n">
        <v>74</v>
      </c>
      <c r="R163" t="n">
        <v>2</v>
      </c>
      <c r="S163" t="inlineStr">
        <is>
          <t>2025-02-02</t>
        </is>
      </c>
    </row>
    <row r="164">
      <c r="A164" t="inlineStr">
        <is>
          <t>diluted_eps_change_from_drivers__20260201</t>
        </is>
      </c>
      <c r="B164" t="n">
        <v>163</v>
      </c>
      <c r="C164" t="inlineStr">
        <is>
          <t>Change in Diluted EPS from Earnings + Share-Count Effects</t>
        </is>
      </c>
      <c r="D164" t="inlineStr">
        <is>
          <t>Earnings Effect plus Share-Count Effect.</t>
        </is>
      </c>
      <c r="E164" t="inlineStr">
        <is>
          <t>per_share_attribution.diluted_eps_change_from_drivers.2026-02-01</t>
        </is>
      </c>
      <c r="F164" t="inlineStr">
        <is>
          <t>per_share_attribution</t>
        </is>
      </c>
      <c r="G164" t="inlineStr">
        <is>
          <t>Per Share Analysis</t>
        </is>
      </c>
      <c r="H164" t="inlineStr">
        <is>
          <t>E19</t>
        </is>
      </c>
      <c r="I164">
        <f>E17+E18</f>
        <v/>
      </c>
      <c r="J164" t="n">
        <v>-1.378808474371566</v>
      </c>
      <c r="K164" t="n">
        <v>0.01</v>
      </c>
      <c r="L164" t="inlineStr">
        <is>
          <t>earnings_effect_on_diluted_eps_change__20260201,share_count_effect_on_diluted_eps_change__20260201</t>
        </is>
      </c>
      <c r="M164" t="inlineStr">
        <is>
          <t>Change in Diluted EPS from Drivers = Earnings Effect + Share-Count Effect.|The driver total must reconcile exactly to the direct Change in Diluted EPS.</t>
        </is>
      </c>
      <c r="O164" t="inlineStr">
        <is>
          <t>pending</t>
        </is>
      </c>
      <c r="P164" t="inlineStr">
        <is>
          <t>diluted_eps_change_from_drivers</t>
        </is>
      </c>
      <c r="Q164" t="n">
        <v>74</v>
      </c>
      <c r="R164" t="n">
        <v>3</v>
      </c>
      <c r="S164" t="inlineStr">
        <is>
          <t>2026-02-01</t>
        </is>
      </c>
    </row>
    <row r="165">
      <c r="A165" t="inlineStr">
        <is>
          <t>ppe_source_link__20230129</t>
        </is>
      </c>
      <c r="B165" t="n">
        <v>164</v>
      </c>
      <c r="C165" t="inlineStr">
        <is>
          <t>Property, Plant &amp; Equipment</t>
        </is>
      </c>
      <c r="D165" t="inlineStr">
        <is>
          <t>Link reported PP&amp;E for the same fiscal period.</t>
        </is>
      </c>
      <c r="E165" t="inlineStr">
        <is>
          <t>fixed_asset.ppe.2023-01-29</t>
        </is>
      </c>
      <c r="F165" t="inlineStr">
        <is>
          <t>fixed_asset</t>
        </is>
      </c>
      <c r="G165" t="inlineStr">
        <is>
          <t>ALT DuPont</t>
        </is>
      </c>
      <c r="H165" t="inlineStr">
        <is>
          <t>B44</t>
        </is>
      </c>
      <c r="I165">
        <f>'Balance Sheet'!B25</f>
        <v/>
      </c>
      <c r="J165" t="n">
        <v>1269614</v>
      </c>
      <c r="K165" t="n">
        <v>0.01</v>
      </c>
      <c r="M165" t="inlineStr">
        <is>
          <t>Pull ending Property, Plant &amp; Equipment for the same fiscal period.|This is a source link, not an investment conclusion.</t>
        </is>
      </c>
      <c r="O165" t="inlineStr">
        <is>
          <t>pending</t>
        </is>
      </c>
      <c r="P165" t="inlineStr">
        <is>
          <t>ppe_source_link</t>
        </is>
      </c>
      <c r="Q165" t="n">
        <v>79</v>
      </c>
      <c r="R165" t="n">
        <v>0</v>
      </c>
      <c r="S165" t="inlineStr">
        <is>
          <t>2023-01-29</t>
        </is>
      </c>
    </row>
    <row r="166">
      <c r="A166" t="inlineStr">
        <is>
          <t>ppe_source_link__20240128</t>
        </is>
      </c>
      <c r="B166" t="n">
        <v>165</v>
      </c>
      <c r="C166" t="inlineStr">
        <is>
          <t>Property, Plant &amp; Equipment</t>
        </is>
      </c>
      <c r="D166" t="inlineStr">
        <is>
          <t>Link reported PP&amp;E for the same fiscal period.</t>
        </is>
      </c>
      <c r="E166" t="inlineStr">
        <is>
          <t>fixed_asset.ppe.2024-01-28</t>
        </is>
      </c>
      <c r="F166" t="inlineStr">
        <is>
          <t>fixed_asset</t>
        </is>
      </c>
      <c r="G166" t="inlineStr">
        <is>
          <t>ALT DuPont</t>
        </is>
      </c>
      <c r="H166" t="inlineStr">
        <is>
          <t>C44</t>
        </is>
      </c>
      <c r="I166">
        <f>'Balance Sheet'!C25</f>
        <v/>
      </c>
      <c r="J166" t="n">
        <v>1545811</v>
      </c>
      <c r="K166" t="n">
        <v>0.01</v>
      </c>
      <c r="M166" t="inlineStr">
        <is>
          <t>Pull ending Property, Plant &amp; Equipment for the same fiscal period.|This is a source link, not an investment conclusion.</t>
        </is>
      </c>
      <c r="O166" t="inlineStr">
        <is>
          <t>pending</t>
        </is>
      </c>
      <c r="P166" t="inlineStr">
        <is>
          <t>ppe_source_link</t>
        </is>
      </c>
      <c r="Q166" t="n">
        <v>79</v>
      </c>
      <c r="R166" t="n">
        <v>1</v>
      </c>
      <c r="S166" t="inlineStr">
        <is>
          <t>2024-01-28</t>
        </is>
      </c>
    </row>
    <row r="167">
      <c r="A167" t="inlineStr">
        <is>
          <t>ppe_source_link__20250202</t>
        </is>
      </c>
      <c r="B167" t="n">
        <v>166</v>
      </c>
      <c r="C167" t="inlineStr">
        <is>
          <t>Property, Plant &amp; Equipment</t>
        </is>
      </c>
      <c r="D167" t="inlineStr">
        <is>
          <t>Link reported PP&amp;E for the same fiscal period.</t>
        </is>
      </c>
      <c r="E167" t="inlineStr">
        <is>
          <t>fixed_asset.ppe.2025-02-02</t>
        </is>
      </c>
      <c r="F167" t="inlineStr">
        <is>
          <t>fixed_asset</t>
        </is>
      </c>
      <c r="G167" t="inlineStr">
        <is>
          <t>ALT DuPont</t>
        </is>
      </c>
      <c r="H167" t="inlineStr">
        <is>
          <t>D44</t>
        </is>
      </c>
      <c r="I167">
        <f>'Balance Sheet'!D25</f>
        <v/>
      </c>
      <c r="J167" t="n">
        <v>1780617</v>
      </c>
      <c r="K167" t="n">
        <v>0.01</v>
      </c>
      <c r="M167" t="inlineStr">
        <is>
          <t>Pull ending Property, Plant &amp; Equipment for the same fiscal period.|This is a source link, not an investment conclusion.</t>
        </is>
      </c>
      <c r="O167" t="inlineStr">
        <is>
          <t>pending</t>
        </is>
      </c>
      <c r="P167" t="inlineStr">
        <is>
          <t>ppe_source_link</t>
        </is>
      </c>
      <c r="Q167" t="n">
        <v>79</v>
      </c>
      <c r="R167" t="n">
        <v>2</v>
      </c>
      <c r="S167" t="inlineStr">
        <is>
          <t>2025-02-02</t>
        </is>
      </c>
    </row>
    <row r="168">
      <c r="A168" t="inlineStr">
        <is>
          <t>ppe_source_link__20260201</t>
        </is>
      </c>
      <c r="B168" t="n">
        <v>167</v>
      </c>
      <c r="C168" t="inlineStr">
        <is>
          <t>Property, Plant &amp; Equipment</t>
        </is>
      </c>
      <c r="D168" t="inlineStr">
        <is>
          <t>Link reported PP&amp;E for the same fiscal period.</t>
        </is>
      </c>
      <c r="E168" t="inlineStr">
        <is>
          <t>fixed_asset.ppe.2026-02-01</t>
        </is>
      </c>
      <c r="F168" t="inlineStr">
        <is>
          <t>fixed_asset</t>
        </is>
      </c>
      <c r="G168" t="inlineStr">
        <is>
          <t>ALT DuPont</t>
        </is>
      </c>
      <c r="H168" t="inlineStr">
        <is>
          <t>E44</t>
        </is>
      </c>
      <c r="I168">
        <f>'Balance Sheet'!E25</f>
        <v/>
      </c>
      <c r="J168" t="n">
        <v>2033720</v>
      </c>
      <c r="K168" t="n">
        <v>0.01</v>
      </c>
      <c r="M168" t="inlineStr">
        <is>
          <t>Pull ending Property, Plant &amp; Equipment for the same fiscal period.|This is a source link, not an investment conclusion.</t>
        </is>
      </c>
      <c r="O168" t="inlineStr">
        <is>
          <t>pending</t>
        </is>
      </c>
      <c r="P168" t="inlineStr">
        <is>
          <t>ppe_source_link</t>
        </is>
      </c>
      <c r="Q168" t="n">
        <v>79</v>
      </c>
      <c r="R168" t="n">
        <v>3</v>
      </c>
      <c r="S168" t="inlineStr">
        <is>
          <t>2026-02-01</t>
        </is>
      </c>
    </row>
    <row r="169">
      <c r="A169" t="inlineStr">
        <is>
          <t>da_source_link__20230129</t>
        </is>
      </c>
      <c r="B169" t="n">
        <v>168</v>
      </c>
      <c r="C169" t="inlineStr">
        <is>
          <t>Depreciation &amp; Amortisation</t>
        </is>
      </c>
      <c r="D169" t="inlineStr">
        <is>
          <t>Link reported combined D&amp;A for the same fiscal period.</t>
        </is>
      </c>
      <c r="E169" t="inlineStr">
        <is>
          <t>fixed_asset.depreciation_amortization.2023-01-29</t>
        </is>
      </c>
      <c r="F169" t="inlineStr">
        <is>
          <t>fixed_asset</t>
        </is>
      </c>
      <c r="G169" t="inlineStr">
        <is>
          <t>ALT DuPont</t>
        </is>
      </c>
      <c r="H169" t="inlineStr">
        <is>
          <t>B45</t>
        </is>
      </c>
      <c r="I169">
        <f>'Cash Flow Statement'!B23</f>
        <v/>
      </c>
      <c r="J169" t="n">
        <v>291791</v>
      </c>
      <c r="K169" t="n">
        <v>0.01</v>
      </c>
      <c r="M169" t="inlineStr">
        <is>
          <t>Pull Depreciation &amp; Amortisation for the same fiscal period.|Combined D&amp;A may include intangible amortisation; do not treat it as a pure PP&amp;E depreciation charge.</t>
        </is>
      </c>
      <c r="O169" t="inlineStr">
        <is>
          <t>pending</t>
        </is>
      </c>
      <c r="P169" t="inlineStr">
        <is>
          <t>da_source_link</t>
        </is>
      </c>
      <c r="Q169" t="n">
        <v>80</v>
      </c>
      <c r="R169" t="n">
        <v>0</v>
      </c>
      <c r="S169" t="inlineStr">
        <is>
          <t>2023-01-29</t>
        </is>
      </c>
    </row>
    <row r="170">
      <c r="A170" t="inlineStr">
        <is>
          <t>da_source_link__20240128</t>
        </is>
      </c>
      <c r="B170" t="n">
        <v>169</v>
      </c>
      <c r="C170" t="inlineStr">
        <is>
          <t>Depreciation &amp; Amortisation</t>
        </is>
      </c>
      <c r="D170" t="inlineStr">
        <is>
          <t>Link reported combined D&amp;A for the same fiscal period.</t>
        </is>
      </c>
      <c r="E170" t="inlineStr">
        <is>
          <t>fixed_asset.depreciation_amortization.2024-01-28</t>
        </is>
      </c>
      <c r="F170" t="inlineStr">
        <is>
          <t>fixed_asset</t>
        </is>
      </c>
      <c r="G170" t="inlineStr">
        <is>
          <t>ALT DuPont</t>
        </is>
      </c>
      <c r="H170" t="inlineStr">
        <is>
          <t>C45</t>
        </is>
      </c>
      <c r="I170">
        <f>'Cash Flow Statement'!C23</f>
        <v/>
      </c>
      <c r="J170" t="n">
        <v>379384</v>
      </c>
      <c r="K170" t="n">
        <v>0.01</v>
      </c>
      <c r="M170" t="inlineStr">
        <is>
          <t>Pull Depreciation &amp; Amortisation for the same fiscal period.|Combined D&amp;A may include intangible amortisation; do not treat it as a pure PP&amp;E depreciation charge.</t>
        </is>
      </c>
      <c r="O170" t="inlineStr">
        <is>
          <t>pending</t>
        </is>
      </c>
      <c r="P170" t="inlineStr">
        <is>
          <t>da_source_link</t>
        </is>
      </c>
      <c r="Q170" t="n">
        <v>80</v>
      </c>
      <c r="R170" t="n">
        <v>1</v>
      </c>
      <c r="S170" t="inlineStr">
        <is>
          <t>2024-01-28</t>
        </is>
      </c>
    </row>
    <row r="171">
      <c r="A171" t="inlineStr">
        <is>
          <t>da_source_link__20250202</t>
        </is>
      </c>
      <c r="B171" t="n">
        <v>170</v>
      </c>
      <c r="C171" t="inlineStr">
        <is>
          <t>Depreciation &amp; Amortisation</t>
        </is>
      </c>
      <c r="D171" t="inlineStr">
        <is>
          <t>Link reported combined D&amp;A for the same fiscal period.</t>
        </is>
      </c>
      <c r="E171" t="inlineStr">
        <is>
          <t>fixed_asset.depreciation_amortization.2025-02-02</t>
        </is>
      </c>
      <c r="F171" t="inlineStr">
        <is>
          <t>fixed_asset</t>
        </is>
      </c>
      <c r="G171" t="inlineStr">
        <is>
          <t>ALT DuPont</t>
        </is>
      </c>
      <c r="H171" t="inlineStr">
        <is>
          <t>D45</t>
        </is>
      </c>
      <c r="I171">
        <f>'Cash Flow Statement'!D23</f>
        <v/>
      </c>
      <c r="J171" t="n">
        <v>446524</v>
      </c>
      <c r="K171" t="n">
        <v>0.01</v>
      </c>
      <c r="M171" t="inlineStr">
        <is>
          <t>Pull Depreciation &amp; Amortisation for the same fiscal period.|Combined D&amp;A may include intangible amortisation; do not treat it as a pure PP&amp;E depreciation charge.</t>
        </is>
      </c>
      <c r="O171" t="inlineStr">
        <is>
          <t>pending</t>
        </is>
      </c>
      <c r="P171" t="inlineStr">
        <is>
          <t>da_source_link</t>
        </is>
      </c>
      <c r="Q171" t="n">
        <v>80</v>
      </c>
      <c r="R171" t="n">
        <v>2</v>
      </c>
      <c r="S171" t="inlineStr">
        <is>
          <t>2025-02-02</t>
        </is>
      </c>
    </row>
    <row r="172">
      <c r="A172" t="inlineStr">
        <is>
          <t>da_source_link__20260201</t>
        </is>
      </c>
      <c r="B172" t="n">
        <v>171</v>
      </c>
      <c r="C172" t="inlineStr">
        <is>
          <t>Depreciation &amp; Amortisation</t>
        </is>
      </c>
      <c r="D172" t="inlineStr">
        <is>
          <t>Link reported combined D&amp;A for the same fiscal period.</t>
        </is>
      </c>
      <c r="E172" t="inlineStr">
        <is>
          <t>fixed_asset.depreciation_amortization.2026-02-01</t>
        </is>
      </c>
      <c r="F172" t="inlineStr">
        <is>
          <t>fixed_asset</t>
        </is>
      </c>
      <c r="G172" t="inlineStr">
        <is>
          <t>ALT DuPont</t>
        </is>
      </c>
      <c r="H172" t="inlineStr">
        <is>
          <t>E45</t>
        </is>
      </c>
      <c r="I172">
        <f>'Cash Flow Statement'!E23</f>
        <v/>
      </c>
      <c r="J172" t="n">
        <v>496228</v>
      </c>
      <c r="K172" t="n">
        <v>0.01</v>
      </c>
      <c r="M172" t="inlineStr">
        <is>
          <t>Pull Depreciation &amp; Amortisation for the same fiscal period.|Combined D&amp;A may include intangible amortisation; do not treat it as a pure PP&amp;E depreciation charge.</t>
        </is>
      </c>
      <c r="O172" t="inlineStr">
        <is>
          <t>pending</t>
        </is>
      </c>
      <c r="P172" t="inlineStr">
        <is>
          <t>da_source_link</t>
        </is>
      </c>
      <c r="Q172" t="n">
        <v>80</v>
      </c>
      <c r="R172" t="n">
        <v>3</v>
      </c>
      <c r="S172" t="inlineStr">
        <is>
          <t>2026-02-01</t>
        </is>
      </c>
    </row>
    <row r="173">
      <c r="A173" t="inlineStr">
        <is>
          <t>average_ppe__20240128</t>
        </is>
      </c>
      <c r="B173" t="n">
        <v>172</v>
      </c>
      <c r="C173" t="inlineStr">
        <is>
          <t>Average PP&amp;E</t>
        </is>
      </c>
      <c r="D173" t="inlineStr">
        <is>
          <t>Average beginning and ending PP&amp;E.</t>
        </is>
      </c>
      <c r="E173" t="inlineStr">
        <is>
          <t>fixed_asset.average_ppe.2024-01-28</t>
        </is>
      </c>
      <c r="F173" t="inlineStr">
        <is>
          <t>fixed_asset</t>
        </is>
      </c>
      <c r="G173" t="inlineStr">
        <is>
          <t>ALT DuPont</t>
        </is>
      </c>
      <c r="H173" t="inlineStr">
        <is>
          <t>C46</t>
        </is>
      </c>
      <c r="I173">
        <f>(B44+C44)/2</f>
        <v/>
      </c>
      <c r="J173" t="n">
        <v>1407712.5</v>
      </c>
      <c r="K173" t="n">
        <v>0.01</v>
      </c>
      <c r="L173" t="inlineStr">
        <is>
          <t>ppe_source_link__20240128,ppe_source_link__20230129</t>
        </is>
      </c>
      <c r="M173" t="inlineStr">
        <is>
          <t>Average PP&amp;E = (Prior PP&amp;E + Current PP&amp;E) / 2.</t>
        </is>
      </c>
      <c r="O173" t="inlineStr">
        <is>
          <t>pending</t>
        </is>
      </c>
      <c r="P173" t="inlineStr">
        <is>
          <t>average_ppe</t>
        </is>
      </c>
      <c r="Q173" t="n">
        <v>81</v>
      </c>
      <c r="R173" t="n">
        <v>1</v>
      </c>
      <c r="S173" t="inlineStr">
        <is>
          <t>2024-01-28</t>
        </is>
      </c>
    </row>
    <row r="174">
      <c r="A174" t="inlineStr">
        <is>
          <t>average_ppe__20250202</t>
        </is>
      </c>
      <c r="B174" t="n">
        <v>173</v>
      </c>
      <c r="C174" t="inlineStr">
        <is>
          <t>Average PP&amp;E</t>
        </is>
      </c>
      <c r="D174" t="inlineStr">
        <is>
          <t>Average beginning and ending PP&amp;E.</t>
        </is>
      </c>
      <c r="E174" t="inlineStr">
        <is>
          <t>fixed_asset.average_ppe.2025-02-02</t>
        </is>
      </c>
      <c r="F174" t="inlineStr">
        <is>
          <t>fixed_asset</t>
        </is>
      </c>
      <c r="G174" t="inlineStr">
        <is>
          <t>ALT DuPont</t>
        </is>
      </c>
      <c r="H174" t="inlineStr">
        <is>
          <t>D46</t>
        </is>
      </c>
      <c r="I174">
        <f>(C44+D44)/2</f>
        <v/>
      </c>
      <c r="J174" t="n">
        <v>1663214</v>
      </c>
      <c r="K174" t="n">
        <v>0.01</v>
      </c>
      <c r="L174" t="inlineStr">
        <is>
          <t>ppe_source_link__20250202,ppe_source_link__20240128</t>
        </is>
      </c>
      <c r="M174" t="inlineStr">
        <is>
          <t>Average PP&amp;E = (Prior PP&amp;E + Current PP&amp;E) / 2.</t>
        </is>
      </c>
      <c r="O174" t="inlineStr">
        <is>
          <t>pending</t>
        </is>
      </c>
      <c r="P174" t="inlineStr">
        <is>
          <t>average_ppe</t>
        </is>
      </c>
      <c r="Q174" t="n">
        <v>81</v>
      </c>
      <c r="R174" t="n">
        <v>2</v>
      </c>
      <c r="S174" t="inlineStr">
        <is>
          <t>2025-02-02</t>
        </is>
      </c>
    </row>
    <row r="175">
      <c r="A175" t="inlineStr">
        <is>
          <t>average_ppe__20260201</t>
        </is>
      </c>
      <c r="B175" t="n">
        <v>174</v>
      </c>
      <c r="C175" t="inlineStr">
        <is>
          <t>Average PP&amp;E</t>
        </is>
      </c>
      <c r="D175" t="inlineStr">
        <is>
          <t>Average beginning and ending PP&amp;E.</t>
        </is>
      </c>
      <c r="E175" t="inlineStr">
        <is>
          <t>fixed_asset.average_ppe.2026-02-01</t>
        </is>
      </c>
      <c r="F175" t="inlineStr">
        <is>
          <t>fixed_asset</t>
        </is>
      </c>
      <c r="G175" t="inlineStr">
        <is>
          <t>ALT DuPont</t>
        </is>
      </c>
      <c r="H175" t="inlineStr">
        <is>
          <t>E46</t>
        </is>
      </c>
      <c r="I175">
        <f>(D44+E44)/2</f>
        <v/>
      </c>
      <c r="J175" t="n">
        <v>1907168.5</v>
      </c>
      <c r="K175" t="n">
        <v>0.01</v>
      </c>
      <c r="L175" t="inlineStr">
        <is>
          <t>ppe_source_link__20260201,ppe_source_link__20250202</t>
        </is>
      </c>
      <c r="M175" t="inlineStr">
        <is>
          <t>Average PP&amp;E = (Prior PP&amp;E + Current PP&amp;E) / 2.</t>
        </is>
      </c>
      <c r="O175" t="inlineStr">
        <is>
          <t>pending</t>
        </is>
      </c>
      <c r="P175" t="inlineStr">
        <is>
          <t>average_ppe</t>
        </is>
      </c>
      <c r="Q175" t="n">
        <v>81</v>
      </c>
      <c r="R175" t="n">
        <v>3</v>
      </c>
      <c r="S175" t="inlineStr">
        <is>
          <t>2026-02-01</t>
        </is>
      </c>
    </row>
    <row r="176">
      <c r="A176" t="inlineStr">
        <is>
          <t>ppe_turnover__20240128</t>
        </is>
      </c>
      <c r="B176" t="n">
        <v>175</v>
      </c>
      <c r="C176" t="inlineStr">
        <is>
          <t>PP&amp;E Turnover</t>
        </is>
      </c>
      <c r="D176" t="inlineStr">
        <is>
          <t>Revenue divided by Average PP&amp;E.</t>
        </is>
      </c>
      <c r="E176" t="inlineStr">
        <is>
          <t>fixed_asset.ppe_turnover.2024-01-28</t>
        </is>
      </c>
      <c r="F176" t="inlineStr">
        <is>
          <t>fixed_asset</t>
        </is>
      </c>
      <c r="G176" t="inlineStr">
        <is>
          <t>ALT DuPont</t>
        </is>
      </c>
      <c r="H176" t="inlineStr">
        <is>
          <t>C47</t>
        </is>
      </c>
      <c r="I176">
        <f>IF(C46=0,NA(),'Condensed Financials'!C34/C46)</f>
        <v/>
      </c>
      <c r="J176" t="n">
        <v>6.83326886704494</v>
      </c>
      <c r="K176" t="n">
        <v>0.01</v>
      </c>
      <c r="L176" t="inlineStr">
        <is>
          <t>revenue_link__20240128,average_ppe__20240128</t>
        </is>
      </c>
      <c r="M176" t="inlineStr">
        <is>
          <t>PP&amp;E Turnover = Revenue / Average PP&amp;E.|A zero Average PP&amp;E denominator makes the ratio undefined (#N/A).|The ratio alone does not imply under- or over-investment.</t>
        </is>
      </c>
      <c r="O176" t="inlineStr">
        <is>
          <t>pending</t>
        </is>
      </c>
      <c r="P176" t="inlineStr">
        <is>
          <t>ppe_turnover</t>
        </is>
      </c>
      <c r="Q176" t="n">
        <v>82</v>
      </c>
      <c r="R176" t="n">
        <v>1</v>
      </c>
      <c r="S176" t="inlineStr">
        <is>
          <t>2024-01-28</t>
        </is>
      </c>
    </row>
    <row r="177">
      <c r="A177" t="inlineStr">
        <is>
          <t>ppe_turnover__20250202</t>
        </is>
      </c>
      <c r="B177" t="n">
        <v>176</v>
      </c>
      <c r="C177" t="inlineStr">
        <is>
          <t>PP&amp;E Turnover</t>
        </is>
      </c>
      <c r="D177" t="inlineStr">
        <is>
          <t>Revenue divided by Average PP&amp;E.</t>
        </is>
      </c>
      <c r="E177" t="inlineStr">
        <is>
          <t>fixed_asset.ppe_turnover.2025-02-02</t>
        </is>
      </c>
      <c r="F177" t="inlineStr">
        <is>
          <t>fixed_asset</t>
        </is>
      </c>
      <c r="G177" t="inlineStr">
        <is>
          <t>ALT DuPont</t>
        </is>
      </c>
      <c r="H177" t="inlineStr">
        <is>
          <t>D47</t>
        </is>
      </c>
      <c r="I177">
        <f>IF(D46=0,NA(),'Condensed Financials'!D34/D46)</f>
        <v/>
      </c>
      <c r="J177" t="n">
        <v>6.366063537223712</v>
      </c>
      <c r="K177" t="n">
        <v>0.01</v>
      </c>
      <c r="L177" t="inlineStr">
        <is>
          <t>revenue_link__20250202,average_ppe__20250202</t>
        </is>
      </c>
      <c r="M177" t="inlineStr">
        <is>
          <t>PP&amp;E Turnover = Revenue / Average PP&amp;E.|A zero Average PP&amp;E denominator makes the ratio undefined (#N/A).|The ratio alone does not imply under- or over-investment.</t>
        </is>
      </c>
      <c r="O177" t="inlineStr">
        <is>
          <t>pending</t>
        </is>
      </c>
      <c r="P177" t="inlineStr">
        <is>
          <t>ppe_turnover</t>
        </is>
      </c>
      <c r="Q177" t="n">
        <v>82</v>
      </c>
      <c r="R177" t="n">
        <v>2</v>
      </c>
      <c r="S177" t="inlineStr">
        <is>
          <t>2025-02-02</t>
        </is>
      </c>
    </row>
    <row r="178">
      <c r="A178" t="inlineStr">
        <is>
          <t>ppe_turnover__20260201</t>
        </is>
      </c>
      <c r="B178" t="n">
        <v>177</v>
      </c>
      <c r="C178" t="inlineStr">
        <is>
          <t>PP&amp;E Turnover</t>
        </is>
      </c>
      <c r="D178" t="inlineStr">
        <is>
          <t>Revenue divided by Average PP&amp;E.</t>
        </is>
      </c>
      <c r="E178" t="inlineStr">
        <is>
          <t>fixed_asset.ppe_turnover.2026-02-01</t>
        </is>
      </c>
      <c r="F178" t="inlineStr">
        <is>
          <t>fixed_asset</t>
        </is>
      </c>
      <c r="G178" t="inlineStr">
        <is>
          <t>ALT DuPont</t>
        </is>
      </c>
      <c r="H178" t="inlineStr">
        <is>
          <t>E47</t>
        </is>
      </c>
      <c r="I178">
        <f>IF(E46=0,NA(),'Condensed Financials'!E34/E46)</f>
        <v/>
      </c>
      <c r="J178" t="n">
        <v>5.821509740749178</v>
      </c>
      <c r="K178" t="n">
        <v>0.01</v>
      </c>
      <c r="L178" t="inlineStr">
        <is>
          <t>revenue_link__20260201,average_ppe__20260201</t>
        </is>
      </c>
      <c r="M178" t="inlineStr">
        <is>
          <t>PP&amp;E Turnover = Revenue / Average PP&amp;E.|A zero Average PP&amp;E denominator makes the ratio undefined (#N/A).|The ratio alone does not imply under- or over-investment.</t>
        </is>
      </c>
      <c r="O178" t="inlineStr">
        <is>
          <t>pending</t>
        </is>
      </c>
      <c r="P178" t="inlineStr">
        <is>
          <t>ppe_turnover</t>
        </is>
      </c>
      <c r="Q178" t="n">
        <v>82</v>
      </c>
      <c r="R178" t="n">
        <v>3</v>
      </c>
      <c r="S178" t="inlineStr">
        <is>
          <t>2026-02-01</t>
        </is>
      </c>
    </row>
    <row r="179">
      <c r="A179" t="inlineStr">
        <is>
          <t>ppe_intensity__20240128</t>
        </is>
      </c>
      <c r="B179" t="n">
        <v>178</v>
      </c>
      <c r="C179" t="inlineStr">
        <is>
          <t>PP&amp;E Intensity</t>
        </is>
      </c>
      <c r="D179" t="inlineStr">
        <is>
          <t>Average PP&amp;E divided by Revenue.</t>
        </is>
      </c>
      <c r="E179" t="inlineStr">
        <is>
          <t>fixed_asset.ppe_intensity.2024-01-28</t>
        </is>
      </c>
      <c r="F179" t="inlineStr">
        <is>
          <t>fixed_asset</t>
        </is>
      </c>
      <c r="G179" t="inlineStr">
        <is>
          <t>ALT DuPont</t>
        </is>
      </c>
      <c r="H179" t="inlineStr">
        <is>
          <t>C48</t>
        </is>
      </c>
      <c r="I179">
        <f>IF('Condensed Financials'!C34=0,NA(),C46/'Condensed Financials'!C34)</f>
        <v/>
      </c>
      <c r="J179" t="n">
        <v>0.1463428440263396</v>
      </c>
      <c r="K179" t="n">
        <v>0.01</v>
      </c>
      <c r="L179" t="inlineStr">
        <is>
          <t>revenue_link__20240128,average_ppe__20240128</t>
        </is>
      </c>
      <c r="M179" t="inlineStr">
        <is>
          <t>PP&amp;E Intensity = Average PP&amp;E / Revenue.|When defined, PP&amp;E Turnover × PP&amp;E Intensity = 1.|A higher intensity is not automatically bad; diagnose the asset mix first.</t>
        </is>
      </c>
      <c r="O179" t="inlineStr">
        <is>
          <t>pending</t>
        </is>
      </c>
      <c r="P179" t="inlineStr">
        <is>
          <t>ppe_intensity</t>
        </is>
      </c>
      <c r="Q179" t="n">
        <v>83</v>
      </c>
      <c r="R179" t="n">
        <v>1</v>
      </c>
      <c r="S179" t="inlineStr">
        <is>
          <t>2024-01-28</t>
        </is>
      </c>
    </row>
    <row r="180">
      <c r="A180" t="inlineStr">
        <is>
          <t>ppe_intensity__20250202</t>
        </is>
      </c>
      <c r="B180" t="n">
        <v>179</v>
      </c>
      <c r="C180" t="inlineStr">
        <is>
          <t>PP&amp;E Intensity</t>
        </is>
      </c>
      <c r="D180" t="inlineStr">
        <is>
          <t>Average PP&amp;E divided by Revenue.</t>
        </is>
      </c>
      <c r="E180" t="inlineStr">
        <is>
          <t>fixed_asset.ppe_intensity.2025-02-02</t>
        </is>
      </c>
      <c r="F180" t="inlineStr">
        <is>
          <t>fixed_asset</t>
        </is>
      </c>
      <c r="G180" t="inlineStr">
        <is>
          <t>ALT DuPont</t>
        </is>
      </c>
      <c r="H180" t="inlineStr">
        <is>
          <t>D48</t>
        </is>
      </c>
      <c r="I180">
        <f>IF('Condensed Financials'!D34=0,NA(),D46/'Condensed Financials'!D34)</f>
        <v/>
      </c>
      <c r="J180" t="n">
        <v>0.1570829436672741</v>
      </c>
      <c r="K180" t="n">
        <v>0.01</v>
      </c>
      <c r="L180" t="inlineStr">
        <is>
          <t>revenue_link__20250202,average_ppe__20250202</t>
        </is>
      </c>
      <c r="M180" t="inlineStr">
        <is>
          <t>PP&amp;E Intensity = Average PP&amp;E / Revenue.|When defined, PP&amp;E Turnover × PP&amp;E Intensity = 1.|A higher intensity is not automatically bad; diagnose the asset mix first.</t>
        </is>
      </c>
      <c r="O180" t="inlineStr">
        <is>
          <t>pending</t>
        </is>
      </c>
      <c r="P180" t="inlineStr">
        <is>
          <t>ppe_intensity</t>
        </is>
      </c>
      <c r="Q180" t="n">
        <v>83</v>
      </c>
      <c r="R180" t="n">
        <v>2</v>
      </c>
      <c r="S180" t="inlineStr">
        <is>
          <t>2025-02-02</t>
        </is>
      </c>
    </row>
    <row r="181">
      <c r="A181" t="inlineStr">
        <is>
          <t>ppe_intensity__20260201</t>
        </is>
      </c>
      <c r="B181" t="n">
        <v>180</v>
      </c>
      <c r="C181" t="inlineStr">
        <is>
          <t>PP&amp;E Intensity</t>
        </is>
      </c>
      <c r="D181" t="inlineStr">
        <is>
          <t>Average PP&amp;E divided by Revenue.</t>
        </is>
      </c>
      <c r="E181" t="inlineStr">
        <is>
          <t>fixed_asset.ppe_intensity.2026-02-01</t>
        </is>
      </c>
      <c r="F181" t="inlineStr">
        <is>
          <t>fixed_asset</t>
        </is>
      </c>
      <c r="G181" t="inlineStr">
        <is>
          <t>ALT DuPont</t>
        </is>
      </c>
      <c r="H181" t="inlineStr">
        <is>
          <t>E48</t>
        </is>
      </c>
      <c r="I181">
        <f>IF('Condensed Financials'!E34=0,NA(),E46/'Condensed Financials'!E34)</f>
        <v/>
      </c>
      <c r="J181" t="n">
        <v>0.1717767459874264</v>
      </c>
      <c r="K181" t="n">
        <v>0.01</v>
      </c>
      <c r="L181" t="inlineStr">
        <is>
          <t>revenue_link__20260201,average_ppe__20260201</t>
        </is>
      </c>
      <c r="M181" t="inlineStr">
        <is>
          <t>PP&amp;E Intensity = Average PP&amp;E / Revenue.|When defined, PP&amp;E Turnover × PP&amp;E Intensity = 1.|A higher intensity is not automatically bad; diagnose the asset mix first.</t>
        </is>
      </c>
      <c r="O181" t="inlineStr">
        <is>
          <t>pending</t>
        </is>
      </c>
      <c r="P181" t="inlineStr">
        <is>
          <t>ppe_intensity</t>
        </is>
      </c>
      <c r="Q181" t="n">
        <v>83</v>
      </c>
      <c r="R181" t="n">
        <v>3</v>
      </c>
      <c r="S181" t="inlineStr">
        <is>
          <t>2026-02-01</t>
        </is>
      </c>
    </row>
    <row r="182">
      <c r="A182" t="inlineStr">
        <is>
          <t>ppe_change__20240128</t>
        </is>
      </c>
      <c r="B182" t="n">
        <v>181</v>
      </c>
      <c r="C182" t="inlineStr">
        <is>
          <t>Change in PP&amp;E</t>
        </is>
      </c>
      <c r="D182" t="inlineStr">
        <is>
          <t>Current PP&amp;E minus prior PP&amp;E.</t>
        </is>
      </c>
      <c r="E182" t="inlineStr">
        <is>
          <t>fixed_asset.ppe_change.2024-01-28</t>
        </is>
      </c>
      <c r="F182" t="inlineStr">
        <is>
          <t>fixed_asset</t>
        </is>
      </c>
      <c r="G182" t="inlineStr">
        <is>
          <t>ALT DuPont</t>
        </is>
      </c>
      <c r="H182" t="inlineStr">
        <is>
          <t>C49</t>
        </is>
      </c>
      <c r="I182">
        <f>C44-B44</f>
        <v/>
      </c>
      <c r="J182" t="n">
        <v>276197</v>
      </c>
      <c r="K182" t="n">
        <v>0.01</v>
      </c>
      <c r="L182" t="inlineStr">
        <is>
          <t>ppe_source_link__20240128,ppe_source_link__20230129</t>
        </is>
      </c>
      <c r="M182" t="inlineStr">
        <is>
          <t>Change in PP&amp;E = Current PP&amp;E − Prior PP&amp;E.|This is not a capex amount; do not infer purchases of PP&amp;E from the change alone.</t>
        </is>
      </c>
      <c r="O182" t="inlineStr">
        <is>
          <t>pending</t>
        </is>
      </c>
      <c r="P182" t="inlineStr">
        <is>
          <t>ppe_change</t>
        </is>
      </c>
      <c r="Q182" t="n">
        <v>84</v>
      </c>
      <c r="R182" t="n">
        <v>1</v>
      </c>
      <c r="S182" t="inlineStr">
        <is>
          <t>2024-01-28</t>
        </is>
      </c>
    </row>
    <row r="183">
      <c r="A183" t="inlineStr">
        <is>
          <t>ppe_change__20250202</t>
        </is>
      </c>
      <c r="B183" t="n">
        <v>182</v>
      </c>
      <c r="C183" t="inlineStr">
        <is>
          <t>Change in PP&amp;E</t>
        </is>
      </c>
      <c r="D183" t="inlineStr">
        <is>
          <t>Current PP&amp;E minus prior PP&amp;E.</t>
        </is>
      </c>
      <c r="E183" t="inlineStr">
        <is>
          <t>fixed_asset.ppe_change.2025-02-02</t>
        </is>
      </c>
      <c r="F183" t="inlineStr">
        <is>
          <t>fixed_asset</t>
        </is>
      </c>
      <c r="G183" t="inlineStr">
        <is>
          <t>ALT DuPont</t>
        </is>
      </c>
      <c r="H183" t="inlineStr">
        <is>
          <t>D49</t>
        </is>
      </c>
      <c r="I183">
        <f>D44-C44</f>
        <v/>
      </c>
      <c r="J183" t="n">
        <v>234806</v>
      </c>
      <c r="K183" t="n">
        <v>0.01</v>
      </c>
      <c r="L183" t="inlineStr">
        <is>
          <t>ppe_source_link__20250202,ppe_source_link__20240128</t>
        </is>
      </c>
      <c r="M183" t="inlineStr">
        <is>
          <t>Change in PP&amp;E = Current PP&amp;E − Prior PP&amp;E.|This is not a capex amount; do not infer purchases of PP&amp;E from the change alone.</t>
        </is>
      </c>
      <c r="O183" t="inlineStr">
        <is>
          <t>pending</t>
        </is>
      </c>
      <c r="P183" t="inlineStr">
        <is>
          <t>ppe_change</t>
        </is>
      </c>
      <c r="Q183" t="n">
        <v>84</v>
      </c>
      <c r="R183" t="n">
        <v>2</v>
      </c>
      <c r="S183" t="inlineStr">
        <is>
          <t>2025-02-02</t>
        </is>
      </c>
    </row>
    <row r="184">
      <c r="A184" t="inlineStr">
        <is>
          <t>ppe_change__20260201</t>
        </is>
      </c>
      <c r="B184" t="n">
        <v>183</v>
      </c>
      <c r="C184" t="inlineStr">
        <is>
          <t>Change in PP&amp;E</t>
        </is>
      </c>
      <c r="D184" t="inlineStr">
        <is>
          <t>Current PP&amp;E minus prior PP&amp;E.</t>
        </is>
      </c>
      <c r="E184" t="inlineStr">
        <is>
          <t>fixed_asset.ppe_change.2026-02-01</t>
        </is>
      </c>
      <c r="F184" t="inlineStr">
        <is>
          <t>fixed_asset</t>
        </is>
      </c>
      <c r="G184" t="inlineStr">
        <is>
          <t>ALT DuPont</t>
        </is>
      </c>
      <c r="H184" t="inlineStr">
        <is>
          <t>E49</t>
        </is>
      </c>
      <c r="I184">
        <f>E44-D44</f>
        <v/>
      </c>
      <c r="J184" t="n">
        <v>253103</v>
      </c>
      <c r="K184" t="n">
        <v>0.01</v>
      </c>
      <c r="L184" t="inlineStr">
        <is>
          <t>ppe_source_link__20260201,ppe_source_link__20250202</t>
        </is>
      </c>
      <c r="M184" t="inlineStr">
        <is>
          <t>Change in PP&amp;E = Current PP&amp;E − Prior PP&amp;E.|This is not a capex amount; do not infer purchases of PP&amp;E from the change alone.</t>
        </is>
      </c>
      <c r="O184" t="inlineStr">
        <is>
          <t>pending</t>
        </is>
      </c>
      <c r="P184" t="inlineStr">
        <is>
          <t>ppe_change</t>
        </is>
      </c>
      <c r="Q184" t="n">
        <v>84</v>
      </c>
      <c r="R184" t="n">
        <v>3</v>
      </c>
      <c r="S184" t="inlineStr">
        <is>
          <t>2026-02-01</t>
        </is>
      </c>
    </row>
    <row r="185">
      <c r="A185" t="inlineStr">
        <is>
          <t>da_to_revenue__20230129</t>
        </is>
      </c>
      <c r="B185" t="n">
        <v>184</v>
      </c>
      <c r="C185" t="inlineStr">
        <is>
          <t>D&amp;A / Revenue</t>
        </is>
      </c>
      <c r="D185" t="inlineStr">
        <is>
          <t>Combined D&amp;A divided by Revenue.</t>
        </is>
      </c>
      <c r="E185" t="inlineStr">
        <is>
          <t>fixed_asset.da_to_revenue.2023-01-29</t>
        </is>
      </c>
      <c r="F185" t="inlineStr">
        <is>
          <t>fixed_asset</t>
        </is>
      </c>
      <c r="G185" t="inlineStr">
        <is>
          <t>ALT DuPont</t>
        </is>
      </c>
      <c r="H185" t="inlineStr">
        <is>
          <t>B50</t>
        </is>
      </c>
      <c r="I185">
        <f>IF('Condensed Financials'!B34=0,NA(),B45/'Condensed Financials'!B34)</f>
        <v/>
      </c>
      <c r="J185" t="n">
        <v>0.03597686362326056</v>
      </c>
      <c r="K185" t="n">
        <v>0.01</v>
      </c>
      <c r="L185" t="inlineStr">
        <is>
          <t>da_source_link__20230129,revenue_link__20230129</t>
        </is>
      </c>
      <c r="M185" t="inlineStr">
        <is>
          <t>D&amp;A / Revenue = Depreciation &amp; Amortisation / Revenue.|A zero Revenue denominator makes the ratio undefined (#N/A).</t>
        </is>
      </c>
      <c r="O185" t="inlineStr">
        <is>
          <t>pending</t>
        </is>
      </c>
      <c r="P185" t="inlineStr">
        <is>
          <t>da_to_revenue</t>
        </is>
      </c>
      <c r="Q185" t="n">
        <v>85</v>
      </c>
      <c r="R185" t="n">
        <v>0</v>
      </c>
      <c r="S185" t="inlineStr">
        <is>
          <t>2023-01-29</t>
        </is>
      </c>
    </row>
    <row r="186">
      <c r="A186" t="inlineStr">
        <is>
          <t>da_to_revenue__20240128</t>
        </is>
      </c>
      <c r="B186" t="n">
        <v>185</v>
      </c>
      <c r="C186" t="inlineStr">
        <is>
          <t>D&amp;A / Revenue</t>
        </is>
      </c>
      <c r="D186" t="inlineStr">
        <is>
          <t>Combined D&amp;A divided by Revenue.</t>
        </is>
      </c>
      <c r="E186" t="inlineStr">
        <is>
          <t>fixed_asset.da_to_revenue.2024-01-28</t>
        </is>
      </c>
      <c r="F186" t="inlineStr">
        <is>
          <t>fixed_asset</t>
        </is>
      </c>
      <c r="G186" t="inlineStr">
        <is>
          <t>ALT DuPont</t>
        </is>
      </c>
      <c r="H186" t="inlineStr">
        <is>
          <t>C50</t>
        </is>
      </c>
      <c r="I186">
        <f>IF('Condensed Financials'!C34=0,NA(),C45/'Condensed Financials'!C34)</f>
        <v/>
      </c>
      <c r="J186" t="n">
        <v>0.03943996628437186</v>
      </c>
      <c r="K186" t="n">
        <v>0.01</v>
      </c>
      <c r="L186" t="inlineStr">
        <is>
          <t>da_source_link__20240128,revenue_link__20240128</t>
        </is>
      </c>
      <c r="M186" t="inlineStr">
        <is>
          <t>D&amp;A / Revenue = Depreciation &amp; Amortisation / Revenue.|A zero Revenue denominator makes the ratio undefined (#N/A).</t>
        </is>
      </c>
      <c r="O186" t="inlineStr">
        <is>
          <t>pending</t>
        </is>
      </c>
      <c r="P186" t="inlineStr">
        <is>
          <t>da_to_revenue</t>
        </is>
      </c>
      <c r="Q186" t="n">
        <v>85</v>
      </c>
      <c r="R186" t="n">
        <v>1</v>
      </c>
      <c r="S186" t="inlineStr">
        <is>
          <t>2024-01-28</t>
        </is>
      </c>
    </row>
    <row r="187">
      <c r="A187" t="inlineStr">
        <is>
          <t>da_to_revenue__20250202</t>
        </is>
      </c>
      <c r="B187" t="n">
        <v>186</v>
      </c>
      <c r="C187" t="inlineStr">
        <is>
          <t>D&amp;A / Revenue</t>
        </is>
      </c>
      <c r="D187" t="inlineStr">
        <is>
          <t>Combined D&amp;A divided by Revenue.</t>
        </is>
      </c>
      <c r="E187" t="inlineStr">
        <is>
          <t>fixed_asset.da_to_revenue.2025-02-02</t>
        </is>
      </c>
      <c r="F187" t="inlineStr">
        <is>
          <t>fixed_asset</t>
        </is>
      </c>
      <c r="G187" t="inlineStr">
        <is>
          <t>ALT DuPont</t>
        </is>
      </c>
      <c r="H187" t="inlineStr">
        <is>
          <t>D50</t>
        </is>
      </c>
      <c r="I187">
        <f>IF('Condensed Financials'!D34=0,NA(),D45/'Condensed Financials'!D34)</f>
        <v/>
      </c>
      <c r="J187" t="n">
        <v>0.04217214642137806</v>
      </c>
      <c r="K187" t="n">
        <v>0.01</v>
      </c>
      <c r="L187" t="inlineStr">
        <is>
          <t>da_source_link__20250202,revenue_link__20250202</t>
        </is>
      </c>
      <c r="M187" t="inlineStr">
        <is>
          <t>D&amp;A / Revenue = Depreciation &amp; Amortisation / Revenue.|A zero Revenue denominator makes the ratio undefined (#N/A).</t>
        </is>
      </c>
      <c r="O187" t="inlineStr">
        <is>
          <t>pending</t>
        </is>
      </c>
      <c r="P187" t="inlineStr">
        <is>
          <t>da_to_revenue</t>
        </is>
      </c>
      <c r="Q187" t="n">
        <v>85</v>
      </c>
      <c r="R187" t="n">
        <v>2</v>
      </c>
      <c r="S187" t="inlineStr">
        <is>
          <t>2025-02-02</t>
        </is>
      </c>
    </row>
    <row r="188">
      <c r="A188" t="inlineStr">
        <is>
          <t>da_to_revenue__20260201</t>
        </is>
      </c>
      <c r="B188" t="n">
        <v>187</v>
      </c>
      <c r="C188" t="inlineStr">
        <is>
          <t>D&amp;A / Revenue</t>
        </is>
      </c>
      <c r="D188" t="inlineStr">
        <is>
          <t>Combined D&amp;A divided by Revenue.</t>
        </is>
      </c>
      <c r="E188" t="inlineStr">
        <is>
          <t>fixed_asset.da_to_revenue.2026-02-01</t>
        </is>
      </c>
      <c r="F188" t="inlineStr">
        <is>
          <t>fixed_asset</t>
        </is>
      </c>
      <c r="G188" t="inlineStr">
        <is>
          <t>ALT DuPont</t>
        </is>
      </c>
      <c r="H188" t="inlineStr">
        <is>
          <t>E50</t>
        </is>
      </c>
      <c r="I188">
        <f>IF('Condensed Financials'!E34=0,NA(),E45/'Condensed Financials'!E34)</f>
        <v/>
      </c>
      <c r="J188" t="n">
        <v>0.04469475618323636</v>
      </c>
      <c r="K188" t="n">
        <v>0.01</v>
      </c>
      <c r="L188" t="inlineStr">
        <is>
          <t>da_source_link__20260201,revenue_link__20260201</t>
        </is>
      </c>
      <c r="M188" t="inlineStr">
        <is>
          <t>D&amp;A / Revenue = Depreciation &amp; Amortisation / Revenue.|A zero Revenue denominator makes the ratio undefined (#N/A).</t>
        </is>
      </c>
      <c r="O188" t="inlineStr">
        <is>
          <t>pending</t>
        </is>
      </c>
      <c r="P188" t="inlineStr">
        <is>
          <t>da_to_revenue</t>
        </is>
      </c>
      <c r="Q188" t="n">
        <v>85</v>
      </c>
      <c r="R188" t="n">
        <v>3</v>
      </c>
      <c r="S188" t="inlineStr">
        <is>
          <t>2026-02-01</t>
        </is>
      </c>
    </row>
    <row r="189">
      <c r="A189" t="inlineStr">
        <is>
          <t>da_to_average_ppe__20240128</t>
        </is>
      </c>
      <c r="B189" t="n">
        <v>188</v>
      </c>
      <c r="C189" t="inlineStr">
        <is>
          <t>D&amp;A / Average PP&amp;E</t>
        </is>
      </c>
      <c r="D189" t="inlineStr">
        <is>
          <t>Combined D&amp;A divided by Average PP&amp;E (context ratio only).</t>
        </is>
      </c>
      <c r="E189" t="inlineStr">
        <is>
          <t>fixed_asset.da_to_average_ppe.2024-01-28</t>
        </is>
      </c>
      <c r="F189" t="inlineStr">
        <is>
          <t>fixed_asset</t>
        </is>
      </c>
      <c r="G189" t="inlineStr">
        <is>
          <t>ALT DuPont</t>
        </is>
      </c>
      <c r="H189" t="inlineStr">
        <is>
          <t>C51</t>
        </is>
      </c>
      <c r="I189">
        <f>IF(C46=0,NA(),C45/C46)</f>
        <v/>
      </c>
      <c r="J189" t="n">
        <v>0.2695038937283004</v>
      </c>
      <c r="K189" t="n">
        <v>0.01</v>
      </c>
      <c r="L189" t="inlineStr">
        <is>
          <t>da_source_link__20240128,average_ppe__20240128</t>
        </is>
      </c>
      <c r="M189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189" t="inlineStr">
        <is>
          <t>pending</t>
        </is>
      </c>
      <c r="P189" t="inlineStr">
        <is>
          <t>da_to_average_ppe</t>
        </is>
      </c>
      <c r="Q189" t="n">
        <v>86</v>
      </c>
      <c r="R189" t="n">
        <v>1</v>
      </c>
      <c r="S189" t="inlineStr">
        <is>
          <t>2024-01-28</t>
        </is>
      </c>
    </row>
    <row r="190">
      <c r="A190" t="inlineStr">
        <is>
          <t>da_to_average_ppe__20250202</t>
        </is>
      </c>
      <c r="B190" t="n">
        <v>189</v>
      </c>
      <c r="C190" t="inlineStr">
        <is>
          <t>D&amp;A / Average PP&amp;E</t>
        </is>
      </c>
      <c r="D190" t="inlineStr">
        <is>
          <t>Combined D&amp;A divided by Average PP&amp;E (context ratio only).</t>
        </is>
      </c>
      <c r="E190" t="inlineStr">
        <is>
          <t>fixed_asset.da_to_average_ppe.2025-02-02</t>
        </is>
      </c>
      <c r="F190" t="inlineStr">
        <is>
          <t>fixed_asset</t>
        </is>
      </c>
      <c r="G190" t="inlineStr">
        <is>
          <t>ALT DuPont</t>
        </is>
      </c>
      <c r="H190" t="inlineStr">
        <is>
          <t>D51</t>
        </is>
      </c>
      <c r="I190">
        <f>IF(D46=0,NA(),D45/D46)</f>
        <v/>
      </c>
      <c r="J190" t="n">
        <v>0.2684705636195944</v>
      </c>
      <c r="K190" t="n">
        <v>0.01</v>
      </c>
      <c r="L190" t="inlineStr">
        <is>
          <t>da_source_link__20250202,average_ppe__20250202</t>
        </is>
      </c>
      <c r="M190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190" t="inlineStr">
        <is>
          <t>pending</t>
        </is>
      </c>
      <c r="P190" t="inlineStr">
        <is>
          <t>da_to_average_ppe</t>
        </is>
      </c>
      <c r="Q190" t="n">
        <v>86</v>
      </c>
      <c r="R190" t="n">
        <v>2</v>
      </c>
      <c r="S190" t="inlineStr">
        <is>
          <t>2025-02-02</t>
        </is>
      </c>
    </row>
    <row r="191">
      <c r="A191" t="inlineStr">
        <is>
          <t>da_to_average_ppe__20260201</t>
        </is>
      </c>
      <c r="B191" t="n">
        <v>190</v>
      </c>
      <c r="C191" t="inlineStr">
        <is>
          <t>D&amp;A / Average PP&amp;E</t>
        </is>
      </c>
      <c r="D191" t="inlineStr">
        <is>
          <t>Combined D&amp;A divided by Average PP&amp;E (context ratio only).</t>
        </is>
      </c>
      <c r="E191" t="inlineStr">
        <is>
          <t>fixed_asset.da_to_average_ppe.2026-02-01</t>
        </is>
      </c>
      <c r="F191" t="inlineStr">
        <is>
          <t>fixed_asset</t>
        </is>
      </c>
      <c r="G191" t="inlineStr">
        <is>
          <t>ALT DuPont</t>
        </is>
      </c>
      <c r="H191" t="inlineStr">
        <is>
          <t>E51</t>
        </is>
      </c>
      <c r="I191">
        <f>IF(E46=0,NA(),E45/E46)</f>
        <v/>
      </c>
      <c r="J191" t="n">
        <v>0.2601909584811201</v>
      </c>
      <c r="K191" t="n">
        <v>0.01</v>
      </c>
      <c r="L191" t="inlineStr">
        <is>
          <t>da_source_link__20260201,average_ppe__20260201</t>
        </is>
      </c>
      <c r="M191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191" t="inlineStr">
        <is>
          <t>pending</t>
        </is>
      </c>
      <c r="P191" t="inlineStr">
        <is>
          <t>da_to_average_ppe</t>
        </is>
      </c>
      <c r="Q191" t="n">
        <v>86</v>
      </c>
      <c r="R191" t="n">
        <v>3</v>
      </c>
      <c r="S191" t="inlineStr">
        <is>
          <t>2026-02-01</t>
        </is>
      </c>
    </row>
    <row r="192">
      <c r="A192" t="inlineStr">
        <is>
          <t>lease_liability_source_link__20230129</t>
        </is>
      </c>
      <c r="B192" t="n">
        <v>191</v>
      </c>
      <c r="C192" t="inlineStr">
        <is>
          <t>Lease Liability</t>
        </is>
      </c>
      <c r="D192" t="inlineStr">
        <is>
          <t>Link the reported aggregate lease-liability balance.</t>
        </is>
      </c>
      <c r="E192" t="inlineStr">
        <is>
          <t>lease_liability.lease_liability.2023-01-29</t>
        </is>
      </c>
      <c r="F192" t="inlineStr">
        <is>
          <t>lease_liability</t>
        </is>
      </c>
      <c r="G192" t="inlineStr">
        <is>
          <t>ALT DuPont</t>
        </is>
      </c>
      <c r="H192" t="inlineStr">
        <is>
          <t>B55</t>
        </is>
      </c>
      <c r="I192">
        <f>'Balance Sheet'!B17+'Balance Sheet'!B29</f>
        <v/>
      </c>
      <c r="J192" t="n">
        <v>1070334</v>
      </c>
      <c r="K192" t="n">
        <v>0.01</v>
      </c>
      <c r="M192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192" t="inlineStr">
        <is>
          <t>pending</t>
        </is>
      </c>
      <c r="P192" t="inlineStr">
        <is>
          <t>lease_liability_source_link</t>
        </is>
      </c>
      <c r="Q192" t="n">
        <v>87</v>
      </c>
      <c r="R192" t="n">
        <v>0</v>
      </c>
      <c r="S192" t="inlineStr">
        <is>
          <t>2023-01-29</t>
        </is>
      </c>
    </row>
    <row r="193">
      <c r="A193" t="inlineStr">
        <is>
          <t>lease_liability_source_link__20240128</t>
        </is>
      </c>
      <c r="B193" t="n">
        <v>192</v>
      </c>
      <c r="C193" t="inlineStr">
        <is>
          <t>Lease Liability</t>
        </is>
      </c>
      <c r="D193" t="inlineStr">
        <is>
          <t>Link the reported aggregate lease-liability balance.</t>
        </is>
      </c>
      <c r="E193" t="inlineStr">
        <is>
          <t>lease_liability.lease_liability.2024-01-28</t>
        </is>
      </c>
      <c r="F193" t="inlineStr">
        <is>
          <t>lease_liability</t>
        </is>
      </c>
      <c r="G193" t="inlineStr">
        <is>
          <t>ALT DuPont</t>
        </is>
      </c>
      <c r="H193" t="inlineStr">
        <is>
          <t>C55</t>
        </is>
      </c>
      <c r="I193">
        <f>'Balance Sheet'!C17+'Balance Sheet'!C29</f>
        <v/>
      </c>
      <c r="J193" t="n">
        <v>1403282</v>
      </c>
      <c r="K193" t="n">
        <v>0.01</v>
      </c>
      <c r="M193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193" t="inlineStr">
        <is>
          <t>pending</t>
        </is>
      </c>
      <c r="P193" t="inlineStr">
        <is>
          <t>lease_liability_source_link</t>
        </is>
      </c>
      <c r="Q193" t="n">
        <v>87</v>
      </c>
      <c r="R193" t="n">
        <v>1</v>
      </c>
      <c r="S193" t="inlineStr">
        <is>
          <t>2024-01-28</t>
        </is>
      </c>
    </row>
    <row r="194">
      <c r="A194" t="inlineStr">
        <is>
          <t>lease_liability_source_link__20250202</t>
        </is>
      </c>
      <c r="B194" t="n">
        <v>193</v>
      </c>
      <c r="C194" t="inlineStr">
        <is>
          <t>Lease Liability</t>
        </is>
      </c>
      <c r="D194" t="inlineStr">
        <is>
          <t>Link the reported aggregate lease-liability balance.</t>
        </is>
      </c>
      <c r="E194" t="inlineStr">
        <is>
          <t>lease_liability.lease_liability.2025-02-02</t>
        </is>
      </c>
      <c r="F194" t="inlineStr">
        <is>
          <t>lease_liability</t>
        </is>
      </c>
      <c r="G194" t="inlineStr">
        <is>
          <t>ALT DuPont</t>
        </is>
      </c>
      <c r="H194" t="inlineStr">
        <is>
          <t>D55</t>
        </is>
      </c>
      <c r="I194">
        <f>'Balance Sheet'!D17+'Balance Sheet'!D29</f>
        <v/>
      </c>
      <c r="J194" t="n">
        <v>1575791</v>
      </c>
      <c r="K194" t="n">
        <v>0.01</v>
      </c>
      <c r="M194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194" t="inlineStr">
        <is>
          <t>pending</t>
        </is>
      </c>
      <c r="P194" t="inlineStr">
        <is>
          <t>lease_liability_source_link</t>
        </is>
      </c>
      <c r="Q194" t="n">
        <v>87</v>
      </c>
      <c r="R194" t="n">
        <v>2</v>
      </c>
      <c r="S194" t="inlineStr">
        <is>
          <t>2025-02-02</t>
        </is>
      </c>
    </row>
    <row r="195">
      <c r="A195" t="inlineStr">
        <is>
          <t>lease_liability_source_link__20260201</t>
        </is>
      </c>
      <c r="B195" t="n">
        <v>194</v>
      </c>
      <c r="C195" t="inlineStr">
        <is>
          <t>Lease Liability</t>
        </is>
      </c>
      <c r="D195" t="inlineStr">
        <is>
          <t>Link the reported aggregate lease-liability balance.</t>
        </is>
      </c>
      <c r="E195" t="inlineStr">
        <is>
          <t>lease_liability.lease_liability.2026-02-01</t>
        </is>
      </c>
      <c r="F195" t="inlineStr">
        <is>
          <t>lease_liability</t>
        </is>
      </c>
      <c r="G195" t="inlineStr">
        <is>
          <t>ALT DuPont</t>
        </is>
      </c>
      <c r="H195" t="inlineStr">
        <is>
          <t>E55</t>
        </is>
      </c>
      <c r="I195">
        <f>'Balance Sheet'!E17+'Balance Sheet'!E29</f>
        <v/>
      </c>
      <c r="J195" t="n">
        <v>1798441</v>
      </c>
      <c r="K195" t="n">
        <v>0.01</v>
      </c>
      <c r="M195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195" t="inlineStr">
        <is>
          <t>pending</t>
        </is>
      </c>
      <c r="P195" t="inlineStr">
        <is>
          <t>lease_liability_source_link</t>
        </is>
      </c>
      <c r="Q195" t="n">
        <v>87</v>
      </c>
      <c r="R195" t="n">
        <v>3</v>
      </c>
      <c r="S195" t="inlineStr">
        <is>
          <t>2026-02-01</t>
        </is>
      </c>
    </row>
    <row r="196">
      <c r="A196" t="inlineStr">
        <is>
          <t>lease_liability_to_revenue__20230129</t>
        </is>
      </c>
      <c r="B196" t="n">
        <v>195</v>
      </c>
      <c r="C196" t="inlineStr">
        <is>
          <t>Lease Liability / Revenue</t>
        </is>
      </c>
      <c r="D196" t="inlineStr">
        <is>
          <t>Reported lease liability divided by Revenue.</t>
        </is>
      </c>
      <c r="E196" t="inlineStr">
        <is>
          <t>lease_liability.lease_liability_to_revenue.2023-01-29</t>
        </is>
      </c>
      <c r="F196" t="inlineStr">
        <is>
          <t>lease_liability</t>
        </is>
      </c>
      <c r="G196" t="inlineStr">
        <is>
          <t>ALT DuPont</t>
        </is>
      </c>
      <c r="H196" t="inlineStr">
        <is>
          <t>B56</t>
        </is>
      </c>
      <c r="I196">
        <f>IF('Condensed Financials'!B34=0,NA(),B55/'Condensed Financials'!B34)</f>
        <v/>
      </c>
      <c r="J196" t="n">
        <v>0.1319686362819243</v>
      </c>
      <c r="K196" t="n">
        <v>0.01</v>
      </c>
      <c r="L196" t="inlineStr">
        <is>
          <t>lease_liability_source_link__20230129,revenue_link__20230129</t>
        </is>
      </c>
      <c r="M196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196" t="inlineStr">
        <is>
          <t>pending</t>
        </is>
      </c>
      <c r="P196" t="inlineStr">
        <is>
          <t>lease_liability_to_revenue</t>
        </is>
      </c>
      <c r="Q196" t="n">
        <v>88</v>
      </c>
      <c r="R196" t="n">
        <v>0</v>
      </c>
      <c r="S196" t="inlineStr">
        <is>
          <t>2023-01-29</t>
        </is>
      </c>
    </row>
    <row r="197">
      <c r="A197" t="inlineStr">
        <is>
          <t>lease_liability_to_revenue__20240128</t>
        </is>
      </c>
      <c r="B197" t="n">
        <v>196</v>
      </c>
      <c r="C197" t="inlineStr">
        <is>
          <t>Lease Liability / Revenue</t>
        </is>
      </c>
      <c r="D197" t="inlineStr">
        <is>
          <t>Reported lease liability divided by Revenue.</t>
        </is>
      </c>
      <c r="E197" t="inlineStr">
        <is>
          <t>lease_liability.lease_liability_to_revenue.2024-01-28</t>
        </is>
      </c>
      <c r="F197" t="inlineStr">
        <is>
          <t>lease_liability</t>
        </is>
      </c>
      <c r="G197" t="inlineStr">
        <is>
          <t>ALT DuPont</t>
        </is>
      </c>
      <c r="H197" t="inlineStr">
        <is>
          <t>C56</t>
        </is>
      </c>
      <c r="I197">
        <f>IF('Condensed Financials'!C34=0,NA(),C55/'Condensed Financials'!C34)</f>
        <v/>
      </c>
      <c r="J197" t="n">
        <v>0.145882258522937</v>
      </c>
      <c r="K197" t="n">
        <v>0.01</v>
      </c>
      <c r="L197" t="inlineStr">
        <is>
          <t>lease_liability_source_link__20240128,revenue_link__20240128</t>
        </is>
      </c>
      <c r="M197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197" t="inlineStr">
        <is>
          <t>pending</t>
        </is>
      </c>
      <c r="P197" t="inlineStr">
        <is>
          <t>lease_liability_to_revenue</t>
        </is>
      </c>
      <c r="Q197" t="n">
        <v>88</v>
      </c>
      <c r="R197" t="n">
        <v>1</v>
      </c>
      <c r="S197" t="inlineStr">
        <is>
          <t>2024-01-28</t>
        </is>
      </c>
    </row>
    <row r="198">
      <c r="A198" t="inlineStr">
        <is>
          <t>lease_liability_to_revenue__20250202</t>
        </is>
      </c>
      <c r="B198" t="n">
        <v>197</v>
      </c>
      <c r="C198" t="inlineStr">
        <is>
          <t>Lease Liability / Revenue</t>
        </is>
      </c>
      <c r="D198" t="inlineStr">
        <is>
          <t>Reported lease liability divided by Revenue.</t>
        </is>
      </c>
      <c r="E198" t="inlineStr">
        <is>
          <t>lease_liability.lease_liability_to_revenue.2025-02-02</t>
        </is>
      </c>
      <c r="F198" t="inlineStr">
        <is>
          <t>lease_liability</t>
        </is>
      </c>
      <c r="G198" t="inlineStr">
        <is>
          <t>ALT DuPont</t>
        </is>
      </c>
      <c r="H198" t="inlineStr">
        <is>
          <t>D56</t>
        </is>
      </c>
      <c r="I198">
        <f>IF('Condensed Financials'!D34=0,NA(),D55/'Condensed Financials'!D34)</f>
        <v/>
      </c>
      <c r="J198" t="n">
        <v>0.1488262417730956</v>
      </c>
      <c r="K198" t="n">
        <v>0.01</v>
      </c>
      <c r="L198" t="inlineStr">
        <is>
          <t>lease_liability_source_link__20250202,revenue_link__20250202</t>
        </is>
      </c>
      <c r="M198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198" t="inlineStr">
        <is>
          <t>pending</t>
        </is>
      </c>
      <c r="P198" t="inlineStr">
        <is>
          <t>lease_liability_to_revenue</t>
        </is>
      </c>
      <c r="Q198" t="n">
        <v>88</v>
      </c>
      <c r="R198" t="n">
        <v>2</v>
      </c>
      <c r="S198" t="inlineStr">
        <is>
          <t>2025-02-02</t>
        </is>
      </c>
    </row>
    <row r="199">
      <c r="A199" t="inlineStr">
        <is>
          <t>lease_liability_to_revenue__20260201</t>
        </is>
      </c>
      <c r="B199" t="n">
        <v>198</v>
      </c>
      <c r="C199" t="inlineStr">
        <is>
          <t>Lease Liability / Revenue</t>
        </is>
      </c>
      <c r="D199" t="inlineStr">
        <is>
          <t>Reported lease liability divided by Revenue.</t>
        </is>
      </c>
      <c r="E199" t="inlineStr">
        <is>
          <t>lease_liability.lease_liability_to_revenue.2026-02-01</t>
        </is>
      </c>
      <c r="F199" t="inlineStr">
        <is>
          <t>lease_liability</t>
        </is>
      </c>
      <c r="G199" t="inlineStr">
        <is>
          <t>ALT DuPont</t>
        </is>
      </c>
      <c r="H199" t="inlineStr">
        <is>
          <t>E56</t>
        </is>
      </c>
      <c r="I199">
        <f>IF('Condensed Financials'!E34=0,NA(),E55/'Condensed Financials'!E34)</f>
        <v/>
      </c>
      <c r="J199" t="n">
        <v>0.1619837695674887</v>
      </c>
      <c r="K199" t="n">
        <v>0.01</v>
      </c>
      <c r="L199" t="inlineStr">
        <is>
          <t>lease_liability_source_link__20260201,revenue_link__20260201</t>
        </is>
      </c>
      <c r="M199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199" t="inlineStr">
        <is>
          <t>pending</t>
        </is>
      </c>
      <c r="P199" t="inlineStr">
        <is>
          <t>lease_liability_to_revenue</t>
        </is>
      </c>
      <c r="Q199" t="n">
        <v>88</v>
      </c>
      <c r="R199" t="n">
        <v>3</v>
      </c>
      <c r="S199" t="inlineStr">
        <is>
          <t>2026-02-01</t>
        </is>
      </c>
    </row>
    <row r="200">
      <c r="A200" t="inlineStr">
        <is>
          <t>lease_liability_change__20240128</t>
        </is>
      </c>
      <c r="B200" t="n">
        <v>199</v>
      </c>
      <c r="C200" t="inlineStr">
        <is>
          <t>Change in Lease Liability</t>
        </is>
      </c>
      <c r="D200" t="inlineStr">
        <is>
          <t>Current lease liability minus prior lease liability.</t>
        </is>
      </c>
      <c r="E200" t="inlineStr">
        <is>
          <t>lease_liability.lease_liability_change.2024-01-28</t>
        </is>
      </c>
      <c r="F200" t="inlineStr">
        <is>
          <t>lease_liability</t>
        </is>
      </c>
      <c r="G200" t="inlineStr">
        <is>
          <t>ALT DuPont</t>
        </is>
      </c>
      <c r="H200" t="inlineStr">
        <is>
          <t>C57</t>
        </is>
      </c>
      <c r="I200">
        <f>C55-B55</f>
        <v/>
      </c>
      <c r="J200" t="n">
        <v>332948</v>
      </c>
      <c r="K200" t="n">
        <v>0.01</v>
      </c>
      <c r="L200" t="inlineStr">
        <is>
          <t>lease_liability_source_link__20240128,lease_liability_source_link__20230129</t>
        </is>
      </c>
      <c r="M200" t="inlineStr">
        <is>
          <t>Change in Lease Liability = Current − Prior reported lease liability.|Balance change is not rent growth, lease cash payments, or ROU-asset growth.</t>
        </is>
      </c>
      <c r="O200" t="inlineStr">
        <is>
          <t>pending</t>
        </is>
      </c>
      <c r="P200" t="inlineStr">
        <is>
          <t>lease_liability_change</t>
        </is>
      </c>
      <c r="Q200" t="n">
        <v>89</v>
      </c>
      <c r="R200" t="n">
        <v>1</v>
      </c>
      <c r="S200" t="inlineStr">
        <is>
          <t>2024-01-28</t>
        </is>
      </c>
    </row>
    <row r="201">
      <c r="A201" t="inlineStr">
        <is>
          <t>lease_liability_change__20250202</t>
        </is>
      </c>
      <c r="B201" t="n">
        <v>200</v>
      </c>
      <c r="C201" t="inlineStr">
        <is>
          <t>Change in Lease Liability</t>
        </is>
      </c>
      <c r="D201" t="inlineStr">
        <is>
          <t>Current lease liability minus prior lease liability.</t>
        </is>
      </c>
      <c r="E201" t="inlineStr">
        <is>
          <t>lease_liability.lease_liability_change.2025-02-02</t>
        </is>
      </c>
      <c r="F201" t="inlineStr">
        <is>
          <t>lease_liability</t>
        </is>
      </c>
      <c r="G201" t="inlineStr">
        <is>
          <t>ALT DuPont</t>
        </is>
      </c>
      <c r="H201" t="inlineStr">
        <is>
          <t>D57</t>
        </is>
      </c>
      <c r="I201">
        <f>D55-C55</f>
        <v/>
      </c>
      <c r="J201" t="n">
        <v>172509</v>
      </c>
      <c r="K201" t="n">
        <v>0.01</v>
      </c>
      <c r="L201" t="inlineStr">
        <is>
          <t>lease_liability_source_link__20250202,lease_liability_source_link__20240128</t>
        </is>
      </c>
      <c r="M201" t="inlineStr">
        <is>
          <t>Change in Lease Liability = Current − Prior reported lease liability.|Balance change is not rent growth, lease cash payments, or ROU-asset growth.</t>
        </is>
      </c>
      <c r="O201" t="inlineStr">
        <is>
          <t>pending</t>
        </is>
      </c>
      <c r="P201" t="inlineStr">
        <is>
          <t>lease_liability_change</t>
        </is>
      </c>
      <c r="Q201" t="n">
        <v>89</v>
      </c>
      <c r="R201" t="n">
        <v>2</v>
      </c>
      <c r="S201" t="inlineStr">
        <is>
          <t>2025-02-02</t>
        </is>
      </c>
    </row>
    <row r="202">
      <c r="A202" t="inlineStr">
        <is>
          <t>lease_liability_change__20260201</t>
        </is>
      </c>
      <c r="B202" t="n">
        <v>201</v>
      </c>
      <c r="C202" t="inlineStr">
        <is>
          <t>Change in Lease Liability</t>
        </is>
      </c>
      <c r="D202" t="inlineStr">
        <is>
          <t>Current lease liability minus prior lease liability.</t>
        </is>
      </c>
      <c r="E202" t="inlineStr">
        <is>
          <t>lease_liability.lease_liability_change.2026-02-01</t>
        </is>
      </c>
      <c r="F202" t="inlineStr">
        <is>
          <t>lease_liability</t>
        </is>
      </c>
      <c r="G202" t="inlineStr">
        <is>
          <t>ALT DuPont</t>
        </is>
      </c>
      <c r="H202" t="inlineStr">
        <is>
          <t>E57</t>
        </is>
      </c>
      <c r="I202">
        <f>E55-D55</f>
        <v/>
      </c>
      <c r="J202" t="n">
        <v>222650</v>
      </c>
      <c r="K202" t="n">
        <v>0.01</v>
      </c>
      <c r="L202" t="inlineStr">
        <is>
          <t>lease_liability_source_link__20260201,lease_liability_source_link__20250202</t>
        </is>
      </c>
      <c r="M202" t="inlineStr">
        <is>
          <t>Change in Lease Liability = Current − Prior reported lease liability.|Balance change is not rent growth, lease cash payments, or ROU-asset growth.</t>
        </is>
      </c>
      <c r="O202" t="inlineStr">
        <is>
          <t>pending</t>
        </is>
      </c>
      <c r="P202" t="inlineStr">
        <is>
          <t>lease_liability_change</t>
        </is>
      </c>
      <c r="Q202" t="n">
        <v>89</v>
      </c>
      <c r="R202" t="n">
        <v>3</v>
      </c>
      <c r="S202" t="inlineStr">
        <is>
          <t>2026-02-01</t>
        </is>
      </c>
    </row>
    <row r="203">
      <c r="A203" t="inlineStr">
        <is>
          <t>lease_liability_growth__20240128</t>
        </is>
      </c>
      <c r="B203" t="n">
        <v>202</v>
      </c>
      <c r="C203" t="inlineStr">
        <is>
          <t>Lease Liability Growth</t>
        </is>
      </c>
      <c r="D203" t="inlineStr">
        <is>
          <t>Percentage change in reported lease liability.</t>
        </is>
      </c>
      <c r="E203" t="inlineStr">
        <is>
          <t>lease_liability.lease_liability_growth.2024-01-28</t>
        </is>
      </c>
      <c r="F203" t="inlineStr">
        <is>
          <t>lease_liability</t>
        </is>
      </c>
      <c r="G203" t="inlineStr">
        <is>
          <t>ALT DuPont</t>
        </is>
      </c>
      <c r="H203" t="inlineStr">
        <is>
          <t>C58</t>
        </is>
      </c>
      <c r="I203">
        <f>IF(B55=0,NA(),C55/B55-1)</f>
        <v/>
      </c>
      <c r="J203" t="n">
        <v>0.3110692550175926</v>
      </c>
      <c r="K203" t="n">
        <v>0.01</v>
      </c>
      <c r="L203" t="inlineStr">
        <is>
          <t>lease_liability_source_link__20240128,lease_liability_source_link__20230129</t>
        </is>
      </c>
      <c r="M203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203" t="inlineStr">
        <is>
          <t>pending</t>
        </is>
      </c>
      <c r="P203" t="inlineStr">
        <is>
          <t>lease_liability_growth</t>
        </is>
      </c>
      <c r="Q203" t="n">
        <v>90</v>
      </c>
      <c r="R203" t="n">
        <v>1</v>
      </c>
      <c r="S203" t="inlineStr">
        <is>
          <t>2024-01-28</t>
        </is>
      </c>
    </row>
    <row r="204">
      <c r="A204" t="inlineStr">
        <is>
          <t>lease_liability_growth__20250202</t>
        </is>
      </c>
      <c r="B204" t="n">
        <v>203</v>
      </c>
      <c r="C204" t="inlineStr">
        <is>
          <t>Lease Liability Growth</t>
        </is>
      </c>
      <c r="D204" t="inlineStr">
        <is>
          <t>Percentage change in reported lease liability.</t>
        </is>
      </c>
      <c r="E204" t="inlineStr">
        <is>
          <t>lease_liability.lease_liability_growth.2025-02-02</t>
        </is>
      </c>
      <c r="F204" t="inlineStr">
        <is>
          <t>lease_liability</t>
        </is>
      </c>
      <c r="G204" t="inlineStr">
        <is>
          <t>ALT DuPont</t>
        </is>
      </c>
      <c r="H204" t="inlineStr">
        <is>
          <t>D58</t>
        </is>
      </c>
      <c r="I204">
        <f>IF(C55=0,NA(),D55/C55-1)</f>
        <v/>
      </c>
      <c r="J204" t="n">
        <v>0.122932525322779</v>
      </c>
      <c r="K204" t="n">
        <v>0.01</v>
      </c>
      <c r="L204" t="inlineStr">
        <is>
          <t>lease_liability_source_link__20250202,lease_liability_source_link__20240128</t>
        </is>
      </c>
      <c r="M204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204" t="inlineStr">
        <is>
          <t>pending</t>
        </is>
      </c>
      <c r="P204" t="inlineStr">
        <is>
          <t>lease_liability_growth</t>
        </is>
      </c>
      <c r="Q204" t="n">
        <v>90</v>
      </c>
      <c r="R204" t="n">
        <v>2</v>
      </c>
      <c r="S204" t="inlineStr">
        <is>
          <t>2025-02-02</t>
        </is>
      </c>
    </row>
    <row r="205">
      <c r="A205" t="inlineStr">
        <is>
          <t>lease_liability_growth__20260201</t>
        </is>
      </c>
      <c r="B205" t="n">
        <v>204</v>
      </c>
      <c r="C205" t="inlineStr">
        <is>
          <t>Lease Liability Growth</t>
        </is>
      </c>
      <c r="D205" t="inlineStr">
        <is>
          <t>Percentage change in reported lease liability.</t>
        </is>
      </c>
      <c r="E205" t="inlineStr">
        <is>
          <t>lease_liability.lease_liability_growth.2026-02-01</t>
        </is>
      </c>
      <c r="F205" t="inlineStr">
        <is>
          <t>lease_liability</t>
        </is>
      </c>
      <c r="G205" t="inlineStr">
        <is>
          <t>ALT DuPont</t>
        </is>
      </c>
      <c r="H205" t="inlineStr">
        <is>
          <t>E58</t>
        </is>
      </c>
      <c r="I205">
        <f>IF(D55=0,NA(),E55/D55-1)</f>
        <v/>
      </c>
      <c r="J205" t="n">
        <v>0.1412941183189903</v>
      </c>
      <c r="K205" t="n">
        <v>0.01</v>
      </c>
      <c r="L205" t="inlineStr">
        <is>
          <t>lease_liability_source_link__20260201,lease_liability_source_link__20250202</t>
        </is>
      </c>
      <c r="M205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205" t="inlineStr">
        <is>
          <t>pending</t>
        </is>
      </c>
      <c r="P205" t="inlineStr">
        <is>
          <t>lease_liability_growth</t>
        </is>
      </c>
      <c r="Q205" t="n">
        <v>90</v>
      </c>
      <c r="R205" t="n">
        <v>3</v>
      </c>
      <c r="S205" t="inlineStr">
        <is>
          <t>2026-02-01</t>
        </is>
      </c>
    </row>
    <row r="206">
      <c r="A206" t="inlineStr">
        <is>
          <t>goodwill_change__20240128</t>
        </is>
      </c>
      <c r="B206" t="n">
        <v>205</v>
      </c>
      <c r="C206" t="inlineStr">
        <is>
          <t>Change in Goodwill</t>
        </is>
      </c>
      <c r="D206" t="inlineStr">
        <is>
          <t>Current goodwill − prior goodwill. Flat goodwill does not establish absence of impairment disclosed elsewhere.</t>
        </is>
      </c>
      <c r="E206" t="inlineStr">
        <is>
          <t>goodwill_intangibles.goodwill_change.2024-01-28</t>
        </is>
      </c>
      <c r="F206" t="inlineStr">
        <is>
          <t>goodwill_intangibles</t>
        </is>
      </c>
      <c r="G206" t="inlineStr">
        <is>
          <t>ALT DuPont</t>
        </is>
      </c>
      <c r="H206" t="inlineStr">
        <is>
          <t>C67</t>
        </is>
      </c>
      <c r="I206">
        <f>C66-B66</f>
        <v/>
      </c>
      <c r="J206" t="n">
        <v>-61</v>
      </c>
      <c r="K206" t="n">
        <v>0.01</v>
      </c>
      <c r="M206" t="inlineStr">
        <is>
          <t>Change in Goodwill = Current Goodwill − Prior Goodwill.|Flat goodwill does not establish absence of impairment disclosed elsewhere.</t>
        </is>
      </c>
      <c r="O206" t="inlineStr">
        <is>
          <t>pending</t>
        </is>
      </c>
      <c r="P206" t="inlineStr">
        <is>
          <t>goodwill_change</t>
        </is>
      </c>
      <c r="Q206" t="n">
        <v>98</v>
      </c>
      <c r="R206" t="n">
        <v>1</v>
      </c>
      <c r="S206" t="inlineStr">
        <is>
          <t>2024-01-28</t>
        </is>
      </c>
    </row>
    <row r="207">
      <c r="A207" t="inlineStr">
        <is>
          <t>goodwill_change__20250202</t>
        </is>
      </c>
      <c r="B207" t="n">
        <v>206</v>
      </c>
      <c r="C207" t="inlineStr">
        <is>
          <t>Change in Goodwill</t>
        </is>
      </c>
      <c r="D207" t="inlineStr">
        <is>
          <t>Current goodwill − prior goodwill. Flat goodwill does not establish absence of impairment disclosed elsewhere.</t>
        </is>
      </c>
      <c r="E207" t="inlineStr">
        <is>
          <t>goodwill_intangibles.goodwill_change.2025-02-02</t>
        </is>
      </c>
      <c r="F207" t="inlineStr">
        <is>
          <t>goodwill_intangibles</t>
        </is>
      </c>
      <c r="G207" t="inlineStr">
        <is>
          <t>ALT DuPont</t>
        </is>
      </c>
      <c r="H207" t="inlineStr">
        <is>
          <t>D67</t>
        </is>
      </c>
      <c r="I207">
        <f>D66-C66</f>
        <v/>
      </c>
      <c r="J207" t="n">
        <v>135435</v>
      </c>
      <c r="K207" t="n">
        <v>0.01</v>
      </c>
      <c r="M207" t="inlineStr">
        <is>
          <t>Change in Goodwill = Current Goodwill − Prior Goodwill.|Flat goodwill does not establish absence of impairment disclosed elsewhere.</t>
        </is>
      </c>
      <c r="O207" t="inlineStr">
        <is>
          <t>pending</t>
        </is>
      </c>
      <c r="P207" t="inlineStr">
        <is>
          <t>goodwill_change</t>
        </is>
      </c>
      <c r="Q207" t="n">
        <v>98</v>
      </c>
      <c r="R207" t="n">
        <v>2</v>
      </c>
      <c r="S207" t="inlineStr">
        <is>
          <t>2025-02-02</t>
        </is>
      </c>
    </row>
    <row r="208">
      <c r="A208" t="inlineStr">
        <is>
          <t>goodwill_change__20260201</t>
        </is>
      </c>
      <c r="B208" t="n">
        <v>207</v>
      </c>
      <c r="C208" t="inlineStr">
        <is>
          <t>Change in Goodwill</t>
        </is>
      </c>
      <c r="D208" t="inlineStr">
        <is>
          <t>Current goodwill − prior goodwill. Flat goodwill does not establish absence of impairment disclosed elsewhere.</t>
        </is>
      </c>
      <c r="E208" t="inlineStr">
        <is>
          <t>goodwill_intangibles.goodwill_change.2026-02-01</t>
        </is>
      </c>
      <c r="F208" t="inlineStr">
        <is>
          <t>goodwill_intangibles</t>
        </is>
      </c>
      <c r="G208" t="inlineStr">
        <is>
          <t>ALT DuPont</t>
        </is>
      </c>
      <c r="H208" t="inlineStr">
        <is>
          <t>E67</t>
        </is>
      </c>
      <c r="I208">
        <f>E66-D66</f>
        <v/>
      </c>
      <c r="J208" t="n">
        <v>25393</v>
      </c>
      <c r="K208" t="n">
        <v>0.01</v>
      </c>
      <c r="M208" t="inlineStr">
        <is>
          <t>Change in Goodwill = Current Goodwill − Prior Goodwill.|Flat goodwill does not establish absence of impairment disclosed elsewhere.</t>
        </is>
      </c>
      <c r="O208" t="inlineStr">
        <is>
          <t>pending</t>
        </is>
      </c>
      <c r="P208" t="inlineStr">
        <is>
          <t>goodwill_change</t>
        </is>
      </c>
      <c r="Q208" t="n">
        <v>98</v>
      </c>
      <c r="R208" t="n">
        <v>3</v>
      </c>
      <c r="S208" t="inlineStr">
        <is>
          <t>2026-02-01</t>
        </is>
      </c>
    </row>
    <row r="209">
      <c r="A209" t="inlineStr">
        <is>
          <t>goodwill_growth__20240128</t>
        </is>
      </c>
      <c r="B209" t="n">
        <v>208</v>
      </c>
      <c r="C209" t="inlineStr">
        <is>
          <t>Goodwill Growth</t>
        </is>
      </c>
      <c r="D209" t="inlineStr">
        <is>
          <t>Percentage change in reported goodwill.</t>
        </is>
      </c>
      <c r="E209" t="inlineStr">
        <is>
          <t>goodwill_intangibles.goodwill_growth.2024-01-28</t>
        </is>
      </c>
      <c r="F209" t="inlineStr">
        <is>
          <t>goodwill_intangibles</t>
        </is>
      </c>
      <c r="G209" t="inlineStr">
        <is>
          <t>ALT DuPont</t>
        </is>
      </c>
      <c r="H209" t="inlineStr">
        <is>
          <t>C68</t>
        </is>
      </c>
      <c r="I209">
        <f>IF(B66=0,NA(),C66/B66-1)</f>
        <v/>
      </c>
      <c r="J209" t="n">
        <v>-0.002526507620941021</v>
      </c>
      <c r="K209" t="n">
        <v>0.01</v>
      </c>
      <c r="L209" t="inlineStr">
        <is>
          <t>goodwill_change__20240128</t>
        </is>
      </c>
      <c r="M209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209" t="inlineStr">
        <is>
          <t>pending</t>
        </is>
      </c>
      <c r="P209" t="inlineStr">
        <is>
          <t>goodwill_growth</t>
        </is>
      </c>
      <c r="Q209" t="n">
        <v>99</v>
      </c>
      <c r="R209" t="n">
        <v>1</v>
      </c>
      <c r="S209" t="inlineStr">
        <is>
          <t>2024-01-28</t>
        </is>
      </c>
    </row>
    <row r="210">
      <c r="A210" t="inlineStr">
        <is>
          <t>goodwill_growth__20250202</t>
        </is>
      </c>
      <c r="B210" t="n">
        <v>209</v>
      </c>
      <c r="C210" t="inlineStr">
        <is>
          <t>Goodwill Growth</t>
        </is>
      </c>
      <c r="D210" t="inlineStr">
        <is>
          <t>Percentage change in reported goodwill.</t>
        </is>
      </c>
      <c r="E210" t="inlineStr">
        <is>
          <t>goodwill_intangibles.goodwill_growth.2025-02-02</t>
        </is>
      </c>
      <c r="F210" t="inlineStr">
        <is>
          <t>goodwill_intangibles</t>
        </is>
      </c>
      <c r="G210" t="inlineStr">
        <is>
          <t>ALT DuPont</t>
        </is>
      </c>
      <c r="H210" t="inlineStr">
        <is>
          <t>D68</t>
        </is>
      </c>
      <c r="I210">
        <f>IF(C66=0,NA(),D66/C66-1)</f>
        <v/>
      </c>
      <c r="J210" t="n">
        <v>5.623676452269236</v>
      </c>
      <c r="K210" t="n">
        <v>0.01</v>
      </c>
      <c r="L210" t="inlineStr">
        <is>
          <t>goodwill_change__20250202</t>
        </is>
      </c>
      <c r="M210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210" t="inlineStr">
        <is>
          <t>pending</t>
        </is>
      </c>
      <c r="P210" t="inlineStr">
        <is>
          <t>goodwill_growth</t>
        </is>
      </c>
      <c r="Q210" t="n">
        <v>99</v>
      </c>
      <c r="R210" t="n">
        <v>2</v>
      </c>
      <c r="S210" t="inlineStr">
        <is>
          <t>2025-02-02</t>
        </is>
      </c>
    </row>
    <row r="211">
      <c r="A211" t="inlineStr">
        <is>
          <t>goodwill_growth__20260201</t>
        </is>
      </c>
      <c r="B211" t="n">
        <v>210</v>
      </c>
      <c r="C211" t="inlineStr">
        <is>
          <t>Goodwill Growth</t>
        </is>
      </c>
      <c r="D211" t="inlineStr">
        <is>
          <t>Percentage change in reported goodwill.</t>
        </is>
      </c>
      <c r="E211" t="inlineStr">
        <is>
          <t>goodwill_intangibles.goodwill_growth.2026-02-01</t>
        </is>
      </c>
      <c r="F211" t="inlineStr">
        <is>
          <t>goodwill_intangibles</t>
        </is>
      </c>
      <c r="G211" t="inlineStr">
        <is>
          <t>ALT DuPont</t>
        </is>
      </c>
      <c r="H211" t="inlineStr">
        <is>
          <t>E68</t>
        </is>
      </c>
      <c r="I211">
        <f>IF(D66=0,NA(),E66/D66-1)</f>
        <v/>
      </c>
      <c r="J211" t="n">
        <v>0.1591857972141075</v>
      </c>
      <c r="K211" t="n">
        <v>0.01</v>
      </c>
      <c r="L211" t="inlineStr">
        <is>
          <t>goodwill_change__20260201</t>
        </is>
      </c>
      <c r="M211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211" t="inlineStr">
        <is>
          <t>pending</t>
        </is>
      </c>
      <c r="P211" t="inlineStr">
        <is>
          <t>goodwill_growth</t>
        </is>
      </c>
      <c r="Q211" t="n">
        <v>99</v>
      </c>
      <c r="R211" t="n">
        <v>3</v>
      </c>
      <c r="S211" t="inlineStr">
        <is>
          <t>2026-02-01</t>
        </is>
      </c>
    </row>
    <row r="212">
      <c r="A212" t="inlineStr">
        <is>
          <t>average_goodwill__20240128</t>
        </is>
      </c>
      <c r="B212" t="n">
        <v>211</v>
      </c>
      <c r="C212" t="inlineStr">
        <is>
          <t>Average Goodwill</t>
        </is>
      </c>
      <c r="D212" t="inlineStr">
        <is>
          <t>Average beginning and ending goodwill.</t>
        </is>
      </c>
      <c r="E212" t="inlineStr">
        <is>
          <t>goodwill_intangibles.average_goodwill.2024-01-28</t>
        </is>
      </c>
      <c r="F212" t="inlineStr">
        <is>
          <t>goodwill_intangibles</t>
        </is>
      </c>
      <c r="G212" t="inlineStr">
        <is>
          <t>ALT DuPont</t>
        </is>
      </c>
      <c r="H212" t="inlineStr">
        <is>
          <t>C69</t>
        </is>
      </c>
      <c r="I212">
        <f>(B66+C66)/2</f>
        <v/>
      </c>
      <c r="J212" t="n">
        <v>24113.5</v>
      </c>
      <c r="K212" t="n">
        <v>0.01</v>
      </c>
      <c r="M212" t="inlineStr">
        <is>
          <t>Average Goodwill = (Prior Goodwill + Current Goodwill) / 2.</t>
        </is>
      </c>
      <c r="O212" t="inlineStr">
        <is>
          <t>pending</t>
        </is>
      </c>
      <c r="P212" t="inlineStr">
        <is>
          <t>average_goodwill</t>
        </is>
      </c>
      <c r="Q212" t="n">
        <v>100</v>
      </c>
      <c r="R212" t="n">
        <v>1</v>
      </c>
      <c r="S212" t="inlineStr">
        <is>
          <t>2024-01-28</t>
        </is>
      </c>
    </row>
    <row r="213">
      <c r="A213" t="inlineStr">
        <is>
          <t>average_goodwill__20250202</t>
        </is>
      </c>
      <c r="B213" t="n">
        <v>212</v>
      </c>
      <c r="C213" t="inlineStr">
        <is>
          <t>Average Goodwill</t>
        </is>
      </c>
      <c r="D213" t="inlineStr">
        <is>
          <t>Average beginning and ending goodwill.</t>
        </is>
      </c>
      <c r="E213" t="inlineStr">
        <is>
          <t>goodwill_intangibles.average_goodwill.2025-02-02</t>
        </is>
      </c>
      <c r="F213" t="inlineStr">
        <is>
          <t>goodwill_intangibles</t>
        </is>
      </c>
      <c r="G213" t="inlineStr">
        <is>
          <t>ALT DuPont</t>
        </is>
      </c>
      <c r="H213" t="inlineStr">
        <is>
          <t>D69</t>
        </is>
      </c>
      <c r="I213">
        <f>(C66+D66)/2</f>
        <v/>
      </c>
      <c r="J213" t="n">
        <v>91800.5</v>
      </c>
      <c r="K213" t="n">
        <v>0.01</v>
      </c>
      <c r="M213" t="inlineStr">
        <is>
          <t>Average Goodwill = (Prior Goodwill + Current Goodwill) / 2.</t>
        </is>
      </c>
      <c r="O213" t="inlineStr">
        <is>
          <t>pending</t>
        </is>
      </c>
      <c r="P213" t="inlineStr">
        <is>
          <t>average_goodwill</t>
        </is>
      </c>
      <c r="Q213" t="n">
        <v>100</v>
      </c>
      <c r="R213" t="n">
        <v>2</v>
      </c>
      <c r="S213" t="inlineStr">
        <is>
          <t>2025-02-02</t>
        </is>
      </c>
    </row>
    <row r="214">
      <c r="A214" t="inlineStr">
        <is>
          <t>average_goodwill__20260201</t>
        </is>
      </c>
      <c r="B214" t="n">
        <v>213</v>
      </c>
      <c r="C214" t="inlineStr">
        <is>
          <t>Average Goodwill</t>
        </is>
      </c>
      <c r="D214" t="inlineStr">
        <is>
          <t>Average beginning and ending goodwill.</t>
        </is>
      </c>
      <c r="E214" t="inlineStr">
        <is>
          <t>goodwill_intangibles.average_goodwill.2026-02-01</t>
        </is>
      </c>
      <c r="F214" t="inlineStr">
        <is>
          <t>goodwill_intangibles</t>
        </is>
      </c>
      <c r="G214" t="inlineStr">
        <is>
          <t>ALT DuPont</t>
        </is>
      </c>
      <c r="H214" t="inlineStr">
        <is>
          <t>E69</t>
        </is>
      </c>
      <c r="I214">
        <f>(D66+E66)/2</f>
        <v/>
      </c>
      <c r="J214" t="n">
        <v>172214.5</v>
      </c>
      <c r="K214" t="n">
        <v>0.01</v>
      </c>
      <c r="M214" t="inlineStr">
        <is>
          <t>Average Goodwill = (Prior Goodwill + Current Goodwill) / 2.</t>
        </is>
      </c>
      <c r="O214" t="inlineStr">
        <is>
          <t>pending</t>
        </is>
      </c>
      <c r="P214" t="inlineStr">
        <is>
          <t>average_goodwill</t>
        </is>
      </c>
      <c r="Q214" t="n">
        <v>100</v>
      </c>
      <c r="R214" t="n">
        <v>3</v>
      </c>
      <c r="S214" t="inlineStr">
        <is>
          <t>2026-02-01</t>
        </is>
      </c>
    </row>
    <row r="215">
      <c r="A215" t="inlineStr">
        <is>
          <t>goodwill_to_revenue__20240128</t>
        </is>
      </c>
      <c r="B215" t="n">
        <v>214</v>
      </c>
      <c r="C215" t="inlineStr">
        <is>
          <t>Average Goodwill / Revenue</t>
        </is>
      </c>
      <c r="D215" t="inlineStr">
        <is>
          <t>Average goodwill divided by Revenue (average-balance intensity).</t>
        </is>
      </c>
      <c r="E215" t="inlineStr">
        <is>
          <t>goodwill_intangibles.goodwill_to_revenue.2024-01-28</t>
        </is>
      </c>
      <c r="F215" t="inlineStr">
        <is>
          <t>goodwill_intangibles</t>
        </is>
      </c>
      <c r="G215" t="inlineStr">
        <is>
          <t>ALT DuPont</t>
        </is>
      </c>
      <c r="H215" t="inlineStr">
        <is>
          <t>C70</t>
        </is>
      </c>
      <c r="I215">
        <f>IF('Condensed Financials'!C34=0,NA(),C69/'Condensed Financials'!C34)</f>
        <v/>
      </c>
      <c r="J215" t="n">
        <v>0.002506788971064149</v>
      </c>
      <c r="K215" t="n">
        <v>0.01</v>
      </c>
      <c r="L215" t="inlineStr">
        <is>
          <t>average_goodwill__20240128,revenue_link__20240128</t>
        </is>
      </c>
      <c r="M215" t="inlineStr">
        <is>
          <t>Average Goodwill / Revenue uses the average balance, not the ending level alone.|A zero Revenue denominator makes the ratio undefined (#N/A).</t>
        </is>
      </c>
      <c r="O215" t="inlineStr">
        <is>
          <t>pending</t>
        </is>
      </c>
      <c r="P215" t="inlineStr">
        <is>
          <t>goodwill_to_revenue</t>
        </is>
      </c>
      <c r="Q215" t="n">
        <v>101</v>
      </c>
      <c r="R215" t="n">
        <v>1</v>
      </c>
      <c r="S215" t="inlineStr">
        <is>
          <t>2024-01-28</t>
        </is>
      </c>
    </row>
    <row r="216">
      <c r="A216" t="inlineStr">
        <is>
          <t>goodwill_to_revenue__20250202</t>
        </is>
      </c>
      <c r="B216" t="n">
        <v>215</v>
      </c>
      <c r="C216" t="inlineStr">
        <is>
          <t>Average Goodwill / Revenue</t>
        </is>
      </c>
      <c r="D216" t="inlineStr">
        <is>
          <t>Average goodwill divided by Revenue (average-balance intensity).</t>
        </is>
      </c>
      <c r="E216" t="inlineStr">
        <is>
          <t>goodwill_intangibles.goodwill_to_revenue.2025-02-02</t>
        </is>
      </c>
      <c r="F216" t="inlineStr">
        <is>
          <t>goodwill_intangibles</t>
        </is>
      </c>
      <c r="G216" t="inlineStr">
        <is>
          <t>ALT DuPont</t>
        </is>
      </c>
      <c r="H216" t="inlineStr">
        <is>
          <t>D70</t>
        </is>
      </c>
      <c r="I216">
        <f>IF('Condensed Financials'!D34=0,NA(),D69/'Condensed Financials'!D34)</f>
        <v/>
      </c>
      <c r="J216" t="n">
        <v>0.008670136717300115</v>
      </c>
      <c r="K216" t="n">
        <v>0.01</v>
      </c>
      <c r="L216" t="inlineStr">
        <is>
          <t>average_goodwill__20250202,revenue_link__20250202</t>
        </is>
      </c>
      <c r="M216" t="inlineStr">
        <is>
          <t>Average Goodwill / Revenue uses the average balance, not the ending level alone.|A zero Revenue denominator makes the ratio undefined (#N/A).</t>
        </is>
      </c>
      <c r="O216" t="inlineStr">
        <is>
          <t>pending</t>
        </is>
      </c>
      <c r="P216" t="inlineStr">
        <is>
          <t>goodwill_to_revenue</t>
        </is>
      </c>
      <c r="Q216" t="n">
        <v>101</v>
      </c>
      <c r="R216" t="n">
        <v>2</v>
      </c>
      <c r="S216" t="inlineStr">
        <is>
          <t>2025-02-02</t>
        </is>
      </c>
    </row>
    <row r="217">
      <c r="A217" t="inlineStr">
        <is>
          <t>goodwill_to_revenue__20260201</t>
        </is>
      </c>
      <c r="B217" t="n">
        <v>216</v>
      </c>
      <c r="C217" t="inlineStr">
        <is>
          <t>Average Goodwill / Revenue</t>
        </is>
      </c>
      <c r="D217" t="inlineStr">
        <is>
          <t>Average goodwill divided by Revenue (average-balance intensity).</t>
        </is>
      </c>
      <c r="E217" t="inlineStr">
        <is>
          <t>goodwill_intangibles.goodwill_to_revenue.2026-02-01</t>
        </is>
      </c>
      <c r="F217" t="inlineStr">
        <is>
          <t>goodwill_intangibles</t>
        </is>
      </c>
      <c r="G217" t="inlineStr">
        <is>
          <t>ALT DuPont</t>
        </is>
      </c>
      <c r="H217" t="inlineStr">
        <is>
          <t>E70</t>
        </is>
      </c>
      <c r="I217">
        <f>IF('Condensed Financials'!E34=0,NA(),E69/'Condensed Financials'!E34)</f>
        <v/>
      </c>
      <c r="J217" t="n">
        <v>0.01551118656891179</v>
      </c>
      <c r="K217" t="n">
        <v>0.01</v>
      </c>
      <c r="L217" t="inlineStr">
        <is>
          <t>average_goodwill__20260201,revenue_link__20260201</t>
        </is>
      </c>
      <c r="M217" t="inlineStr">
        <is>
          <t>Average Goodwill / Revenue uses the average balance, not the ending level alone.|A zero Revenue denominator makes the ratio undefined (#N/A).</t>
        </is>
      </c>
      <c r="O217" t="inlineStr">
        <is>
          <t>pending</t>
        </is>
      </c>
      <c r="P217" t="inlineStr">
        <is>
          <t>goodwill_to_revenue</t>
        </is>
      </c>
      <c r="Q217" t="n">
        <v>101</v>
      </c>
      <c r="R217" t="n">
        <v>3</v>
      </c>
      <c r="S217" t="inlineStr">
        <is>
          <t>2026-02-01</t>
        </is>
      </c>
    </row>
    <row r="218">
      <c r="A218" t="inlineStr">
        <is>
          <t>intangible_assets_change__20240128</t>
        </is>
      </c>
      <c r="B218" t="n">
        <v>217</v>
      </c>
      <c r="C218" t="inlineStr">
        <is>
          <t>Change in Intangible Assets</t>
        </is>
      </c>
      <c r="D218" t="inlineStr">
        <is>
          <t>Current intangible assets − prior intangible assets.</t>
        </is>
      </c>
      <c r="E218" t="inlineStr">
        <is>
          <t>goodwill_intangibles.intangible_assets_change.2024-01-28</t>
        </is>
      </c>
      <c r="F218" t="inlineStr">
        <is>
          <t>goodwill_intangibles</t>
        </is>
      </c>
      <c r="G218" t="inlineStr">
        <is>
          <t>ALT DuPont</t>
        </is>
      </c>
      <c r="H218" t="inlineStr">
        <is>
          <t>C72</t>
        </is>
      </c>
      <c r="I218">
        <f>C71-B71</f>
        <v/>
      </c>
      <c r="J218" t="n">
        <v>-21961</v>
      </c>
      <c r="K218" t="n">
        <v>0.01</v>
      </c>
      <c r="M218" t="inlineStr">
        <is>
          <t>Change in Intangible Assets = Current − Prior reported intangible assets.</t>
        </is>
      </c>
      <c r="O218" t="inlineStr">
        <is>
          <t>pending</t>
        </is>
      </c>
      <c r="P218" t="inlineStr">
        <is>
          <t>intangible_assets_change</t>
        </is>
      </c>
      <c r="Q218" t="n">
        <v>102</v>
      </c>
      <c r="R218" t="n">
        <v>1</v>
      </c>
      <c r="S218" t="inlineStr">
        <is>
          <t>2024-01-28</t>
        </is>
      </c>
    </row>
    <row r="219">
      <c r="A219" t="inlineStr">
        <is>
          <t>intangible_assets_change__20250202</t>
        </is>
      </c>
      <c r="B219" t="n">
        <v>218</v>
      </c>
      <c r="C219" t="inlineStr">
        <is>
          <t>Change in Intangible Assets</t>
        </is>
      </c>
      <c r="D219" t="inlineStr">
        <is>
          <t>Current intangible assets − prior intangible assets.</t>
        </is>
      </c>
      <c r="E219" t="inlineStr">
        <is>
          <t>goodwill_intangibles.intangible_assets_change.2025-02-02</t>
        </is>
      </c>
      <c r="F219" t="inlineStr">
        <is>
          <t>goodwill_intangibles</t>
        </is>
      </c>
      <c r="G219" t="inlineStr">
        <is>
          <t>ALT DuPont</t>
        </is>
      </c>
      <c r="H219" t="inlineStr">
        <is>
          <t>D72</t>
        </is>
      </c>
      <c r="I219">
        <f>D71-C71</f>
        <v/>
      </c>
      <c r="J219" t="n">
        <v>11673</v>
      </c>
      <c r="K219" t="n">
        <v>0.01</v>
      </c>
      <c r="M219" t="inlineStr">
        <is>
          <t>Change in Intangible Assets = Current − Prior reported intangible assets.</t>
        </is>
      </c>
      <c r="O219" t="inlineStr">
        <is>
          <t>pending</t>
        </is>
      </c>
      <c r="P219" t="inlineStr">
        <is>
          <t>intangible_assets_change</t>
        </is>
      </c>
      <c r="Q219" t="n">
        <v>102</v>
      </c>
      <c r="R219" t="n">
        <v>2</v>
      </c>
      <c r="S219" t="inlineStr">
        <is>
          <t>2025-02-02</t>
        </is>
      </c>
    </row>
    <row r="220">
      <c r="A220" t="inlineStr">
        <is>
          <t>intangible_assets_change__20260201</t>
        </is>
      </c>
      <c r="B220" t="n">
        <v>219</v>
      </c>
      <c r="C220" t="inlineStr">
        <is>
          <t>Change in Intangible Assets</t>
        </is>
      </c>
      <c r="D220" t="inlineStr">
        <is>
          <t>Current intangible assets − prior intangible assets.</t>
        </is>
      </c>
      <c r="E220" t="inlineStr">
        <is>
          <t>goodwill_intangibles.intangible_assets_change.2026-02-01</t>
        </is>
      </c>
      <c r="F220" t="inlineStr">
        <is>
          <t>goodwill_intangibles</t>
        </is>
      </c>
      <c r="G220" t="inlineStr">
        <is>
          <t>ALT DuPont</t>
        </is>
      </c>
      <c r="H220" t="inlineStr">
        <is>
          <t>E72</t>
        </is>
      </c>
      <c r="I220">
        <f>E71-D71</f>
        <v/>
      </c>
      <c r="J220" t="n">
        <v>-5390</v>
      </c>
      <c r="K220" t="n">
        <v>0.01</v>
      </c>
      <c r="M220" t="inlineStr">
        <is>
          <t>Change in Intangible Assets = Current − Prior reported intangible assets.</t>
        </is>
      </c>
      <c r="O220" t="inlineStr">
        <is>
          <t>pending</t>
        </is>
      </c>
      <c r="P220" t="inlineStr">
        <is>
          <t>intangible_assets_change</t>
        </is>
      </c>
      <c r="Q220" t="n">
        <v>102</v>
      </c>
      <c r="R220" t="n">
        <v>3</v>
      </c>
      <c r="S220" t="inlineStr">
        <is>
          <t>2026-02-01</t>
        </is>
      </c>
    </row>
    <row r="221">
      <c r="A221" t="inlineStr">
        <is>
          <t>intangible_assets_growth__20240128</t>
        </is>
      </c>
      <c r="B221" t="n">
        <v>220</v>
      </c>
      <c r="C221" t="inlineStr">
        <is>
          <t>Intangible Assets Growth</t>
        </is>
      </c>
      <c r="D221" t="inlineStr">
        <is>
          <t>Percentage change in reported intangible assets.</t>
        </is>
      </c>
      <c r="E221" t="inlineStr">
        <is>
          <t>goodwill_intangibles.intangible_assets_growth.2024-01-28</t>
        </is>
      </c>
      <c r="F221" t="inlineStr">
        <is>
          <t>goodwill_intangibles</t>
        </is>
      </c>
      <c r="G221" t="inlineStr">
        <is>
          <t>ALT DuPont</t>
        </is>
      </c>
      <c r="H221" t="inlineStr">
        <is>
          <t>C73</t>
        </is>
      </c>
      <c r="I221">
        <f>IF(B71=0,NA(),C71/B71-1)</f>
        <v/>
      </c>
      <c r="J221" t="n">
        <v>-1</v>
      </c>
      <c r="K221" t="n">
        <v>0.01</v>
      </c>
      <c r="L221" t="inlineStr">
        <is>
          <t>intangible_assets_change__20240128</t>
        </is>
      </c>
      <c r="M221" t="inlineStr">
        <is>
          <t>Intangible Assets Growth = Change / Prior intangible assets.|A zero prior balance makes percentage growth undefined (#N/A).</t>
        </is>
      </c>
      <c r="O221" t="inlineStr">
        <is>
          <t>pending</t>
        </is>
      </c>
      <c r="P221" t="inlineStr">
        <is>
          <t>intangible_assets_growth</t>
        </is>
      </c>
      <c r="Q221" t="n">
        <v>103</v>
      </c>
      <c r="R221" t="n">
        <v>1</v>
      </c>
      <c r="S221" t="inlineStr">
        <is>
          <t>2024-01-28</t>
        </is>
      </c>
    </row>
    <row r="222">
      <c r="A222" t="inlineStr">
        <is>
          <t>intangible_assets_growth__20250202</t>
        </is>
      </c>
      <c r="B222" t="n">
        <v>221</v>
      </c>
      <c r="C222" t="inlineStr">
        <is>
          <t>Intangible Assets Growth</t>
        </is>
      </c>
      <c r="D222" t="inlineStr">
        <is>
          <t>Percentage change in reported intangible assets.</t>
        </is>
      </c>
      <c r="E222" t="inlineStr">
        <is>
          <t>goodwill_intangibles.intangible_assets_growth.2025-02-02</t>
        </is>
      </c>
      <c r="F222" t="inlineStr">
        <is>
          <t>goodwill_intangibles</t>
        </is>
      </c>
      <c r="G222" t="inlineStr">
        <is>
          <t>ALT DuPont</t>
        </is>
      </c>
      <c r="H222" t="inlineStr">
        <is>
          <t>D73</t>
        </is>
      </c>
      <c r="I222">
        <f>IF(C71=0,NA(),D71/C71-1)</f>
        <v/>
      </c>
      <c r="J222" t="e">
        <v>#N/A</v>
      </c>
      <c r="K222" t="n">
        <v>0.01</v>
      </c>
      <c r="L222" t="inlineStr">
        <is>
          <t>intangible_assets_change__20250202</t>
        </is>
      </c>
      <c r="M222" t="inlineStr">
        <is>
          <t>Intangible Assets Growth = Change / Prior intangible assets.|A zero prior balance makes percentage growth undefined (#N/A).</t>
        </is>
      </c>
      <c r="O222" t="inlineStr">
        <is>
          <t>pending</t>
        </is>
      </c>
      <c r="P222" t="inlineStr">
        <is>
          <t>intangible_assets_growth</t>
        </is>
      </c>
      <c r="Q222" t="n">
        <v>103</v>
      </c>
      <c r="R222" t="n">
        <v>2</v>
      </c>
      <c r="S222" t="inlineStr">
        <is>
          <t>2025-02-02</t>
        </is>
      </c>
    </row>
    <row r="223">
      <c r="A223" t="inlineStr">
        <is>
          <t>intangible_assets_growth__20260201</t>
        </is>
      </c>
      <c r="B223" t="n">
        <v>222</v>
      </c>
      <c r="C223" t="inlineStr">
        <is>
          <t>Intangible Assets Growth</t>
        </is>
      </c>
      <c r="D223" t="inlineStr">
        <is>
          <t>Percentage change in reported intangible assets.</t>
        </is>
      </c>
      <c r="E223" t="inlineStr">
        <is>
          <t>goodwill_intangibles.intangible_assets_growth.2026-02-01</t>
        </is>
      </c>
      <c r="F223" t="inlineStr">
        <is>
          <t>goodwill_intangibles</t>
        </is>
      </c>
      <c r="G223" t="inlineStr">
        <is>
          <t>ALT DuPont</t>
        </is>
      </c>
      <c r="H223" t="inlineStr">
        <is>
          <t>E73</t>
        </is>
      </c>
      <c r="I223">
        <f>IF(D71=0,NA(),E71/D71-1)</f>
        <v/>
      </c>
      <c r="J223" t="n">
        <v>-0.4617493360747023</v>
      </c>
      <c r="K223" t="n">
        <v>0.01</v>
      </c>
      <c r="L223" t="inlineStr">
        <is>
          <t>intangible_assets_change__20260201</t>
        </is>
      </c>
      <c r="M223" t="inlineStr">
        <is>
          <t>Intangible Assets Growth = Change / Prior intangible assets.|A zero prior balance makes percentage growth undefined (#N/A).</t>
        </is>
      </c>
      <c r="O223" t="inlineStr">
        <is>
          <t>pending</t>
        </is>
      </c>
      <c r="P223" t="inlineStr">
        <is>
          <t>intangible_assets_growth</t>
        </is>
      </c>
      <c r="Q223" t="n">
        <v>103</v>
      </c>
      <c r="R223" t="n">
        <v>3</v>
      </c>
      <c r="S223" t="inlineStr">
        <is>
          <t>2026-02-01</t>
        </is>
      </c>
    </row>
    <row r="224">
      <c r="A224" t="inlineStr">
        <is>
          <t>average_intangible_assets__20240128</t>
        </is>
      </c>
      <c r="B224" t="n">
        <v>223</v>
      </c>
      <c r="C224" t="inlineStr">
        <is>
          <t>Average Intangible Assets</t>
        </is>
      </c>
      <c r="D224" t="inlineStr">
        <is>
          <t>Average beginning and ending intangible assets.</t>
        </is>
      </c>
      <c r="E224" t="inlineStr">
        <is>
          <t>goodwill_intangibles.average_intangible_assets.2024-01-28</t>
        </is>
      </c>
      <c r="F224" t="inlineStr">
        <is>
          <t>goodwill_intangibles</t>
        </is>
      </c>
      <c r="G224" t="inlineStr">
        <is>
          <t>ALT DuPont</t>
        </is>
      </c>
      <c r="H224" t="inlineStr">
        <is>
          <t>C74</t>
        </is>
      </c>
      <c r="I224">
        <f>(B71+C71)/2</f>
        <v/>
      </c>
      <c r="J224" t="n">
        <v>10980.5</v>
      </c>
      <c r="K224" t="n">
        <v>0.01</v>
      </c>
      <c r="M224" t="inlineStr">
        <is>
          <t>Average Intangible Assets = (Prior + Current) / 2.</t>
        </is>
      </c>
      <c r="O224" t="inlineStr">
        <is>
          <t>pending</t>
        </is>
      </c>
      <c r="P224" t="inlineStr">
        <is>
          <t>average_intangible_assets</t>
        </is>
      </c>
      <c r="Q224" t="n">
        <v>104</v>
      </c>
      <c r="R224" t="n">
        <v>1</v>
      </c>
      <c r="S224" t="inlineStr">
        <is>
          <t>2024-01-28</t>
        </is>
      </c>
    </row>
    <row r="225">
      <c r="A225" t="inlineStr">
        <is>
          <t>average_intangible_assets__20250202</t>
        </is>
      </c>
      <c r="B225" t="n">
        <v>224</v>
      </c>
      <c r="C225" t="inlineStr">
        <is>
          <t>Average Intangible Assets</t>
        </is>
      </c>
      <c r="D225" t="inlineStr">
        <is>
          <t>Average beginning and ending intangible assets.</t>
        </is>
      </c>
      <c r="E225" t="inlineStr">
        <is>
          <t>goodwill_intangibles.average_intangible_assets.2025-02-02</t>
        </is>
      </c>
      <c r="F225" t="inlineStr">
        <is>
          <t>goodwill_intangibles</t>
        </is>
      </c>
      <c r="G225" t="inlineStr">
        <is>
          <t>ALT DuPont</t>
        </is>
      </c>
      <c r="H225" t="inlineStr">
        <is>
          <t>D74</t>
        </is>
      </c>
      <c r="I225">
        <f>(C71+D71)/2</f>
        <v/>
      </c>
      <c r="J225" t="n">
        <v>5836.5</v>
      </c>
      <c r="K225" t="n">
        <v>0.01</v>
      </c>
      <c r="M225" t="inlineStr">
        <is>
          <t>Average Intangible Assets = (Prior + Current) / 2.</t>
        </is>
      </c>
      <c r="O225" t="inlineStr">
        <is>
          <t>pending</t>
        </is>
      </c>
      <c r="P225" t="inlineStr">
        <is>
          <t>average_intangible_assets</t>
        </is>
      </c>
      <c r="Q225" t="n">
        <v>104</v>
      </c>
      <c r="R225" t="n">
        <v>2</v>
      </c>
      <c r="S225" t="inlineStr">
        <is>
          <t>2025-02-02</t>
        </is>
      </c>
    </row>
    <row r="226">
      <c r="A226" t="inlineStr">
        <is>
          <t>average_intangible_assets__20260201</t>
        </is>
      </c>
      <c r="B226" t="n">
        <v>225</v>
      </c>
      <c r="C226" t="inlineStr">
        <is>
          <t>Average Intangible Assets</t>
        </is>
      </c>
      <c r="D226" t="inlineStr">
        <is>
          <t>Average beginning and ending intangible assets.</t>
        </is>
      </c>
      <c r="E226" t="inlineStr">
        <is>
          <t>goodwill_intangibles.average_intangible_assets.2026-02-01</t>
        </is>
      </c>
      <c r="F226" t="inlineStr">
        <is>
          <t>goodwill_intangibles</t>
        </is>
      </c>
      <c r="G226" t="inlineStr">
        <is>
          <t>ALT DuPont</t>
        </is>
      </c>
      <c r="H226" t="inlineStr">
        <is>
          <t>E74</t>
        </is>
      </c>
      <c r="I226">
        <f>(D71+E71)/2</f>
        <v/>
      </c>
      <c r="J226" t="n">
        <v>8978</v>
      </c>
      <c r="K226" t="n">
        <v>0.01</v>
      </c>
      <c r="M226" t="inlineStr">
        <is>
          <t>Average Intangible Assets = (Prior + Current) / 2.</t>
        </is>
      </c>
      <c r="O226" t="inlineStr">
        <is>
          <t>pending</t>
        </is>
      </c>
      <c r="P226" t="inlineStr">
        <is>
          <t>average_intangible_assets</t>
        </is>
      </c>
      <c r="Q226" t="n">
        <v>104</v>
      </c>
      <c r="R226" t="n">
        <v>3</v>
      </c>
      <c r="S226" t="inlineStr">
        <is>
          <t>2026-02-01</t>
        </is>
      </c>
    </row>
    <row r="227">
      <c r="A227" t="inlineStr">
        <is>
          <t>intangible_assets_to_revenue__20240128</t>
        </is>
      </c>
      <c r="B227" t="n">
        <v>226</v>
      </c>
      <c r="C227" t="inlineStr">
        <is>
          <t>Average Intangible Assets / Revenue</t>
        </is>
      </c>
      <c r="D227" t="inlineStr">
        <is>
          <t>Average intangible assets divided by Revenue (average-balance intensity).</t>
        </is>
      </c>
      <c r="E227" t="inlineStr">
        <is>
          <t>goodwill_intangibles.intangible_assets_to_revenue.2024-01-28</t>
        </is>
      </c>
      <c r="F227" t="inlineStr">
        <is>
          <t>goodwill_intangibles</t>
        </is>
      </c>
      <c r="G227" t="inlineStr">
        <is>
          <t>ALT DuPont</t>
        </is>
      </c>
      <c r="H227" t="inlineStr">
        <is>
          <t>C75</t>
        </is>
      </c>
      <c r="I227">
        <f>IF('Condensed Financials'!C34=0,NA(),C74/'Condensed Financials'!C34)</f>
        <v/>
      </c>
      <c r="J227" t="n">
        <v>0.001141509788988321</v>
      </c>
      <c r="K227" t="n">
        <v>0.01</v>
      </c>
      <c r="L227" t="inlineStr">
        <is>
          <t>average_intangible_assets__20240128,revenue_link__20240128</t>
        </is>
      </c>
      <c r="M227" t="inlineStr">
        <is>
          <t>Average Intangible Assets / Revenue uses the average balance.|A zero Revenue denominator makes the ratio undefined (#N/A).</t>
        </is>
      </c>
      <c r="O227" t="inlineStr">
        <is>
          <t>pending</t>
        </is>
      </c>
      <c r="P227" t="inlineStr">
        <is>
          <t>intangible_assets_to_revenue</t>
        </is>
      </c>
      <c r="Q227" t="n">
        <v>105</v>
      </c>
      <c r="R227" t="n">
        <v>1</v>
      </c>
      <c r="S227" t="inlineStr">
        <is>
          <t>2024-01-28</t>
        </is>
      </c>
    </row>
    <row r="228">
      <c r="A228" t="inlineStr">
        <is>
          <t>intangible_assets_to_revenue__20250202</t>
        </is>
      </c>
      <c r="B228" t="n">
        <v>227</v>
      </c>
      <c r="C228" t="inlineStr">
        <is>
          <t>Average Intangible Assets / Revenue</t>
        </is>
      </c>
      <c r="D228" t="inlineStr">
        <is>
          <t>Average intangible assets divided by Revenue (average-balance intensity).</t>
        </is>
      </c>
      <c r="E228" t="inlineStr">
        <is>
          <t>goodwill_intangibles.intangible_assets_to_revenue.2025-02-02</t>
        </is>
      </c>
      <c r="F228" t="inlineStr">
        <is>
          <t>goodwill_intangibles</t>
        </is>
      </c>
      <c r="G228" t="inlineStr">
        <is>
          <t>ALT DuPont</t>
        </is>
      </c>
      <c r="H228" t="inlineStr">
        <is>
          <t>D75</t>
        </is>
      </c>
      <c r="I228">
        <f>IF('Condensed Financials'!D34=0,NA(),D74/'Condensed Financials'!D34)</f>
        <v/>
      </c>
      <c r="J228" t="n">
        <v>0.0005512306899256771</v>
      </c>
      <c r="K228" t="n">
        <v>0.01</v>
      </c>
      <c r="L228" t="inlineStr">
        <is>
          <t>average_intangible_assets__20250202,revenue_link__20250202</t>
        </is>
      </c>
      <c r="M228" t="inlineStr">
        <is>
          <t>Average Intangible Assets / Revenue uses the average balance.|A zero Revenue denominator makes the ratio undefined (#N/A).</t>
        </is>
      </c>
      <c r="O228" t="inlineStr">
        <is>
          <t>pending</t>
        </is>
      </c>
      <c r="P228" t="inlineStr">
        <is>
          <t>intangible_assets_to_revenue</t>
        </is>
      </c>
      <c r="Q228" t="n">
        <v>105</v>
      </c>
      <c r="R228" t="n">
        <v>2</v>
      </c>
      <c r="S228" t="inlineStr">
        <is>
          <t>2025-02-02</t>
        </is>
      </c>
    </row>
    <row r="229">
      <c r="A229" t="inlineStr">
        <is>
          <t>intangible_assets_to_revenue__20260201</t>
        </is>
      </c>
      <c r="B229" t="n">
        <v>228</v>
      </c>
      <c r="C229" t="inlineStr">
        <is>
          <t>Average Intangible Assets / Revenue</t>
        </is>
      </c>
      <c r="D229" t="inlineStr">
        <is>
          <t>Average intangible assets divided by Revenue (average-balance intensity).</t>
        </is>
      </c>
      <c r="E229" t="inlineStr">
        <is>
          <t>goodwill_intangibles.intangible_assets_to_revenue.2026-02-01</t>
        </is>
      </c>
      <c r="F229" t="inlineStr">
        <is>
          <t>goodwill_intangibles</t>
        </is>
      </c>
      <c r="G229" t="inlineStr">
        <is>
          <t>ALT DuPont</t>
        </is>
      </c>
      <c r="H229" t="inlineStr">
        <is>
          <t>E75</t>
        </is>
      </c>
      <c r="I229">
        <f>IF('Condensed Financials'!E34=0,NA(),E74/'Condensed Financials'!E34)</f>
        <v/>
      </c>
      <c r="J229" t="n">
        <v>0.0008086394177940303</v>
      </c>
      <c r="K229" t="n">
        <v>0.01</v>
      </c>
      <c r="L229" t="inlineStr">
        <is>
          <t>average_intangible_assets__20260201,revenue_link__20260201</t>
        </is>
      </c>
      <c r="M229" t="inlineStr">
        <is>
          <t>Average Intangible Assets / Revenue uses the average balance.|A zero Revenue denominator makes the ratio undefined (#N/A).</t>
        </is>
      </c>
      <c r="O229" t="inlineStr">
        <is>
          <t>pending</t>
        </is>
      </c>
      <c r="P229" t="inlineStr">
        <is>
          <t>intangible_assets_to_revenue</t>
        </is>
      </c>
      <c r="Q229" t="n">
        <v>105</v>
      </c>
      <c r="R229" t="n">
        <v>3</v>
      </c>
      <c r="S229" t="inlineStr">
        <is>
          <t>2026-02-01</t>
        </is>
      </c>
    </row>
    <row r="230">
      <c r="A230" t="inlineStr">
        <is>
          <t>goodwill_and_intangibles_change__20240128</t>
        </is>
      </c>
      <c r="B230" t="n">
        <v>229</v>
      </c>
      <c r="C230" t="inlineStr">
        <is>
          <t>Change in Goodwill &amp; Intangibles</t>
        </is>
      </c>
      <c r="D230" t="inlineStr">
        <is>
          <t>Current combined total − prior combined total.</t>
        </is>
      </c>
      <c r="E230" t="inlineStr">
        <is>
          <t>goodwill_intangibles.goodwill_and_intangibles_change.2024-01-28</t>
        </is>
      </c>
      <c r="F230" t="inlineStr">
        <is>
          <t>goodwill_intangibles</t>
        </is>
      </c>
      <c r="G230" t="inlineStr">
        <is>
          <t>ALT DuPont</t>
        </is>
      </c>
      <c r="H230" t="inlineStr">
        <is>
          <t>C77</t>
        </is>
      </c>
      <c r="I230">
        <f>C76-B76</f>
        <v/>
      </c>
      <c r="J230" t="n">
        <v>-22022</v>
      </c>
      <c r="K230" t="n">
        <v>0.01</v>
      </c>
      <c r="M230" t="inlineStr">
        <is>
          <t>Combined total is the sum of uniquely resolved goodwill and intangible assets only.</t>
        </is>
      </c>
      <c r="O230" t="inlineStr">
        <is>
          <t>pending</t>
        </is>
      </c>
      <c r="P230" t="inlineStr">
        <is>
          <t>goodwill_and_intangibles_change</t>
        </is>
      </c>
      <c r="Q230" t="n">
        <v>106</v>
      </c>
      <c r="R230" t="n">
        <v>1</v>
      </c>
      <c r="S230" t="inlineStr">
        <is>
          <t>2024-01-28</t>
        </is>
      </c>
    </row>
    <row r="231">
      <c r="A231" t="inlineStr">
        <is>
          <t>goodwill_and_intangibles_change__20250202</t>
        </is>
      </c>
      <c r="B231" t="n">
        <v>230</v>
      </c>
      <c r="C231" t="inlineStr">
        <is>
          <t>Change in Goodwill &amp; Intangibles</t>
        </is>
      </c>
      <c r="D231" t="inlineStr">
        <is>
          <t>Current combined total − prior combined total.</t>
        </is>
      </c>
      <c r="E231" t="inlineStr">
        <is>
          <t>goodwill_intangibles.goodwill_and_intangibles_change.2025-02-02</t>
        </is>
      </c>
      <c r="F231" t="inlineStr">
        <is>
          <t>goodwill_intangibles</t>
        </is>
      </c>
      <c r="G231" t="inlineStr">
        <is>
          <t>ALT DuPont</t>
        </is>
      </c>
      <c r="H231" t="inlineStr">
        <is>
          <t>D77</t>
        </is>
      </c>
      <c r="I231">
        <f>D76-C76</f>
        <v/>
      </c>
      <c r="J231" t="n">
        <v>147108</v>
      </c>
      <c r="K231" t="n">
        <v>0.01</v>
      </c>
      <c r="M231" t="inlineStr">
        <is>
          <t>Combined total is the sum of uniquely resolved goodwill and intangible assets only.</t>
        </is>
      </c>
      <c r="O231" t="inlineStr">
        <is>
          <t>pending</t>
        </is>
      </c>
      <c r="P231" t="inlineStr">
        <is>
          <t>goodwill_and_intangibles_change</t>
        </is>
      </c>
      <c r="Q231" t="n">
        <v>106</v>
      </c>
      <c r="R231" t="n">
        <v>2</v>
      </c>
      <c r="S231" t="inlineStr">
        <is>
          <t>2025-02-02</t>
        </is>
      </c>
    </row>
    <row r="232">
      <c r="A232" t="inlineStr">
        <is>
          <t>goodwill_and_intangibles_change__20260201</t>
        </is>
      </c>
      <c r="B232" t="n">
        <v>231</v>
      </c>
      <c r="C232" t="inlineStr">
        <is>
          <t>Change in Goodwill &amp; Intangibles</t>
        </is>
      </c>
      <c r="D232" t="inlineStr">
        <is>
          <t>Current combined total − prior combined total.</t>
        </is>
      </c>
      <c r="E232" t="inlineStr">
        <is>
          <t>goodwill_intangibles.goodwill_and_intangibles_change.2026-02-01</t>
        </is>
      </c>
      <c r="F232" t="inlineStr">
        <is>
          <t>goodwill_intangibles</t>
        </is>
      </c>
      <c r="G232" t="inlineStr">
        <is>
          <t>ALT DuPont</t>
        </is>
      </c>
      <c r="H232" t="inlineStr">
        <is>
          <t>E77</t>
        </is>
      </c>
      <c r="I232">
        <f>E76-D76</f>
        <v/>
      </c>
      <c r="J232" t="n">
        <v>20003</v>
      </c>
      <c r="K232" t="n">
        <v>0.01</v>
      </c>
      <c r="M232" t="inlineStr">
        <is>
          <t>Combined total is the sum of uniquely resolved goodwill and intangible assets only.</t>
        </is>
      </c>
      <c r="O232" t="inlineStr">
        <is>
          <t>pending</t>
        </is>
      </c>
      <c r="P232" t="inlineStr">
        <is>
          <t>goodwill_and_intangibles_change</t>
        </is>
      </c>
      <c r="Q232" t="n">
        <v>106</v>
      </c>
      <c r="R232" t="n">
        <v>3</v>
      </c>
      <c r="S232" t="inlineStr">
        <is>
          <t>2026-02-01</t>
        </is>
      </c>
    </row>
    <row r="233">
      <c r="A233" t="inlineStr">
        <is>
          <t>goodwill_and_intangibles_growth__20240128</t>
        </is>
      </c>
      <c r="B233" t="n">
        <v>232</v>
      </c>
      <c r="C233" t="inlineStr">
        <is>
          <t>Goodwill &amp; Intangibles Growth</t>
        </is>
      </c>
      <c r="D233" t="inlineStr">
        <is>
          <t>Percentage change in the combined goodwill and intangibles total.</t>
        </is>
      </c>
      <c r="E233" t="inlineStr">
        <is>
          <t>goodwill_intangibles.goodwill_and_intangibles_growth.2024-01-28</t>
        </is>
      </c>
      <c r="F233" t="inlineStr">
        <is>
          <t>goodwill_intangibles</t>
        </is>
      </c>
      <c r="G233" t="inlineStr">
        <is>
          <t>ALT DuPont</t>
        </is>
      </c>
      <c r="H233" t="inlineStr">
        <is>
          <t>C78</t>
        </is>
      </c>
      <c r="I233">
        <f>IF(B76=0,NA(),C76/B76-1)</f>
        <v/>
      </c>
      <c r="J233" t="n">
        <v>-0.4776488450276543</v>
      </c>
      <c r="K233" t="n">
        <v>0.01</v>
      </c>
      <c r="L233" t="inlineStr">
        <is>
          <t>goodwill_and_intangibles_change__20240128</t>
        </is>
      </c>
      <c r="M233" t="inlineStr">
        <is>
          <t>Growth = Change / Prior combined total.|A zero prior combined total makes percentage growth undefined (#N/A).</t>
        </is>
      </c>
      <c r="O233" t="inlineStr">
        <is>
          <t>pending</t>
        </is>
      </c>
      <c r="P233" t="inlineStr">
        <is>
          <t>goodwill_and_intangibles_growth</t>
        </is>
      </c>
      <c r="Q233" t="n">
        <v>107</v>
      </c>
      <c r="R233" t="n">
        <v>1</v>
      </c>
      <c r="S233" t="inlineStr">
        <is>
          <t>2024-01-28</t>
        </is>
      </c>
    </row>
    <row r="234">
      <c r="A234" t="inlineStr">
        <is>
          <t>goodwill_and_intangibles_growth__20250202</t>
        </is>
      </c>
      <c r="B234" t="n">
        <v>233</v>
      </c>
      <c r="C234" t="inlineStr">
        <is>
          <t>Goodwill &amp; Intangibles Growth</t>
        </is>
      </c>
      <c r="D234" t="inlineStr">
        <is>
          <t>Percentage change in the combined goodwill and intangibles total.</t>
        </is>
      </c>
      <c r="E234" t="inlineStr">
        <is>
          <t>goodwill_intangibles.goodwill_and_intangibles_growth.2025-02-02</t>
        </is>
      </c>
      <c r="F234" t="inlineStr">
        <is>
          <t>goodwill_intangibles</t>
        </is>
      </c>
      <c r="G234" t="inlineStr">
        <is>
          <t>ALT DuPont</t>
        </is>
      </c>
      <c r="H234" t="inlineStr">
        <is>
          <t>D78</t>
        </is>
      </c>
      <c r="I234">
        <f>IF(C76=0,NA(),D76/C76-1)</f>
        <v/>
      </c>
      <c r="J234" t="n">
        <v>6.108375202424947</v>
      </c>
      <c r="K234" t="n">
        <v>0.01</v>
      </c>
      <c r="L234" t="inlineStr">
        <is>
          <t>goodwill_and_intangibles_change__20250202</t>
        </is>
      </c>
      <c r="M234" t="inlineStr">
        <is>
          <t>Growth = Change / Prior combined total.|A zero prior combined total makes percentage growth undefined (#N/A).</t>
        </is>
      </c>
      <c r="O234" t="inlineStr">
        <is>
          <t>pending</t>
        </is>
      </c>
      <c r="P234" t="inlineStr">
        <is>
          <t>goodwill_and_intangibles_growth</t>
        </is>
      </c>
      <c r="Q234" t="n">
        <v>107</v>
      </c>
      <c r="R234" t="n">
        <v>2</v>
      </c>
      <c r="S234" t="inlineStr">
        <is>
          <t>2025-02-02</t>
        </is>
      </c>
    </row>
    <row r="235">
      <c r="A235" t="inlineStr">
        <is>
          <t>goodwill_and_intangibles_growth__20260201</t>
        </is>
      </c>
      <c r="B235" t="n">
        <v>234</v>
      </c>
      <c r="C235" t="inlineStr">
        <is>
          <t>Goodwill &amp; Intangibles Growth</t>
        </is>
      </c>
      <c r="D235" t="inlineStr">
        <is>
          <t>Percentage change in the combined goodwill and intangibles total.</t>
        </is>
      </c>
      <c r="E235" t="inlineStr">
        <is>
          <t>goodwill_intangibles.goodwill_and_intangibles_growth.2026-02-01</t>
        </is>
      </c>
      <c r="F235" t="inlineStr">
        <is>
          <t>goodwill_intangibles</t>
        </is>
      </c>
      <c r="G235" t="inlineStr">
        <is>
          <t>ALT DuPont</t>
        </is>
      </c>
      <c r="H235" t="inlineStr">
        <is>
          <t>E78</t>
        </is>
      </c>
      <c r="I235">
        <f>IF(D76=0,NA(),E76/D76-1)</f>
        <v/>
      </c>
      <c r="J235" t="n">
        <v>0.1168460958812087</v>
      </c>
      <c r="K235" t="n">
        <v>0.01</v>
      </c>
      <c r="L235" t="inlineStr">
        <is>
          <t>goodwill_and_intangibles_change__20260201</t>
        </is>
      </c>
      <c r="M235" t="inlineStr">
        <is>
          <t>Growth = Change / Prior combined total.|A zero prior combined total makes percentage growth undefined (#N/A).</t>
        </is>
      </c>
      <c r="O235" t="inlineStr">
        <is>
          <t>pending</t>
        </is>
      </c>
      <c r="P235" t="inlineStr">
        <is>
          <t>goodwill_and_intangibles_growth</t>
        </is>
      </c>
      <c r="Q235" t="n">
        <v>107</v>
      </c>
      <c r="R235" t="n">
        <v>3</v>
      </c>
      <c r="S235" t="inlineStr">
        <is>
          <t>2026-02-01</t>
        </is>
      </c>
    </row>
    <row r="236">
      <c r="A236" t="inlineStr">
        <is>
          <t>average_goodwill_and_intangibles__20240128</t>
        </is>
      </c>
      <c r="B236" t="n">
        <v>235</v>
      </c>
      <c r="C236" t="inlineStr">
        <is>
          <t>Average Goodwill &amp; Intangibles</t>
        </is>
      </c>
      <c r="D236" t="inlineStr">
        <is>
          <t>Average beginning and ending combined goodwill and intangibles.</t>
        </is>
      </c>
      <c r="E236" t="inlineStr">
        <is>
          <t>goodwill_intangibles.average_goodwill_and_intangibles.2024-01-28</t>
        </is>
      </c>
      <c r="F236" t="inlineStr">
        <is>
          <t>goodwill_intangibles</t>
        </is>
      </c>
      <c r="G236" t="inlineStr">
        <is>
          <t>ALT DuPont</t>
        </is>
      </c>
      <c r="H236" t="inlineStr">
        <is>
          <t>C79</t>
        </is>
      </c>
      <c r="I236">
        <f>(B76+C76)/2</f>
        <v/>
      </c>
      <c r="J236" t="n">
        <v>35094</v>
      </c>
      <c r="K236" t="n">
        <v>0.01</v>
      </c>
      <c r="M236" t="inlineStr">
        <is>
          <t>Average = (Prior combined + Current combined) / 2.</t>
        </is>
      </c>
      <c r="O236" t="inlineStr">
        <is>
          <t>pending</t>
        </is>
      </c>
      <c r="P236" t="inlineStr">
        <is>
          <t>average_goodwill_and_intangibles</t>
        </is>
      </c>
      <c r="Q236" t="n">
        <v>108</v>
      </c>
      <c r="R236" t="n">
        <v>1</v>
      </c>
      <c r="S236" t="inlineStr">
        <is>
          <t>2024-01-28</t>
        </is>
      </c>
    </row>
    <row r="237">
      <c r="A237" t="inlineStr">
        <is>
          <t>average_goodwill_and_intangibles__20250202</t>
        </is>
      </c>
      <c r="B237" t="n">
        <v>236</v>
      </c>
      <c r="C237" t="inlineStr">
        <is>
          <t>Average Goodwill &amp; Intangibles</t>
        </is>
      </c>
      <c r="D237" t="inlineStr">
        <is>
          <t>Average beginning and ending combined goodwill and intangibles.</t>
        </is>
      </c>
      <c r="E237" t="inlineStr">
        <is>
          <t>goodwill_intangibles.average_goodwill_and_intangibles.2025-02-02</t>
        </is>
      </c>
      <c r="F237" t="inlineStr">
        <is>
          <t>goodwill_intangibles</t>
        </is>
      </c>
      <c r="G237" t="inlineStr">
        <is>
          <t>ALT DuPont</t>
        </is>
      </c>
      <c r="H237" t="inlineStr">
        <is>
          <t>D79</t>
        </is>
      </c>
      <c r="I237">
        <f>(C76+D76)/2</f>
        <v/>
      </c>
      <c r="J237" t="n">
        <v>97637</v>
      </c>
      <c r="K237" t="n">
        <v>0.01</v>
      </c>
      <c r="M237" t="inlineStr">
        <is>
          <t>Average = (Prior combined + Current combined) / 2.</t>
        </is>
      </c>
      <c r="O237" t="inlineStr">
        <is>
          <t>pending</t>
        </is>
      </c>
      <c r="P237" t="inlineStr">
        <is>
          <t>average_goodwill_and_intangibles</t>
        </is>
      </c>
      <c r="Q237" t="n">
        <v>108</v>
      </c>
      <c r="R237" t="n">
        <v>2</v>
      </c>
      <c r="S237" t="inlineStr">
        <is>
          <t>2025-02-02</t>
        </is>
      </c>
    </row>
    <row r="238">
      <c r="A238" t="inlineStr">
        <is>
          <t>average_goodwill_and_intangibles__20260201</t>
        </is>
      </c>
      <c r="B238" t="n">
        <v>237</v>
      </c>
      <c r="C238" t="inlineStr">
        <is>
          <t>Average Goodwill &amp; Intangibles</t>
        </is>
      </c>
      <c r="D238" t="inlineStr">
        <is>
          <t>Average beginning and ending combined goodwill and intangibles.</t>
        </is>
      </c>
      <c r="E238" t="inlineStr">
        <is>
          <t>goodwill_intangibles.average_goodwill_and_intangibles.2026-02-01</t>
        </is>
      </c>
      <c r="F238" t="inlineStr">
        <is>
          <t>goodwill_intangibles</t>
        </is>
      </c>
      <c r="G238" t="inlineStr">
        <is>
          <t>ALT DuPont</t>
        </is>
      </c>
      <c r="H238" t="inlineStr">
        <is>
          <t>E79</t>
        </is>
      </c>
      <c r="I238">
        <f>(D76+E76)/2</f>
        <v/>
      </c>
      <c r="J238" t="n">
        <v>181192.5</v>
      </c>
      <c r="K238" t="n">
        <v>0.01</v>
      </c>
      <c r="M238" t="inlineStr">
        <is>
          <t>Average = (Prior combined + Current combined) / 2.</t>
        </is>
      </c>
      <c r="O238" t="inlineStr">
        <is>
          <t>pending</t>
        </is>
      </c>
      <c r="P238" t="inlineStr">
        <is>
          <t>average_goodwill_and_intangibles</t>
        </is>
      </c>
      <c r="Q238" t="n">
        <v>108</v>
      </c>
      <c r="R238" t="n">
        <v>3</v>
      </c>
      <c r="S238" t="inlineStr">
        <is>
          <t>2026-02-01</t>
        </is>
      </c>
    </row>
    <row r="239">
      <c r="A239" t="inlineStr">
        <is>
          <t>goodwill_and_intangibles_to_revenue__20240128</t>
        </is>
      </c>
      <c r="B239" t="n">
        <v>238</v>
      </c>
      <c r="C239" t="inlineStr">
        <is>
          <t>Average Goodwill &amp; Intangibles / Revenue</t>
        </is>
      </c>
      <c r="D239" t="inlineStr">
        <is>
          <t>Average combined goodwill and intangibles divided by Revenue.</t>
        </is>
      </c>
      <c r="E239" t="inlineStr">
        <is>
          <t>goodwill_intangibles.goodwill_and_intangibles_to_revenue.2024-01-28</t>
        </is>
      </c>
      <c r="F239" t="inlineStr">
        <is>
          <t>goodwill_intangibles</t>
        </is>
      </c>
      <c r="G239" t="inlineStr">
        <is>
          <t>ALT DuPont</t>
        </is>
      </c>
      <c r="H239" t="inlineStr">
        <is>
          <t>C80</t>
        </is>
      </c>
      <c r="I239">
        <f>IF('Condensed Financials'!C34=0,NA(),C79/'Condensed Financials'!C34)</f>
        <v/>
      </c>
      <c r="J239" t="n">
        <v>0.00364829876005247</v>
      </c>
      <c r="K239" t="n">
        <v>0.01</v>
      </c>
      <c r="L239" t="inlineStr">
        <is>
          <t>average_goodwill_and_intangibles__20240128,revenue_link__20240128</t>
        </is>
      </c>
      <c r="M239" t="inlineStr">
        <is>
          <t>Uses the average combined balance (average-balance intensity).|A zero Revenue denominator makes the ratio undefined (#N/A).</t>
        </is>
      </c>
      <c r="O239" t="inlineStr">
        <is>
          <t>pending</t>
        </is>
      </c>
      <c r="P239" t="inlineStr">
        <is>
          <t>goodwill_and_intangibles_to_revenue</t>
        </is>
      </c>
      <c r="Q239" t="n">
        <v>109</v>
      </c>
      <c r="R239" t="n">
        <v>1</v>
      </c>
      <c r="S239" t="inlineStr">
        <is>
          <t>2024-01-28</t>
        </is>
      </c>
    </row>
    <row r="240">
      <c r="A240" t="inlineStr">
        <is>
          <t>goodwill_and_intangibles_to_revenue__20250202</t>
        </is>
      </c>
      <c r="B240" t="n">
        <v>239</v>
      </c>
      <c r="C240" t="inlineStr">
        <is>
          <t>Average Goodwill &amp; Intangibles / Revenue</t>
        </is>
      </c>
      <c r="D240" t="inlineStr">
        <is>
          <t>Average combined goodwill and intangibles divided by Revenue.</t>
        </is>
      </c>
      <c r="E240" t="inlineStr">
        <is>
          <t>goodwill_intangibles.goodwill_and_intangibles_to_revenue.2025-02-02</t>
        </is>
      </c>
      <c r="F240" t="inlineStr">
        <is>
          <t>goodwill_intangibles</t>
        </is>
      </c>
      <c r="G240" t="inlineStr">
        <is>
          <t>ALT DuPont</t>
        </is>
      </c>
      <c r="H240" t="inlineStr">
        <is>
          <t>D80</t>
        </is>
      </c>
      <c r="I240">
        <f>IF('Condensed Financials'!D34=0,NA(),D79/'Condensed Financials'!D34)</f>
        <v/>
      </c>
      <c r="J240" t="n">
        <v>0.009221367407225792</v>
      </c>
      <c r="K240" t="n">
        <v>0.01</v>
      </c>
      <c r="L240" t="inlineStr">
        <is>
          <t>average_goodwill_and_intangibles__20250202,revenue_link__20250202</t>
        </is>
      </c>
      <c r="M240" t="inlineStr">
        <is>
          <t>Uses the average combined balance (average-balance intensity).|A zero Revenue denominator makes the ratio undefined (#N/A).</t>
        </is>
      </c>
      <c r="O240" t="inlineStr">
        <is>
          <t>pending</t>
        </is>
      </c>
      <c r="P240" t="inlineStr">
        <is>
          <t>goodwill_and_intangibles_to_revenue</t>
        </is>
      </c>
      <c r="Q240" t="n">
        <v>109</v>
      </c>
      <c r="R240" t="n">
        <v>2</v>
      </c>
      <c r="S240" t="inlineStr">
        <is>
          <t>2025-02-02</t>
        </is>
      </c>
    </row>
    <row r="241">
      <c r="A241" t="inlineStr">
        <is>
          <t>goodwill_and_intangibles_to_revenue__20260201</t>
        </is>
      </c>
      <c r="B241" t="n">
        <v>240</v>
      </c>
      <c r="C241" t="inlineStr">
        <is>
          <t>Average Goodwill &amp; Intangibles / Revenue</t>
        </is>
      </c>
      <c r="D241" t="inlineStr">
        <is>
          <t>Average combined goodwill and intangibles divided by Revenue.</t>
        </is>
      </c>
      <c r="E241" t="inlineStr">
        <is>
          <t>goodwill_intangibles.goodwill_and_intangibles_to_revenue.2026-02-01</t>
        </is>
      </c>
      <c r="F241" t="inlineStr">
        <is>
          <t>goodwill_intangibles</t>
        </is>
      </c>
      <c r="G241" t="inlineStr">
        <is>
          <t>ALT DuPont</t>
        </is>
      </c>
      <c r="H241" t="inlineStr">
        <is>
          <t>E80</t>
        </is>
      </c>
      <c r="I241">
        <f>IF('Condensed Financials'!E34=0,NA(),E79/'Condensed Financials'!E34)</f>
        <v/>
      </c>
      <c r="J241" t="n">
        <v>0.01631982598670582</v>
      </c>
      <c r="K241" t="n">
        <v>0.01</v>
      </c>
      <c r="L241" t="inlineStr">
        <is>
          <t>average_goodwill_and_intangibles__20260201,revenue_link__20260201</t>
        </is>
      </c>
      <c r="M241" t="inlineStr">
        <is>
          <t>Uses the average combined balance (average-balance intensity).|A zero Revenue denominator makes the ratio undefined (#N/A).</t>
        </is>
      </c>
      <c r="O241" t="inlineStr">
        <is>
          <t>pending</t>
        </is>
      </c>
      <c r="P241" t="inlineStr">
        <is>
          <t>goodwill_and_intangibles_to_revenue</t>
        </is>
      </c>
      <c r="Q241" t="n">
        <v>109</v>
      </c>
      <c r="R241" t="n">
        <v>3</v>
      </c>
      <c r="S241" t="inlineStr">
        <is>
          <t>2026-02-01</t>
        </is>
      </c>
    </row>
    <row r="242">
      <c r="A242" t="inlineStr">
        <is>
          <t>ppe_capex__20230129</t>
        </is>
      </c>
      <c r="B242" t="n">
        <v>241</v>
      </c>
      <c r="C242" t="inlineStr">
        <is>
          <t>PP&amp;E Capex (−reported)</t>
        </is>
      </c>
      <c r="D242" t="inlineStr">
        <is>
          <t>Presented as −reported payments for property, plant and equipment.</t>
        </is>
      </c>
      <c r="E242" t="inlineStr">
        <is>
          <t>capex.ppe_capex.2023-01-29</t>
        </is>
      </c>
      <c r="F242" t="inlineStr">
        <is>
          <t>capex</t>
        </is>
      </c>
      <c r="G242" t="inlineStr">
        <is>
          <t>ALT DuPont</t>
        </is>
      </c>
      <c r="H242" t="inlineStr">
        <is>
          <t>B62</t>
        </is>
      </c>
      <c r="I242">
        <f>-B61</f>
        <v/>
      </c>
      <c r="J242" t="n">
        <v>638657</v>
      </c>
      <c r="K242" t="n">
        <v>0.01</v>
      </c>
      <c r="M242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242" t="inlineStr">
        <is>
          <t>pending</t>
        </is>
      </c>
      <c r="P242" t="inlineStr">
        <is>
          <t>ppe_capex</t>
        </is>
      </c>
      <c r="Q242" t="n">
        <v>120</v>
      </c>
      <c r="R242" t="n">
        <v>0</v>
      </c>
      <c r="S242" t="inlineStr">
        <is>
          <t>2023-01-29</t>
        </is>
      </c>
    </row>
    <row r="243">
      <c r="A243" t="inlineStr">
        <is>
          <t>ppe_capex__20240128</t>
        </is>
      </c>
      <c r="B243" t="n">
        <v>242</v>
      </c>
      <c r="C243" t="inlineStr">
        <is>
          <t>PP&amp;E Capex (−reported)</t>
        </is>
      </c>
      <c r="D243" t="inlineStr">
        <is>
          <t>Presented as −reported payments for property, plant and equipment.</t>
        </is>
      </c>
      <c r="E243" t="inlineStr">
        <is>
          <t>capex.ppe_capex.2024-01-28</t>
        </is>
      </c>
      <c r="F243" t="inlineStr">
        <is>
          <t>capex</t>
        </is>
      </c>
      <c r="G243" t="inlineStr">
        <is>
          <t>ALT DuPont</t>
        </is>
      </c>
      <c r="H243" t="inlineStr">
        <is>
          <t>C62</t>
        </is>
      </c>
      <c r="I243">
        <f>-C61</f>
        <v/>
      </c>
      <c r="J243" t="n">
        <v>651865</v>
      </c>
      <c r="K243" t="n">
        <v>0.01</v>
      </c>
      <c r="M243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243" t="inlineStr">
        <is>
          <t>pending</t>
        </is>
      </c>
      <c r="P243" t="inlineStr">
        <is>
          <t>ppe_capex</t>
        </is>
      </c>
      <c r="Q243" t="n">
        <v>120</v>
      </c>
      <c r="R243" t="n">
        <v>1</v>
      </c>
      <c r="S243" t="inlineStr">
        <is>
          <t>2024-01-28</t>
        </is>
      </c>
    </row>
    <row r="244">
      <c r="A244" t="inlineStr">
        <is>
          <t>ppe_capex__20250202</t>
        </is>
      </c>
      <c r="B244" t="n">
        <v>243</v>
      </c>
      <c r="C244" t="inlineStr">
        <is>
          <t>PP&amp;E Capex (−reported)</t>
        </is>
      </c>
      <c r="D244" t="inlineStr">
        <is>
          <t>Presented as −reported payments for property, plant and equipment.</t>
        </is>
      </c>
      <c r="E244" t="inlineStr">
        <is>
          <t>capex.ppe_capex.2025-02-02</t>
        </is>
      </c>
      <c r="F244" t="inlineStr">
        <is>
          <t>capex</t>
        </is>
      </c>
      <c r="G244" t="inlineStr">
        <is>
          <t>ALT DuPont</t>
        </is>
      </c>
      <c r="H244" t="inlineStr">
        <is>
          <t>D62</t>
        </is>
      </c>
      <c r="I244">
        <f>-D61</f>
        <v/>
      </c>
      <c r="J244" t="n">
        <v>689232</v>
      </c>
      <c r="K244" t="n">
        <v>0.01</v>
      </c>
      <c r="M244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244" t="inlineStr">
        <is>
          <t>pending</t>
        </is>
      </c>
      <c r="P244" t="inlineStr">
        <is>
          <t>ppe_capex</t>
        </is>
      </c>
      <c r="Q244" t="n">
        <v>120</v>
      </c>
      <c r="R244" t="n">
        <v>2</v>
      </c>
      <c r="S244" t="inlineStr">
        <is>
          <t>2025-02-02</t>
        </is>
      </c>
    </row>
    <row r="245">
      <c r="A245" t="inlineStr">
        <is>
          <t>ppe_capex__20260201</t>
        </is>
      </c>
      <c r="B245" t="n">
        <v>244</v>
      </c>
      <c r="C245" t="inlineStr">
        <is>
          <t>PP&amp;E Capex (−reported)</t>
        </is>
      </c>
      <c r="D245" t="inlineStr">
        <is>
          <t>Presented as −reported payments for property, plant and equipment.</t>
        </is>
      </c>
      <c r="E245" t="inlineStr">
        <is>
          <t>capex.ppe_capex.2026-02-01</t>
        </is>
      </c>
      <c r="F245" t="inlineStr">
        <is>
          <t>capex</t>
        </is>
      </c>
      <c r="G245" t="inlineStr">
        <is>
          <t>ALT DuPont</t>
        </is>
      </c>
      <c r="H245" t="inlineStr">
        <is>
          <t>E62</t>
        </is>
      </c>
      <c r="I245">
        <f>-E61</f>
        <v/>
      </c>
      <c r="J245" t="n">
        <v>680802</v>
      </c>
      <c r="K245" t="n">
        <v>0.01</v>
      </c>
      <c r="M245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245" t="inlineStr">
        <is>
          <t>pending</t>
        </is>
      </c>
      <c r="P245" t="inlineStr">
        <is>
          <t>ppe_capex</t>
        </is>
      </c>
      <c r="Q245" t="n">
        <v>120</v>
      </c>
      <c r="R245" t="n">
        <v>3</v>
      </c>
      <c r="S245" t="inlineStr">
        <is>
          <t>2026-02-01</t>
        </is>
      </c>
    </row>
    <row r="246">
      <c r="A246" t="inlineStr">
        <is>
          <t>ppe_capex_to_revenue__20230129</t>
        </is>
      </c>
      <c r="B246" t="n">
        <v>245</v>
      </c>
      <c r="C246" t="inlineStr">
        <is>
          <t>PP&amp;E Capex / Revenue</t>
        </is>
      </c>
      <c r="D246" t="inlineStr">
        <is>
          <t>Presented PP&amp;E capex divided by same-period Revenue.</t>
        </is>
      </c>
      <c r="E246" t="inlineStr">
        <is>
          <t>capex.ppe_capex_to_revenue.2023-01-29</t>
        </is>
      </c>
      <c r="F246" t="inlineStr">
        <is>
          <t>capex</t>
        </is>
      </c>
      <c r="G246" t="inlineStr">
        <is>
          <t>ALT DuPont</t>
        </is>
      </c>
      <c r="H246" t="inlineStr">
        <is>
          <t>B63</t>
        </is>
      </c>
      <c r="I246">
        <f>IF('Condensed Financials'!B34=0,NA(),B62/'Condensed Financials'!B34)</f>
        <v/>
      </c>
      <c r="J246" t="n">
        <v>0.07874429228811279</v>
      </c>
      <c r="K246" t="n">
        <v>0.01</v>
      </c>
      <c r="L246" t="inlineStr">
        <is>
          <t>ppe_capex__20230129,revenue_link__20230129</t>
        </is>
      </c>
      <c r="M246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246" t="inlineStr">
        <is>
          <t>pending</t>
        </is>
      </c>
      <c r="P246" t="inlineStr">
        <is>
          <t>ppe_capex_to_revenue</t>
        </is>
      </c>
      <c r="Q246" t="n">
        <v>121</v>
      </c>
      <c r="R246" t="n">
        <v>0</v>
      </c>
      <c r="S246" t="inlineStr">
        <is>
          <t>2023-01-29</t>
        </is>
      </c>
    </row>
    <row r="247">
      <c r="A247" t="inlineStr">
        <is>
          <t>ppe_capex_to_revenue__20240128</t>
        </is>
      </c>
      <c r="B247" t="n">
        <v>246</v>
      </c>
      <c r="C247" t="inlineStr">
        <is>
          <t>PP&amp;E Capex / Revenue</t>
        </is>
      </c>
      <c r="D247" t="inlineStr">
        <is>
          <t>Presented PP&amp;E capex divided by same-period Revenue.</t>
        </is>
      </c>
      <c r="E247" t="inlineStr">
        <is>
          <t>capex.ppe_capex_to_revenue.2024-01-28</t>
        </is>
      </c>
      <c r="F247" t="inlineStr">
        <is>
          <t>capex</t>
        </is>
      </c>
      <c r="G247" t="inlineStr">
        <is>
          <t>ALT DuPont</t>
        </is>
      </c>
      <c r="H247" t="inlineStr">
        <is>
          <t>C63</t>
        </is>
      </c>
      <c r="I247">
        <f>IF('Condensed Financials'!C34=0,NA(),C62/'Condensed Financials'!C34)</f>
        <v/>
      </c>
      <c r="J247" t="n">
        <v>0.06776652052264213</v>
      </c>
      <c r="K247" t="n">
        <v>0.01</v>
      </c>
      <c r="L247" t="inlineStr">
        <is>
          <t>ppe_capex__20240128,revenue_link__20240128</t>
        </is>
      </c>
      <c r="M247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247" t="inlineStr">
        <is>
          <t>pending</t>
        </is>
      </c>
      <c r="P247" t="inlineStr">
        <is>
          <t>ppe_capex_to_revenue</t>
        </is>
      </c>
      <c r="Q247" t="n">
        <v>121</v>
      </c>
      <c r="R247" t="n">
        <v>1</v>
      </c>
      <c r="S247" t="inlineStr">
        <is>
          <t>2024-01-28</t>
        </is>
      </c>
    </row>
    <row r="248">
      <c r="A248" t="inlineStr">
        <is>
          <t>ppe_capex_to_revenue__20250202</t>
        </is>
      </c>
      <c r="B248" t="n">
        <v>247</v>
      </c>
      <c r="C248" t="inlineStr">
        <is>
          <t>PP&amp;E Capex / Revenue</t>
        </is>
      </c>
      <c r="D248" t="inlineStr">
        <is>
          <t>Presented PP&amp;E capex divided by same-period Revenue.</t>
        </is>
      </c>
      <c r="E248" t="inlineStr">
        <is>
          <t>capex.ppe_capex_to_revenue.2025-02-02</t>
        </is>
      </c>
      <c r="F248" t="inlineStr">
        <is>
          <t>capex</t>
        </is>
      </c>
      <c r="G248" t="inlineStr">
        <is>
          <t>ALT DuPont</t>
        </is>
      </c>
      <c r="H248" t="inlineStr">
        <is>
          <t>D63</t>
        </is>
      </c>
      <c r="I248">
        <f>IF('Condensed Financials'!D34=0,NA(),D62/'Condensed Financials'!D34)</f>
        <v/>
      </c>
      <c r="J248" t="n">
        <v>0.0650948052563787</v>
      </c>
      <c r="K248" t="n">
        <v>0.01</v>
      </c>
      <c r="L248" t="inlineStr">
        <is>
          <t>ppe_capex__20250202,revenue_link__20250202</t>
        </is>
      </c>
      <c r="M248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248" t="inlineStr">
        <is>
          <t>pending</t>
        </is>
      </c>
      <c r="P248" t="inlineStr">
        <is>
          <t>ppe_capex_to_revenue</t>
        </is>
      </c>
      <c r="Q248" t="n">
        <v>121</v>
      </c>
      <c r="R248" t="n">
        <v>2</v>
      </c>
      <c r="S248" t="inlineStr">
        <is>
          <t>2025-02-02</t>
        </is>
      </c>
    </row>
    <row r="249">
      <c r="A249" t="inlineStr">
        <is>
          <t>ppe_capex_to_revenue__20260201</t>
        </is>
      </c>
      <c r="B249" t="n">
        <v>248</v>
      </c>
      <c r="C249" t="inlineStr">
        <is>
          <t>PP&amp;E Capex / Revenue</t>
        </is>
      </c>
      <c r="D249" t="inlineStr">
        <is>
          <t>Presented PP&amp;E capex divided by same-period Revenue.</t>
        </is>
      </c>
      <c r="E249" t="inlineStr">
        <is>
          <t>capex.ppe_capex_to_revenue.2026-02-01</t>
        </is>
      </c>
      <c r="F249" t="inlineStr">
        <is>
          <t>capex</t>
        </is>
      </c>
      <c r="G249" t="inlineStr">
        <is>
          <t>ALT DuPont</t>
        </is>
      </c>
      <c r="H249" t="inlineStr">
        <is>
          <t>E63</t>
        </is>
      </c>
      <c r="I249">
        <f>IF('Condensed Financials'!E34=0,NA(),E62/'Condensed Financials'!E34)</f>
        <v/>
      </c>
      <c r="J249" t="n">
        <v>0.06131915046925945</v>
      </c>
      <c r="K249" t="n">
        <v>0.01</v>
      </c>
      <c r="L249" t="inlineStr">
        <is>
          <t>ppe_capex__20260201,revenue_link__20260201</t>
        </is>
      </c>
      <c r="M249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249" t="inlineStr">
        <is>
          <t>pending</t>
        </is>
      </c>
      <c r="P249" t="inlineStr">
        <is>
          <t>ppe_capex_to_revenue</t>
        </is>
      </c>
      <c r="Q249" t="n">
        <v>121</v>
      </c>
      <c r="R249" t="n">
        <v>3</v>
      </c>
      <c r="S249" t="inlineStr">
        <is>
          <t>2026-02-01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BAV_CHECK_CONTEXT_V1</t>
        </is>
      </c>
    </row>
    <row r="2">
      <c r="A2" t="inlineStr">
        <is>
          <t>{"base_classification_overrides":{},"judgment_bindings":[{"allowed_treatments":["Operating Long-Term Liability","Financial Liability"],"case_id":"classification::concept=lease_liability_current|label=current lease liabilities","line_identity":"concept=lease_liability_current|label=current lease liabilities","order":1,"override_selector":"identity:concept=lease_liability_current|label=current lease liabilities","reference_treatment":"Operating Long-Term Liability","worksheet_row":5},{"allowed_treatments":["Operating Working Capital Liability","Financial Liability"],"case_id":"classification::concept=other_current_liabilities|label=other current liabilities","line_identity":"concept=other_current_liabilities|label=other current liabilities","order":2,"override_selector":"identity:concept=other_current_liabilities|label=other current liabilities","reference_treatment":"Operating Working Capital Liability","worksheet_row":6},{"allowed_treatments":["Operating Long-Term Asset","Financial Asset"],"case_id":"classification::concept=other_non_current_assets|label=other non-current assets","line_identity":"concept=other_non_current_assets|label=other non-current assets","order":3,"override_selector":"identity:concept=other_non_current_assets|label=other non-current assets","reference_treatment":"Operating Long-Term Asset","worksheet_row":7},{"allowed_treatments":["Operating Long-Term Liability","Financial Liability"],"case_id":"classification::concept=lease_liability_noncurrent|label=non-current lease liabilities","line_identity":"concept=lease_liability_noncurrent|label=non-current lease liabilities","order":4,"override_selector":"identity:concept=lease_liability_noncurrent|label=non-current lease liabilities","reference_treatment":"Operating Long-Term Liability","worksheet_row":8},{"allowed_treatments":["Operating Long-Term Liability","Financial Liability"],"case_id":"classification::concept=other_non_current_liabilities|label=other non-current liabilities","line_identity":"concept=other_non_current_liabilities|label=other non-current liabilities","order":5,"override_selector":"identity:concept=other_non_current_liabilities|label=other non-current liabilities","reference_treatment":"Operating Long-Term Liability","worksheet_row":9}],"modeled_periods":["2023-01-29","2024-01-28","2025-02-02","2026-02-01"],"normalization_bindings":[],"schema_version":2,"source_payload":{"balance_sheet":[{"concept":"accounts_receivable","label":"Accounts receivable, net","values":{"2023-01-29":132906.0,"2024-01-28":124769.0,"2025-02-02":120173.0,"2026-02-01":190657.0}},{"concept":"cash_and_cash_equivalents","label":"Cash and cash equivalents","values":{"2023-01-29":1154867.0,"2024-01-28":2243971.0,"2025-02-02":1984336.0,"2026-02-01":1807202.0}},{"concept":"inventories","label":"Inventories","values":{"2023-01-29":1447367.0,"2024-01-28":1323602.0,"2025-02-02":1442081.0,"2026-02-01":1700753.0}},{"concept":"prepaid_and_receivable_income_taxes","label":"Prepaid and receivable income taxes","values":{"2023-01-29":185641.0,"2024-01-28":183733.0,"2025-02-02":182253.0,"2026-02-01":352469.0}},{"concept":"prepaid_expenses_and_other_current_assets","label":"Prepaid expenses and other current assets","values":{"2023-01-29":238672.0,"2024-01-28":184502.0,"2025-02-02":251459.0,"2026-02-01":211620.0}},{"concept":"total_current_assets","label":"Total current assets","values":{"2023-01-29":3159453.0,"2024-01-28":4060577.0,"2025-02-02":3980302.0,"2026-02-01":4262701.0}},{"concept":"accounts_payable","label":"Accounts payable","values":{"2023-01-29":172732.0,"2024-01-28":348441.0,"2025-02-02":271406.0,"2026-02-01":331421.0}},{"concept":"accrued_compensation_and_related_expenses","label":"Accrued compensation and related expenses","values":{"2023-01-29":248167.0,"2024-01-28":326110.0,"2025-02-02":204543.0,"2026-02-01":187887.0}},{"concept":"accrued_liabilities_and_other","label":"Accrued liabilities and other","values":{"2023-01-29":399223.0,"2024-01-28":348555.0,"2025-02-02":559463.0,"2026-02-01":662982.0}},{"concept":"current_income_taxes_payable","label":"Current income taxes payable","values":{"2023-01-29":174221.0,"2024-01-28":12098.0,"2025-02-02":183126.0,"2026-02-01":43948.0}},{"concept":"lease_liability_current","label":"Current lease liabilities","values":{"2023-01-29":207972.0,"2024-01-28":249270.0,"2025-02-02":275154.0,"2026-02-01":298724.0}},{"concept":"other_current_liabilities","label":"Other current liabilities","values":{"2023-01-29":38405.0,"2024-01-28":40308.0,"2025-02-02":37586.0,"2026-02-01":45954.0}},{"concept":"total_current_liabilities","label":"Total current liabilities","values":{"2023-01-29":1492198.0,"2024-01-28":1631261.0,"2025-02-02":1839630.0,"2026-02-01":1887548.0}},{"concept":"unredeemed_gift_card_liability","label":"Unredeemed gift card liability","values":{"2023-01-29":251478.0,"2024-01-28":306479.0,"2025-02-02":308352.0,"2026-02-01":316632.0}},{"concept":"deferred_tax_asset","label":"Deferred income tax assets","values":{"2023-01-29":6402.0,"2024-01-28":9176.0,"2025-02-02":17085.0,"2026-02-01":24037.0}},{"concept":"goodwill","label":"Goodwill","values":{"2023-01-29":24144.0,"2024-01-28":24083.0,"2025-02-02":159518.0,"2026-02-01":184911.0}},{"concept":"intangible_assets","label":"Intangible assets, net","values":{"2023-01-29":21961.0,"2024-01-28":0.0,"2025-02-02":11673.0,"2026-02-01":6283.0}},{"concept":"other_non_current_assets","label":"Other non-current assets","values":{"2023-01-29":156045.0,"2024-01-28":186684.0,"2025-02-02":237841.0,"2026-02-01":314910.0}},{"concept":"property_plant_and_equipment","label":"Property and equipment, net","values":{"2023-01-29":1269614.0,"2024-01-28":1545811.0,"2025-02-02":1780617.0,"2026-02-01":2033720.0}},{"concept":"right_of_use_lease_asset","label":"Right-of-use lease assets","values":{"2023-01-29":969419.0,"2024-01-28":1265610.0,"2025-02-02":1416256.0,"2026-02-01":1630181.0}},{"concept":"deferred_tax_liability","label":"Deferred income tax liabilities","values":{"2023-01-29":55084.0,"2024-01-28":29522.0,"2025-02-02":98188.0,"2026-02-01":52278.0}},{"concept":"non_current_income_taxes_payable","label":"Non-current income taxes payable","values":{"2023-01-29":28555.0,"2024-01-28":15864.0,"2025-02-02":0.0,"2026-02-01":null}},{"concept":"lease_liability_noncurrent","label":"Non-current lease liabilities","values":{"2023-01-29":862362.0,"2024-01-28":1154012.0,"2025-02-02":1300637.0,"2026-02-01":1499717.0}},{"concept":"other_non_current_liabilities","label":"Other non-current liabilities","values":{"2023-01-29":20040.0,"2024-01-28":29201.0,"2025-02-02":40790.0,"2026-02-01":55360.0}},{"concept":"accumulated_other_comprehensive_income","label":"Accumulated other comprehensive loss","values":{"2023-01-29":-252584.0,"2024-01-28":-264256.0,"2025-02-02":-424441.0,"2026-02-01":-230690.0}},{"concept":"additional_paid_in_capital","label":"Additional paid-in capital","values":{"2023-01-29":474645.0,"2024-01-28":575369.0,"2025-02-02":638190.0,"2026-02-01":669392.0}},{"concept":"common_stock","label":"Common stock","values":{"2023-01-29":611.0,"2024-01-28":606.0,"2025-02-02":581.0,"2026-02-01":557.0}},{"concept":"retained_earnings","label":"Retained earnings","values":{"2023-01-29":2926127.0,"2024-01-28":3920362.0,"2025-02-02":4109717.0,"2026-02-01":4522581.0}},{"concept":"total_equity","label":"Total stockholders' equity","values":{"2023-01-29":3148799.0,"2024-01-28":4232081.0,"2025-02-02":4324047.0,"2026-02-01":4961840.0}},{"concept":"total_assets","label":"Total assets","values":{"2023-01-29":5607038.0,"2024-01-28":7091941.0,"2025-02-02":7603292.0,"2026-02-01":8456743.0}},{"concept":"total_liabilities_and_equity","label":"Total liabilities and stockholders' equity","values":{"2023-01-29":5607038.0,"2024-01-28":7091941.0,"2025-02-02":7603292.0,"2026-02-01":8456743.0}},{"concept":"total_liabilities","label":"Total liabilities","values":{"2023-01-29":2458239.0,"2024-01-28":2859860.0,"2025-02-02":3279245.0,"2026-02-01":3494903.0}}],"cash_flow":[{"concept":"net_cash_from_financing_activities","label":"Net cash used in financing activities","values":{"2023-01-29":-467487.0,"2024-01-28":-548828.0,"2025-02-02":-1652508.0,"2026-02-01":-1208656.0}},{"concept":"other_financing_activities","label":"Other financing activities","values":{"2023-01-29":-32.0,"2024-01-28":-32.0,"2025-02-02":-32.0,"2026-02-01":-11312.0}},{"concept":"proceeds_from_stock_based_compensation","label":"Proceeds from settlement of stock-based compensation","values":{"2023-01-29":11704.0,"2024-01-28":42430.0,"2025-02-02":19813.0,"2026-02-01":8377.0}},{"concept":"repurchase_of_common_stock","label":"Repurchase of common stock","values":{"2023-01-29":-444001.0,"2024-01-28":-558652.0,"2025-02-02":-1636879.0,"2026-02-01":-1178349.0}},{"concept":"shares_withheld_for_stock_based_compensation","label":"Shares withheld related to net share settlement of stock-based compensation","values":{"2023-01-29":-35158.0,"2024-01-28":-32574.0,"2025-02-02":-35410.0,"2026-02-01":-27372.0}},{"concept":"acquisition_net_of_cash_acquired","label":"Acquisition, net of cash acquired","values":{"2023-01-29":0.0,"2024-01-28":0.0,"2025-02-02":-154146.0,"2026-02-01":0.0}},{"concept":"net_cash_from_investing_activities","label":"Net cash used in investing activities","values":{"2023-01-29":-569937.0,"2024-01-28":-654132.0,"2025-02-02":-798174.0,"2026-02-01":-662118.0}},{"concept":"other_investing_activities","label":"Other investing activities","values":{"2023-01-29":20916.0,"2024-01-28":-658.0,"2025-02-02":-5009.0,"2026-02-01":-8521.0}},{"concept":"capital_expenditures","label":"Purchase of property and equipment","values":{"2023-01-29":-638657.0,"2024-01-28":-651865.0,"2025-02-02":-689232.0,"2026-02-01":-680802.0}},{"concept":"settlement_of_net_investment_hedges","label":"Settlement of net investment hedges","values":{"2023-01-29":47804.0,"2024-01-28":-1609.0,"2025-02-02":50213.0,"2026-02-01":27205.0}},{"concept":"change_in_accounts_payable","label":"Accounts payable","values":{"2023-01-29":-107280.0,"2024-01-28":177367.0,"2025-02-02":-57044.0,"2026-02-01":45856.0}},{"concept":"change_in_accounts_receivable","label":"Accounts receivable, net","values":{"2023-01-29":-58987.0,"2024-01-28":6580.0,"2025-02-02":1626.0,"2026-02-01":-65755.0}},{"concept":"change_in_accrued_compensation_and_related_expenses","label":"Accrued compensation and related expenses","values":{"2023-01-29":47254.0,"2024-01-28":70327.0,"2025-02-02":-112110.0,"2026-02-01":-24737.0}},{"concept":"change_in_accrued_liabilities_and_other","label":"Accrued liabilities and other","values":{"2023-01-29":65364.0,"2024-01-28":-71734.0,"2025-02-02":193139.0,"2026-02-01":98421.0}},{"concept":"change_in_income_taxes_payable","label":"Current and non-current income taxes payable","values":{"2023-01-29":35986.0,"2024-01-28":-173196.0,"2025-02-02":157205.0,"2026-02-01":-150496.0}},{"concept":"deferred_income_taxes","label":"Deferred income taxes","values":{"2023-01-29":3042.0,"2024-01-28":-28383.0,"2025-02-02":57451.0,"2026-02-01":-53379.0}},{"concept":"depreciation_and_amortization","label":"Depreciation and amortization","values":{"2023-01-29":291791.0,"2024-01-28":379384.0,"2025-02-02":446524.0,"2026-02-01":496228.0}},{"concept":"derecognition_of_unredeemed_gift_card_liability","label":"Derecognition of unredeemed gift card liability","values":{"2023-01-29":-23337.0,"2024-01-28":-28547.0,"2025-02-02":-36231.0,"2026-02-01":-37766.0}},{"concept":"change_in_inventories","label":"Inventories","values":{"2023-01-29":-573438.0,"2024-01-28":66584.0,"2025-02-02":-156085.0,"2026-02-01":-188710.0}},{"concept":"studio_obsolescence_provision","label":"lululemon Studio obsolescence provision","values":{"2023-01-29":62928.0,"2024-01-28":23709.0,"2025-02-02":0.0,"2026-02-01":0.0}},{"concept":"net_cash_from_operating_activities","label":"Net cash provided by operating activities","values":{"2023-01-29":966463.0,"2024-01-28":2296164.0,"2025-02-02":2272713.0,"2026-02-01":1602477.0}},{"concept":"cash_flow_net_income","label":"Net income","values":{"2023-01-29":854800.0,"2024-01-28":1550190.0,"2025-02-02":1814616.0,"2026-02-01":1579183.0}},{"concept":"change_in_other_liabilities","label":"Other current and non-current liabilities","values":{"2023-01-29":-2925.0,"2024-01-28":12230.0,"2025-02-02":2488.0,"2026-02-01":20632.0}},{"concept":"change_in_other_non_current_assets","label":"Other non-current assets","values":{"2023-01-29":-36518.0,"2024-01-28":-53280.0,"2025-02-02":-73205.0,"2026-02-01":-70351.0}},{"concept":"change_in_prepaid_and_receivable_income_taxes","label":"Prepaid and receivable income taxes","values":{"2023-01-29":-66714.0,"2024-01-28":1908.0,"2025-02-02":-2031.0,"2026-02-01":-170216.0}},{"concept":"change_in_prepaid_expenses_and_other_current_assets","label":"Prepaid expenses and other current assets","values":{"2023-01-29":-54833.0,"2024-01-28":40587.0,"2025-02-02":-71789.0,"2026-02-01":47779.0}},{"concept":"change_in_lease_assets_and_liabilities","label":"Right-of-use lease assets and current and non-current lease liabilities","values":{"2023-01-29":23905.0,"2024-01-28":37535.0,"2025-02-02":23501.0,"2026-02-01":6884.0}},{"concept":"settlement_of_derivatives","label":"Settlement of derivatives not designated in a hedging relationship","values":{"2023-01-29":-38649.0,"2024-01-28":32527.0,"2025-02-02":-47763.0,"2026-02-01":-34552.0}},{"concept":"stock_based_compensation","label":"Stock-based compensation expense","values":{"2023-01-29":78075.0,"2024-01-28":93560.0,"2025-02-02":90011.0,"2026-02-01":62203.0}},{"concept":"change_in_unredeemed_gift_card_liability","label":"Unredeemed gift card liability","values":{"2023-01-29":68266.0,"2024-01-28":84315.0,"2025-02-02":42410.0,"2026-02-01":41253.0}},{"concept":"cash_beginning","label":"Cash and cash equivalents, beginning of period","values":{"2023-01-29":1259871.0,"2024-01-28":1154867.0,"2025-02-02":2243971.0,"2026-02-01":1984336.0}},{"concept":"cash_ending","label":"Cash and cash equivalents, end of period","values":{"2023-01-29":1154867.0,"2024-01-28":2243971.0,"2025-02-02":1984336.0,"2026-02-01":1807202.0}},{"concept":"effect_of_fx_on_cash","label":"Effect of foreign currency exchange rate changes on cash and cash equivalents","values":{"2023-01-29":-34043.0,"2024-01-28":-4100.0,"2025-02-02":-81666.0,"2026-02-01":91163.0}},{"concept":"change_in_cash","label":"Increase (decrease) in cash and cash equivalents","values":{"2023-01-29":-105004.0,"2024-01-28":1089104.0,"2025-02-02":-259635.0,"2026-02-01":-177134.0}}],"company_name":"lululemon athletica inc.","currency":"USD","historical_lease":null,"historical_shares":{"adjustment_factors":{"2023-01-29":1.0,"2024-01-28":1.0,"2025-02-02":1.0,"2026-02-01":1.0},"basis":"reported","diluted_weighted_average":{"2023-01-29":128017.0,"2024-01-28":127060.0,"2025-02-02":123935.0,"2026-02-01":119068.0},"scale_basis":"financial_statement_units"},"income_statement":[{"concept":"foreign_currency_translation_adjustment","label":"Foreign currency translation adjustment","values":{"2023-01-29":-65571.0,"2024-01-28":-23077.0,"2025-02-02":-253209.0,"2026-02-01":253160.0}},{"concept":"net_investment_hedge_gains_losses","label":"Net investment hedge gains (losses)","values":{"2023-01-29":8904.0,"2024-01-28":11405.0,"2025-02-02":93024.0,"2026-02-01":-59409.0}},{"concept":"amortization_of_intangible_assets","label":"Amortization of intangible assets","values":{"2023-01-29":8752.0,"2024-01-28":5010.0,"2025-02-02":2735.0,"2026-02-01":6961.0}},{"concept":"basic_eps","label":"Basic earnings per share","values":{"2023-01-29":6.7,"2024-01-28":12.23,"2025-02-02":14.67,"2026-02-01":13.27}},{"concept":"comprehensive_income","label":"Comprehensive income","values":{"2023-01-29":798133.0,"2024-01-28":1538518.0,"2025-02-02":1654431.0,"2026-02-01":1772934.0}},{"concept":"cost_of_goods_sold","label":"Cost of goods sold","values":{"2023-01-29":3618178.0,"2024-01-28":4009873.0,"2025-02-02":4317315.0,"2026-02-01":4818468.0}},{"concept":"diluted_eps","label":"Diluted earnings per share","values":{"2023-01-29":6.68,"2024-01-28":12.2,"2025-02-02":14.64,"2026-02-01":13.26}},{"concept":"gross_profit","label":"Gross profit","values":{"2023-01-29":4492340.0,"2024-01-28":5609405.0,"2025-02-02":6270811.0,"2026-02-01":6284132.0}},{"concept":"income_before_tax","label":"Income before income tax expense","values":{"2023-01-29":1332571.0,"2024-01-28":2175735.0,"2025-02-02":2576077.0,"2026-02-01":2238967.0}},{"concept":"operating_income","label":"Income from operations","values":{"2023-01-29":1328408.0,"2024-01-28":2132676.0,"2025-02-02":2505697.0,"2026-02-01":2210615.0}},{"concept":"income_tax_expense","label":"Income tax expense","values":{"2023-01-29":477771.0,"2024-01-28":625545.0,"2025-02-02":761461.0,"2026-02-01":659784.0}},{"concept":"net_income","label":"Net income","values":{"2023-01-29":854800.0,"2024-01-28":1550190.0,"2025-02-02":1814616.0,"2026-02-01":1579183.0}},{"concept":"revenue","label":"Net revenue","values":{"2023-01-29":8110518.0,"2024-01-28":9619278.0,"2025-02-02":10588126.0,"2026-02-01":11102600.0}},{"concept":"other_comprehensive_income","label":"Other comprehensive income (loss), net of tax","values":{"2023-01-29":-56667.0,"2024-01-28":-11672.0,"2025-02-02":-160185.0,"2026-02-01":193751.0}},{"concept":"other_income_expense_net","label":"Other income (expense), net","values":{"2023-01-29":4163.0,"2024-01-28":43059.0,"2025-02-02":70380.0,"2026-02-01":28352.0}},{"concept":"selling_general_and_administrative_expenses","label":"Selling, general and administrative expenses","values":{"2023-01-29":2757447.0,"2024-01-28":3397218.0,"2025-02-02":3762379.0,"2026-02-01":4066556.0}}],"jurisdiction":"US","periods":[{"end_date":"2023-01-29","is_interim":false,"label":"FY2023"},{"end_date":"2024-01-28","is_interim":false,"label":"FY2024"},{"end_date":"2025-02-02","is_interim":false,"label":"FY2025"},{"end_date":"2026-02-01","is_interim":false,"label":"FY2026"}],"stock_code":"LULU","ticker":"LULU","units":"USD in Thousands"}}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2026-09-15T06:19:12Z</dcterms:created>
  <dcterms:modified xsi:type="dcterms:W3CDTF">2026-09-15T06:19:12Z</dcterms:modified>
</cp:coreProperties>
</file>