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B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18" authorId="0" shapeId="0">
      <text>
        <t>Gross margin = reported gross profit / revenue. Zero revenue is undefined (#N/A). Do not infer price, mix, or cost causes.</t>
      </text>
    </comment>
    <comment ref="C118" authorId="0" shapeId="0">
      <text>
        <t>Gross margin = reported gross profit / revenue. Zero revenue is undefined (#N/A). Do not infer price, mix, or cost causes.</t>
      </text>
    </comment>
    <comment ref="D118" authorId="0" shapeId="0">
      <text>
        <t>Gross margin = reported gross profit / revenue. Zero revenue is undefined (#N/A). Do not infer price, mix, or cost causes.</t>
      </text>
    </comment>
    <comment ref="E118" authorId="0" shapeId="0">
      <text>
        <t>Gross margin = reported gross profit / revenue. Zero revenue is undefined (#N/A). Do not infer price, mix, or cost causes.</t>
      </text>
    </comment>
    <comment ref="B119" authorId="0" shapeId="0">
      <text>
        <t>Reported operating margin = reported operating profit / revenue. Distinct from BAV NOPAT margin; not normalized earnings. Zero revenue is undefined (#N/A).</t>
      </text>
    </comment>
    <comment ref="C119" authorId="0" shapeId="0">
      <text>
        <t>Reported operating margin = reported operating profit / revenue. Distinct from BAV NOPAT margin; not normalized earnings. Zero revenue is undefined (#N/A).</t>
      </text>
    </comment>
    <comment ref="D119" authorId="0" shapeId="0">
      <text>
        <t>Reported operating margin = reported operating profit / revenue. Distinct from BAV NOPAT margin; not normalized earnings. Zero revenue is undefined (#N/A).</t>
      </text>
    </comment>
    <comment ref="E119" authorId="0" shapeId="0">
      <text>
        <t>Reported operating margin = reported operating profit / revenue. Distinct from BAV NOPAT margin; not normalized earnings. Zero revenue is undefined (#N/A).</t>
      </text>
    </comment>
    <comment ref="B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1" authorId="0" shapeId="0">
      <text>
        <t>Change in gross margin is a percentage-point movement: current gross margin minus prior gross margin. Do not infer price, mix, or cost causes.</t>
      </text>
    </comment>
    <comment ref="D121" authorId="0" shapeId="0">
      <text>
        <t>Change in gross margin is a percentage-point movement: current gross margin minus prior gross margin. Do not infer price, mix, or cost causes.</t>
      </text>
    </comment>
    <comment ref="E121" authorId="0" shapeId="0">
      <text>
        <t>Change in gross margin is a percentage-point movement: current gross margin minus prior gross margin. Do not infer price, mix, or cost causes.</t>
      </text>
    </comment>
    <comment ref="C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C127" authorId="0" shapeId="0">
      <text>
        <t>Current goodwill − prior goodwill. Flat goodwill does not establish absence of impairment disclosed elsewhere.</t>
      </text>
    </comment>
    <comment ref="D127" authorId="0" shapeId="0">
      <text>
        <t>Current goodwill − prior goodwill. Flat goodwill does not establish absence of impairment disclosed elsewhere.</t>
      </text>
    </comment>
    <comment ref="E127" authorId="0" shapeId="0">
      <text>
        <t>Current goodwill − prior goodwill. Flat goodwill does not establish absence of impairment disclosed elsewhere.</t>
      </text>
    </comment>
    <comment ref="C128" authorId="0" shapeId="0">
      <text>
        <t>Percentage change in reported goodwill.</t>
      </text>
    </comment>
    <comment ref="D128" authorId="0" shapeId="0">
      <text>
        <t>Percentage change in reported goodwill.</t>
      </text>
    </comment>
    <comment ref="E128" authorId="0" shapeId="0">
      <text>
        <t>Percentage change in reported goodwill.</t>
      </text>
    </comment>
    <comment ref="C129" authorId="0" shapeId="0">
      <text>
        <t>Average beginning and ending goodwill.</t>
      </text>
    </comment>
    <comment ref="D129" authorId="0" shapeId="0">
      <text>
        <t>Average beginning and ending goodwill.</t>
      </text>
    </comment>
    <comment ref="E129" authorId="0" shapeId="0">
      <text>
        <t>Average beginning and ending goodwill.</t>
      </text>
    </comment>
    <comment ref="C130" authorId="0" shapeId="0">
      <text>
        <t>Average goodwill divided by Revenue (average-balance intensity).</t>
      </text>
    </comment>
    <comment ref="D130" authorId="0" shapeId="0">
      <text>
        <t>Average goodwill divided by Revenue (average-balance intensity).</t>
      </text>
    </comment>
    <comment ref="E130" authorId="0" shapeId="0">
      <text>
        <t>Average goodwill divided by Revenue (average-balance intensity).</t>
      </text>
    </comment>
    <comment ref="C132" authorId="0" shapeId="0">
      <text>
        <t>Current intangible assets − prior intangible assets.</t>
      </text>
    </comment>
    <comment ref="D132" authorId="0" shapeId="0">
      <text>
        <t>Current intangible assets − prior intangible assets.</t>
      </text>
    </comment>
    <comment ref="E132" authorId="0" shapeId="0">
      <text>
        <t>Current intangible assets − prior intangible assets.</t>
      </text>
    </comment>
    <comment ref="C133" authorId="0" shapeId="0">
      <text>
        <t>Percentage change in reported intangible assets.</t>
      </text>
    </comment>
    <comment ref="D133" authorId="0" shapeId="0">
      <text>
        <t>Percentage change in reported intangible assets.</t>
      </text>
    </comment>
    <comment ref="E133" authorId="0" shapeId="0">
      <text>
        <t>Percentage change in reported intangible assets.</t>
      </text>
    </comment>
    <comment ref="C134" authorId="0" shapeId="0">
      <text>
        <t>Average beginning and ending intangible assets.</t>
      </text>
    </comment>
    <comment ref="D134" authorId="0" shapeId="0">
      <text>
        <t>Average beginning and ending intangible assets.</t>
      </text>
    </comment>
    <comment ref="E134" authorId="0" shapeId="0">
      <text>
        <t>Average beginning and ending intangible assets.</t>
      </text>
    </comment>
    <comment ref="C135" authorId="0" shapeId="0">
      <text>
        <t>Average intangible assets divided by Revenue (average-balance intensity).</t>
      </text>
    </comment>
    <comment ref="D135" authorId="0" shapeId="0">
      <text>
        <t>Average intangible assets divided by Revenue (average-balance intensity).</t>
      </text>
    </comment>
    <comment ref="E135" authorId="0" shapeId="0">
      <text>
        <t>Average intangible assets divided by Revenue (average-balance intensity).</t>
      </text>
    </comment>
    <comment ref="C137" authorId="0" shapeId="0">
      <text>
        <t>Current combined total − prior combined total.</t>
      </text>
    </comment>
    <comment ref="D137" authorId="0" shapeId="0">
      <text>
        <t>Current combined total − prior combined total.</t>
      </text>
    </comment>
    <comment ref="E137" authorId="0" shapeId="0">
      <text>
        <t>Current combined total − prior combined total.</t>
      </text>
    </comment>
    <comment ref="C138" authorId="0" shapeId="0">
      <text>
        <t>Percentage change in the combined goodwill and intangibles total.</t>
      </text>
    </comment>
    <comment ref="D138" authorId="0" shapeId="0">
      <text>
        <t>Percentage change in the combined goodwill and intangibles total.</t>
      </text>
    </comment>
    <comment ref="E138" authorId="0" shapeId="0">
      <text>
        <t>Percentage change in the combined goodwill and intangibles total.</t>
      </text>
    </comment>
    <comment ref="C139" authorId="0" shapeId="0">
      <text>
        <t>Average beginning and ending combined goodwill and intangibles.</t>
      </text>
    </comment>
    <comment ref="D139" authorId="0" shapeId="0">
      <text>
        <t>Average beginning and ending combined goodwill and intangibles.</t>
      </text>
    </comment>
    <comment ref="E139" authorId="0" shapeId="0">
      <text>
        <t>Average beginning and ending combined goodwill and intangibles.</t>
      </text>
    </comment>
    <comment ref="C140" authorId="0" shapeId="0">
      <text>
        <t>Average combined goodwill and intangibles divided by Revenue.</t>
      </text>
    </comment>
    <comment ref="D140" authorId="0" shapeId="0">
      <text>
        <t>Average combined goodwill and intangibles divided by Revenue.</t>
      </text>
    </comment>
    <comment ref="E140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C127:E127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C128:E128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C129:E129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C130:E130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C132:E132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C133:E133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C134:E134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C135:E135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C137:E137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C138:E138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C139:E139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C140:E140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</row>
    <row r="100"/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>
        <f>B102+B103+B104+B105</f>
        <v/>
      </c>
      <c r="C106" s="15">
        <f>C102+C103+C104+C105</f>
        <v/>
      </c>
      <c r="D106" s="15">
        <f>D102+D103+D104+D105</f>
        <v/>
      </c>
      <c r="E106" s="15">
        <f>E102+E103+E104+E105</f>
        <v/>
      </c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>
        <f>B106-B107</f>
        <v/>
      </c>
      <c r="C108" s="15">
        <f>C106-C107</f>
        <v/>
      </c>
      <c r="D108" s="15">
        <f>D106-D107</f>
        <v/>
      </c>
      <c r="E108" s="15">
        <f>E106-E107</f>
        <v/>
      </c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>
        <f>B109+B106</f>
        <v/>
      </c>
      <c r="C110" s="15">
        <f>C109+C106</f>
        <v/>
      </c>
      <c r="D110" s="15">
        <f>D109+D106</f>
        <v/>
      </c>
      <c r="E110" s="15">
        <f>E109+E106</f>
        <v/>
      </c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>
        <f>B110-B111</f>
        <v/>
      </c>
      <c r="C112" s="15">
        <f>C110-C111</f>
        <v/>
      </c>
      <c r="D112" s="15">
        <f>D110-D111</f>
        <v/>
      </c>
      <c r="E112" s="15">
        <f>E110-E111</f>
        <v/>
      </c>
    </row>
    <row r="113"/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>
        <f>IF(B115=0,NA(),B116/B115)</f>
        <v/>
      </c>
      <c r="C118" s="14">
        <f>IF(C115=0,NA(),C116/C115)</f>
        <v/>
      </c>
      <c r="D118" s="14">
        <f>IF(D115=0,NA(),D116/D115)</f>
        <v/>
      </c>
      <c r="E118" s="14">
        <f>IF(E115=0,NA(),E116/E115)</f>
        <v/>
      </c>
    </row>
    <row r="119">
      <c r="A119" s="10" t="inlineStr">
        <is>
          <t>Reported operating margin</t>
        </is>
      </c>
      <c r="B119" s="14">
        <f>IF(B115=0,NA(),B117/B115)</f>
        <v/>
      </c>
      <c r="C119" s="14">
        <f>IF(C115=0,NA(),C117/C115)</f>
        <v/>
      </c>
      <c r="D119" s="14">
        <f>IF(D115=0,NA(),D117/D115)</f>
        <v/>
      </c>
      <c r="E119" s="14">
        <f>IF(E115=0,NA(),E117/E115)</f>
        <v/>
      </c>
    </row>
    <row r="120">
      <c r="A120" s="10" t="inlineStr">
        <is>
          <t>Net operating expense burden</t>
        </is>
      </c>
      <c r="B120" s="14">
        <f>IF(B115=0,NA(),(B116-B117)/B115)</f>
        <v/>
      </c>
      <c r="C120" s="14">
        <f>IF(C115=0,NA(),(C116-C117)/C115)</f>
        <v/>
      </c>
      <c r="D120" s="14">
        <f>IF(D115=0,NA(),(D116-D117)/D115)</f>
        <v/>
      </c>
      <c r="E120" s="14">
        <f>IF(E115=0,NA(),(E116-E117)/E115)</f>
        <v/>
      </c>
    </row>
    <row r="121">
      <c r="A121" s="10" t="inlineStr">
        <is>
          <t>Change in gross margin</t>
        </is>
      </c>
      <c r="C121" s="14">
        <f>C118-B118</f>
        <v/>
      </c>
      <c r="D121" s="14">
        <f>D118-C118</f>
        <v/>
      </c>
      <c r="E121" s="14">
        <f>E118-D118</f>
        <v/>
      </c>
    </row>
    <row r="122">
      <c r="A122" s="10" t="inlineStr">
        <is>
          <t>Change in net operating expense burden</t>
        </is>
      </c>
      <c r="C122" s="14">
        <f>C120-B120</f>
        <v/>
      </c>
      <c r="D122" s="14">
        <f>D120-C120</f>
        <v/>
      </c>
      <c r="E122" s="14">
        <f>E120-D120</f>
        <v/>
      </c>
    </row>
    <row r="123">
      <c r="A123" s="10" t="inlineStr">
        <is>
          <t>Reconstructed change in reported operating margin</t>
        </is>
      </c>
      <c r="C123" s="14">
        <f>C121-C122</f>
        <v/>
      </c>
      <c r="D123" s="14">
        <f>D121-D122</f>
        <v/>
      </c>
      <c r="E123" s="14">
        <f>E121-E122</f>
        <v/>
      </c>
    </row>
    <row r="124"/>
    <row r="125">
      <c r="A125" s="10" t="inlineStr">
        <is>
          <t>GOODWILL &amp; INTANGIBLES CONTEXT</t>
        </is>
      </c>
    </row>
    <row r="126">
      <c r="A126" s="10" t="inlineStr">
        <is>
          <t>Goodwill</t>
        </is>
      </c>
      <c r="B126" s="12">
        <f>'Balance Sheet'!B22</f>
        <v/>
      </c>
      <c r="C126" s="12">
        <f>'Balance Sheet'!C22</f>
        <v/>
      </c>
      <c r="D126" s="12">
        <f>'Balance Sheet'!D22</f>
        <v/>
      </c>
      <c r="E126" s="12">
        <f>'Balance Sheet'!E22</f>
        <v/>
      </c>
    </row>
    <row r="127">
      <c r="A127" s="10" t="inlineStr">
        <is>
          <t>Change in Goodwill</t>
        </is>
      </c>
      <c r="C127" s="15">
        <f>C126-B126</f>
        <v/>
      </c>
      <c r="D127" s="15">
        <f>D126-C126</f>
        <v/>
      </c>
      <c r="E127" s="15">
        <f>E126-D126</f>
        <v/>
      </c>
    </row>
    <row r="128">
      <c r="A128" s="10" t="inlineStr">
        <is>
          <t>Goodwill Growth</t>
        </is>
      </c>
      <c r="C128" s="14">
        <f>IF(B126=0,NA(),C126/B126-1)</f>
        <v/>
      </c>
      <c r="D128" s="14">
        <f>IF(C126=0,NA(),D126/C126-1)</f>
        <v/>
      </c>
      <c r="E128" s="14">
        <f>IF(D126=0,NA(),E126/D126-1)</f>
        <v/>
      </c>
    </row>
    <row r="129">
      <c r="A129" s="10" t="inlineStr">
        <is>
          <t>Average Goodwill</t>
        </is>
      </c>
      <c r="C129" s="15">
        <f>(B126+C126)/2</f>
        <v/>
      </c>
      <c r="D129" s="15">
        <f>(C126+D126)/2</f>
        <v/>
      </c>
      <c r="E129" s="15">
        <f>(D126+E126)/2</f>
        <v/>
      </c>
    </row>
    <row r="130">
      <c r="A130" s="10" t="inlineStr">
        <is>
          <t>Average Goodwill / Revenue</t>
        </is>
      </c>
      <c r="C130" s="14">
        <f>IF('Condensed Financials'!C34=0,NA(),C129/'Condensed Financials'!C34)</f>
        <v/>
      </c>
      <c r="D130" s="14">
        <f>IF('Condensed Financials'!D34=0,NA(),D129/'Condensed Financials'!D34)</f>
        <v/>
      </c>
      <c r="E130" s="14">
        <f>IF('Condensed Financials'!E34=0,NA(),E129/'Condensed Financials'!E34)</f>
        <v/>
      </c>
    </row>
    <row r="131">
      <c r="A131" s="10" t="inlineStr">
        <is>
          <t>Intangible Assets</t>
        </is>
      </c>
      <c r="B131" s="12">
        <f>'Balance Sheet'!B23</f>
        <v/>
      </c>
      <c r="C131" s="12">
        <f>'Balance Sheet'!C23</f>
        <v/>
      </c>
      <c r="D131" s="12">
        <f>'Balance Sheet'!D23</f>
        <v/>
      </c>
      <c r="E131" s="12">
        <f>'Balance Sheet'!E23</f>
        <v/>
      </c>
    </row>
    <row r="132">
      <c r="A132" s="10" t="inlineStr">
        <is>
          <t>Change in Intangible Assets</t>
        </is>
      </c>
      <c r="C132" s="15">
        <f>C131-B131</f>
        <v/>
      </c>
      <c r="D132" s="15">
        <f>D131-C131</f>
        <v/>
      </c>
      <c r="E132" s="15">
        <f>E131-D131</f>
        <v/>
      </c>
    </row>
    <row r="133">
      <c r="A133" s="10" t="inlineStr">
        <is>
          <t>Intangible Assets Growth</t>
        </is>
      </c>
      <c r="C133" s="14">
        <f>IF(B131=0,NA(),C131/B131-1)</f>
        <v/>
      </c>
      <c r="D133" s="14">
        <f>IF(C131=0,NA(),D131/C131-1)</f>
        <v/>
      </c>
      <c r="E133" s="14">
        <f>IF(D131=0,NA(),E131/D131-1)</f>
        <v/>
      </c>
    </row>
    <row r="134">
      <c r="A134" s="10" t="inlineStr">
        <is>
          <t>Average Intangible Assets</t>
        </is>
      </c>
      <c r="C134" s="15">
        <f>(B131+C131)/2</f>
        <v/>
      </c>
      <c r="D134" s="15">
        <f>(C131+D131)/2</f>
        <v/>
      </c>
      <c r="E134" s="15">
        <f>(D131+E131)/2</f>
        <v/>
      </c>
    </row>
    <row r="135">
      <c r="A135" s="10" t="inlineStr">
        <is>
          <t>Average Intangible Assets / Revenue</t>
        </is>
      </c>
      <c r="C135" s="14">
        <f>IF('Condensed Financials'!C34=0,NA(),C134/'Condensed Financials'!C34)</f>
        <v/>
      </c>
      <c r="D135" s="14">
        <f>IF('Condensed Financials'!D34=0,NA(),D134/'Condensed Financials'!D34)</f>
        <v/>
      </c>
      <c r="E135" s="14">
        <f>IF('Condensed Financials'!E34=0,NA(),E134/'Condensed Financials'!E34)</f>
        <v/>
      </c>
    </row>
    <row r="136">
      <c r="A136" s="10" t="inlineStr">
        <is>
          <t>Goodwill &amp; Intangibles</t>
        </is>
      </c>
      <c r="B136" s="12">
        <f>B126+B131</f>
        <v/>
      </c>
      <c r="C136" s="12">
        <f>C126+C131</f>
        <v/>
      </c>
      <c r="D136" s="12">
        <f>D126+D131</f>
        <v/>
      </c>
      <c r="E136" s="12">
        <f>E126+E131</f>
        <v/>
      </c>
    </row>
    <row r="137">
      <c r="A137" s="10" t="inlineStr">
        <is>
          <t>Change in Goodwill &amp; Intangibles</t>
        </is>
      </c>
      <c r="C137" s="15">
        <f>C136-B136</f>
        <v/>
      </c>
      <c r="D137" s="15">
        <f>D136-C136</f>
        <v/>
      </c>
      <c r="E137" s="15">
        <f>E136-D136</f>
        <v/>
      </c>
    </row>
    <row r="138">
      <c r="A138" s="10" t="inlineStr">
        <is>
          <t>Goodwill &amp; Intangibles Growth</t>
        </is>
      </c>
      <c r="C138" s="14">
        <f>IF(B136=0,NA(),C136/B136-1)</f>
        <v/>
      </c>
      <c r="D138" s="14">
        <f>IF(C136=0,NA(),D136/C136-1)</f>
        <v/>
      </c>
      <c r="E138" s="14">
        <f>IF(D136=0,NA(),E136/D136-1)</f>
        <v/>
      </c>
    </row>
    <row r="139">
      <c r="A139" s="10" t="inlineStr">
        <is>
          <t>Average Goodwill &amp; Intangibles</t>
        </is>
      </c>
      <c r="C139" s="15">
        <f>(B136+C136)/2</f>
        <v/>
      </c>
      <c r="D139" s="15">
        <f>(C136+D136)/2</f>
        <v/>
      </c>
      <c r="E139" s="15">
        <f>(D136+E136)/2</f>
        <v/>
      </c>
    </row>
    <row r="140">
      <c r="A140" s="10" t="inlineStr">
        <is>
          <t>Average Goodwill &amp; Intangibles / Revenue</t>
        </is>
      </c>
      <c r="C140" s="14">
        <f>IF('Condensed Financials'!C34=0,NA(),C139/'Condensed Financials'!C34)</f>
        <v/>
      </c>
      <c r="D140" s="14">
        <f>IF('Condensed Financials'!D34=0,NA(),D139/'Condensed Financials'!D34)</f>
        <v/>
      </c>
      <c r="E140" s="14">
        <f>IF('Condensed Financials'!E34=0,NA(),E139/'Condensed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C127</t>
        </is>
      </c>
      <c r="I218">
        <f>C126-B126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D127</t>
        </is>
      </c>
      <c r="I219">
        <f>D126-C126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E127</t>
        </is>
      </c>
      <c r="I220">
        <f>E126-D126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C128</t>
        </is>
      </c>
      <c r="I221">
        <f>IF(B126=0,NA(),C126/B126-1)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D128</t>
        </is>
      </c>
      <c r="I222">
        <f>IF(C126=0,NA(),D126/C126-1)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E128</t>
        </is>
      </c>
      <c r="I223">
        <f>IF(D126=0,NA(),E126/D126-1)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C129</t>
        </is>
      </c>
      <c r="I224">
        <f>(B126+C126)/2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D129</t>
        </is>
      </c>
      <c r="I225">
        <f>(C126+D126)/2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E129</t>
        </is>
      </c>
      <c r="I226">
        <f>(D126+E126)/2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C130</t>
        </is>
      </c>
      <c r="I227">
        <f>IF('Condensed Financials'!C34=0,NA(),C129/'Condensed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D130</t>
        </is>
      </c>
      <c r="I228">
        <f>IF('Condensed Financials'!D34=0,NA(),D129/'Condensed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E130</t>
        </is>
      </c>
      <c r="I229">
        <f>IF('Condensed Financials'!E34=0,NA(),E129/'Condensed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C132</t>
        </is>
      </c>
      <c r="I230">
        <f>C131-B131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D132</t>
        </is>
      </c>
      <c r="I231">
        <f>D131-C131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E132</t>
        </is>
      </c>
      <c r="I232">
        <f>E131-D131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C133</t>
        </is>
      </c>
      <c r="I233">
        <f>IF(B131=0,NA(),C131/B131-1)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D133</t>
        </is>
      </c>
      <c r="I234">
        <f>IF(C131=0,NA(),D131/C131-1)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E133</t>
        </is>
      </c>
      <c r="I235">
        <f>IF(D131=0,NA(),E131/D131-1)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C134</t>
        </is>
      </c>
      <c r="I236">
        <f>(B131+C131)/2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D134</t>
        </is>
      </c>
      <c r="I237">
        <f>(C131+D131)/2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E134</t>
        </is>
      </c>
      <c r="I238">
        <f>(D131+E131)/2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C135</t>
        </is>
      </c>
      <c r="I239">
        <f>IF('Condensed Financials'!C34=0,NA(),C134/'Condensed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D135</t>
        </is>
      </c>
      <c r="I240">
        <f>IF('Condensed Financials'!D34=0,NA(),D134/'Condensed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E135</t>
        </is>
      </c>
      <c r="I241">
        <f>IF('Condensed Financials'!E34=0,NA(),E134/'Condensed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C137</t>
        </is>
      </c>
      <c r="I242">
        <f>C136-B136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D137</t>
        </is>
      </c>
      <c r="I243">
        <f>D136-C136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E137</t>
        </is>
      </c>
      <c r="I244">
        <f>E136-D136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C138</t>
        </is>
      </c>
      <c r="I245">
        <f>IF(B136=0,NA(),C136/B136-1)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D138</t>
        </is>
      </c>
      <c r="I246">
        <f>IF(C136=0,NA(),D136/C136-1)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E138</t>
        </is>
      </c>
      <c r="I247">
        <f>IF(D136=0,NA(),E136/D136-1)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C139</t>
        </is>
      </c>
      <c r="I248">
        <f>(B136+C136)/2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D139</t>
        </is>
      </c>
      <c r="I249">
        <f>(C136+D136)/2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E139</t>
        </is>
      </c>
      <c r="I250">
        <f>(D136+E136)/2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C140</t>
        </is>
      </c>
      <c r="I251">
        <f>IF('Condensed Financials'!C34=0,NA(),C139/'Condensed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D140</t>
        </is>
      </c>
      <c r="I252">
        <f>IF('Condensed Financials'!D34=0,NA(),D139/'Condensed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E140</t>
        </is>
      </c>
      <c r="I253">
        <f>IF('Condensed Financials'!E34=0,NA(),E139/'Condensed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  <row r="307">
      <c r="A307" t="inlineStr">
        <is>
          <t>share_repurchase_outflow__20230129</t>
        </is>
      </c>
      <c r="B307" t="n">
        <v>306</v>
      </c>
      <c r="C307" t="inlineStr">
        <is>
          <t>Share-repurchase outflow (−reported)</t>
        </is>
      </c>
      <c r="D30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7" t="inlineStr">
        <is>
          <t>share_repurchase.share_repurchase_outflow.2023-01-29</t>
        </is>
      </c>
      <c r="F307" t="inlineStr">
        <is>
          <t>share_repurchase</t>
        </is>
      </c>
      <c r="G307" t="inlineStr">
        <is>
          <t>ALT DuPont</t>
        </is>
      </c>
      <c r="H307" t="inlineStr">
        <is>
          <t>B95</t>
        </is>
      </c>
      <c r="I307">
        <f>-B94</f>
        <v/>
      </c>
      <c r="J307" t="n">
        <v>444001</v>
      </c>
      <c r="K307" t="n">
        <v>0.01</v>
      </c>
      <c r="M30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7" t="inlineStr">
        <is>
          <t>pending</t>
        </is>
      </c>
      <c r="P307" t="inlineStr">
        <is>
          <t>share_repurchase_outflow</t>
        </is>
      </c>
      <c r="Q307" t="n">
        <v>132</v>
      </c>
      <c r="R307" t="n">
        <v>0</v>
      </c>
      <c r="S307" t="inlineStr">
        <is>
          <t>2023-01-29</t>
        </is>
      </c>
    </row>
    <row r="308">
      <c r="A308" t="inlineStr">
        <is>
          <t>share_repurchase_outflow__20240128</t>
        </is>
      </c>
      <c r="B308" t="n">
        <v>307</v>
      </c>
      <c r="C308" t="inlineStr">
        <is>
          <t>Share-repurchase outflow (−reported)</t>
        </is>
      </c>
      <c r="D30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8" t="inlineStr">
        <is>
          <t>share_repurchase.share_repurchase_outflow.2024-01-28</t>
        </is>
      </c>
      <c r="F308" t="inlineStr">
        <is>
          <t>share_repurchase</t>
        </is>
      </c>
      <c r="G308" t="inlineStr">
        <is>
          <t>ALT DuPont</t>
        </is>
      </c>
      <c r="H308" t="inlineStr">
        <is>
          <t>C95</t>
        </is>
      </c>
      <c r="I308">
        <f>-C94</f>
        <v/>
      </c>
      <c r="J308" t="n">
        <v>558652</v>
      </c>
      <c r="K308" t="n">
        <v>0.01</v>
      </c>
      <c r="M30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8" t="inlineStr">
        <is>
          <t>pending</t>
        </is>
      </c>
      <c r="P308" t="inlineStr">
        <is>
          <t>share_repurchase_outflow</t>
        </is>
      </c>
      <c r="Q308" t="n">
        <v>132</v>
      </c>
      <c r="R308" t="n">
        <v>1</v>
      </c>
      <c r="S308" t="inlineStr">
        <is>
          <t>2024-01-28</t>
        </is>
      </c>
    </row>
    <row r="309">
      <c r="A309" t="inlineStr">
        <is>
          <t>share_repurchase_outflow__20250202</t>
        </is>
      </c>
      <c r="B309" t="n">
        <v>308</v>
      </c>
      <c r="C309" t="inlineStr">
        <is>
          <t>Share-repurchase outflow (−reported)</t>
        </is>
      </c>
      <c r="D30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9" t="inlineStr">
        <is>
          <t>share_repurchase.share_repurchase_outflow.2025-02-02</t>
        </is>
      </c>
      <c r="F309" t="inlineStr">
        <is>
          <t>share_repurchase</t>
        </is>
      </c>
      <c r="G309" t="inlineStr">
        <is>
          <t>ALT DuPont</t>
        </is>
      </c>
      <c r="H309" t="inlineStr">
        <is>
          <t>D95</t>
        </is>
      </c>
      <c r="I309">
        <f>-D94</f>
        <v/>
      </c>
      <c r="J309" t="n">
        <v>1636879</v>
      </c>
      <c r="K309" t="n">
        <v>0.01</v>
      </c>
      <c r="M30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9" t="inlineStr">
        <is>
          <t>pending</t>
        </is>
      </c>
      <c r="P309" t="inlineStr">
        <is>
          <t>share_repurchase_outflow</t>
        </is>
      </c>
      <c r="Q309" t="n">
        <v>132</v>
      </c>
      <c r="R309" t="n">
        <v>2</v>
      </c>
      <c r="S309" t="inlineStr">
        <is>
          <t>2025-02-02</t>
        </is>
      </c>
    </row>
    <row r="310">
      <c r="A310" t="inlineStr">
        <is>
          <t>share_repurchase_outflow__20260201</t>
        </is>
      </c>
      <c r="B310" t="n">
        <v>309</v>
      </c>
      <c r="C310" t="inlineStr">
        <is>
          <t>Share-repurchase outflow (−reported)</t>
        </is>
      </c>
      <c r="D31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10" t="inlineStr">
        <is>
          <t>share_repurchase.share_repurchase_outflow.2026-02-01</t>
        </is>
      </c>
      <c r="F310" t="inlineStr">
        <is>
          <t>share_repurchase</t>
        </is>
      </c>
      <c r="G310" t="inlineStr">
        <is>
          <t>ALT DuPont</t>
        </is>
      </c>
      <c r="H310" t="inlineStr">
        <is>
          <t>E95</t>
        </is>
      </c>
      <c r="I310">
        <f>-E94</f>
        <v/>
      </c>
      <c r="J310" t="n">
        <v>1178349</v>
      </c>
      <c r="K310" t="n">
        <v>0.01</v>
      </c>
      <c r="M31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10" t="inlineStr">
        <is>
          <t>pending</t>
        </is>
      </c>
      <c r="P310" t="inlineStr">
        <is>
          <t>share_repurchase_outflow</t>
        </is>
      </c>
      <c r="Q310" t="n">
        <v>132</v>
      </c>
      <c r="R310" t="n">
        <v>3</v>
      </c>
      <c r="S310" t="inlineStr">
        <is>
          <t>2026-02-01</t>
        </is>
      </c>
    </row>
    <row r="311">
      <c r="A311" t="inlineStr">
        <is>
          <t>share_repurchase_to_revenue__20230129</t>
        </is>
      </c>
      <c r="B311" t="n">
        <v>310</v>
      </c>
      <c r="C311" t="inlineStr">
        <is>
          <t>Share-repurchase / Revenue</t>
        </is>
      </c>
      <c r="D311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1" t="inlineStr">
        <is>
          <t>share_repurchase.share_repurchase_to_revenue.2023-01-29</t>
        </is>
      </c>
      <c r="F311" t="inlineStr">
        <is>
          <t>share_repurchase</t>
        </is>
      </c>
      <c r="G311" t="inlineStr">
        <is>
          <t>ALT DuPont</t>
        </is>
      </c>
      <c r="H311" t="inlineStr">
        <is>
          <t>B96</t>
        </is>
      </c>
      <c r="I311">
        <f>IF('Condensed Financials'!B34=0,NA(),B95/'Condensed Financials'!B34)</f>
        <v/>
      </c>
      <c r="J311" t="n">
        <v>0.05474385236553325</v>
      </c>
      <c r="K311" t="n">
        <v>0.01</v>
      </c>
      <c r="L311" t="inlineStr">
        <is>
          <t>share_repurchase_outflow__20230129,revenue_link__20230129</t>
        </is>
      </c>
      <c r="M311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1" t="inlineStr">
        <is>
          <t>pending</t>
        </is>
      </c>
      <c r="P311" t="inlineStr">
        <is>
          <t>share_repurchase_to_revenue</t>
        </is>
      </c>
      <c r="Q311" t="n">
        <v>133</v>
      </c>
      <c r="R311" t="n">
        <v>0</v>
      </c>
      <c r="S311" t="inlineStr">
        <is>
          <t>2023-01-29</t>
        </is>
      </c>
    </row>
    <row r="312">
      <c r="A312" t="inlineStr">
        <is>
          <t>share_repurchase_to_revenue__20240128</t>
        </is>
      </c>
      <c r="B312" t="n">
        <v>311</v>
      </c>
      <c r="C312" t="inlineStr">
        <is>
          <t>Share-repurchase / Revenue</t>
        </is>
      </c>
      <c r="D31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2" t="inlineStr">
        <is>
          <t>share_repurchase.share_repurchase_to_revenue.2024-01-28</t>
        </is>
      </c>
      <c r="F312" t="inlineStr">
        <is>
          <t>share_repurchase</t>
        </is>
      </c>
      <c r="G312" t="inlineStr">
        <is>
          <t>ALT DuPont</t>
        </is>
      </c>
      <c r="H312" t="inlineStr">
        <is>
          <t>C96</t>
        </is>
      </c>
      <c r="I312">
        <f>IF('Condensed Financials'!C34=0,NA(),C95/'Condensed Financials'!C34)</f>
        <v/>
      </c>
      <c r="J312" t="n">
        <v>0.05807629221236771</v>
      </c>
      <c r="K312" t="n">
        <v>0.01</v>
      </c>
      <c r="L312" t="inlineStr">
        <is>
          <t>share_repurchase_outflow__20240128,revenue_link__20240128</t>
        </is>
      </c>
      <c r="M31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2" t="inlineStr">
        <is>
          <t>pending</t>
        </is>
      </c>
      <c r="P312" t="inlineStr">
        <is>
          <t>share_repurchase_to_revenue</t>
        </is>
      </c>
      <c r="Q312" t="n">
        <v>133</v>
      </c>
      <c r="R312" t="n">
        <v>1</v>
      </c>
      <c r="S312" t="inlineStr">
        <is>
          <t>2024-01-28</t>
        </is>
      </c>
    </row>
    <row r="313">
      <c r="A313" t="inlineStr">
        <is>
          <t>share_repurchase_to_revenue__20250202</t>
        </is>
      </c>
      <c r="B313" t="n">
        <v>312</v>
      </c>
      <c r="C313" t="inlineStr">
        <is>
          <t>Share-repurchase / Revenue</t>
        </is>
      </c>
      <c r="D31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3" t="inlineStr">
        <is>
          <t>share_repurchase.share_repurchase_to_revenue.2025-02-02</t>
        </is>
      </c>
      <c r="F313" t="inlineStr">
        <is>
          <t>share_repurchase</t>
        </is>
      </c>
      <c r="G313" t="inlineStr">
        <is>
          <t>ALT DuPont</t>
        </is>
      </c>
      <c r="H313" t="inlineStr">
        <is>
          <t>D96</t>
        </is>
      </c>
      <c r="I313">
        <f>IF('Condensed Financials'!D34=0,NA(),D95/'Condensed Financials'!D34)</f>
        <v/>
      </c>
      <c r="J313" t="n">
        <v>0.1545957235491908</v>
      </c>
      <c r="K313" t="n">
        <v>0.01</v>
      </c>
      <c r="L313" t="inlineStr">
        <is>
          <t>share_repurchase_outflow__20250202,revenue_link__20250202</t>
        </is>
      </c>
      <c r="M31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3" t="inlineStr">
        <is>
          <t>pending</t>
        </is>
      </c>
      <c r="P313" t="inlineStr">
        <is>
          <t>share_repurchase_to_revenue</t>
        </is>
      </c>
      <c r="Q313" t="n">
        <v>133</v>
      </c>
      <c r="R313" t="n">
        <v>2</v>
      </c>
      <c r="S313" t="inlineStr">
        <is>
          <t>2025-02-02</t>
        </is>
      </c>
    </row>
    <row r="314">
      <c r="A314" t="inlineStr">
        <is>
          <t>share_repurchase_to_revenue__20260201</t>
        </is>
      </c>
      <c r="B314" t="n">
        <v>313</v>
      </c>
      <c r="C314" t="inlineStr">
        <is>
          <t>Share-repurchase / Revenue</t>
        </is>
      </c>
      <c r="D31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4" t="inlineStr">
        <is>
          <t>share_repurchase.share_repurchase_to_revenue.2026-02-01</t>
        </is>
      </c>
      <c r="F314" t="inlineStr">
        <is>
          <t>share_repurchase</t>
        </is>
      </c>
      <c r="G314" t="inlineStr">
        <is>
          <t>ALT DuPont</t>
        </is>
      </c>
      <c r="H314" t="inlineStr">
        <is>
          <t>E96</t>
        </is>
      </c>
      <c r="I314">
        <f>IF('Condensed Financials'!E34=0,NA(),E95/'Condensed Financials'!E34)</f>
        <v/>
      </c>
      <c r="J314" t="n">
        <v>0.106132707654063</v>
      </c>
      <c r="K314" t="n">
        <v>0.01</v>
      </c>
      <c r="L314" t="inlineStr">
        <is>
          <t>share_repurchase_outflow__20260201,revenue_link__20260201</t>
        </is>
      </c>
      <c r="M31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4" t="inlineStr">
        <is>
          <t>pending</t>
        </is>
      </c>
      <c r="P314" t="inlineStr">
        <is>
          <t>share_repurchase_to_revenue</t>
        </is>
      </c>
      <c r="Q314" t="n">
        <v>133</v>
      </c>
      <c r="R314" t="n">
        <v>3</v>
      </c>
      <c r="S314" t="inlineStr">
        <is>
          <t>2026-02-01</t>
        </is>
      </c>
    </row>
    <row r="315">
      <c r="A315" t="inlineStr">
        <is>
          <t>cash_after_ppe_capex_acquisitions_and_repurchases__20230129</t>
        </is>
      </c>
      <c r="B315" t="n">
        <v>314</v>
      </c>
      <c r="C315" t="inlineStr">
        <is>
          <t>Operating cash after PP&amp;E capex, acquisitions and repurchases</t>
        </is>
      </c>
      <c r="D315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5" t="inlineStr">
        <is>
          <t>share_repurchase.cash_after_ppe_capex_acquisitions_and_repurchases.2023-01-29</t>
        </is>
      </c>
      <c r="F315" t="inlineStr">
        <is>
          <t>share_repurchase</t>
        </is>
      </c>
      <c r="G315" t="inlineStr">
        <is>
          <t>ALT DuPont</t>
        </is>
      </c>
      <c r="H315" t="inlineStr">
        <is>
          <t>B99</t>
        </is>
      </c>
      <c r="I315">
        <f>B81-B77-B87-B95</f>
        <v/>
      </c>
      <c r="J315" t="n">
        <v>-116195</v>
      </c>
      <c r="K315" t="n">
        <v>0.01</v>
      </c>
      <c r="L315" t="inlineStr">
        <is>
          <t>ppe_capex__20230129,acquisition_cash_outflow__20230129,share_repurchase_outflow__20230129</t>
        </is>
      </c>
      <c r="M315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5" t="inlineStr">
        <is>
          <t>pending</t>
        </is>
      </c>
      <c r="P315" t="inlineStr">
        <is>
          <t>cash_after_ppe_capex_acquisitions_and_repurchases</t>
        </is>
      </c>
      <c r="Q315" t="n">
        <v>134</v>
      </c>
      <c r="R315" t="n">
        <v>0</v>
      </c>
      <c r="S315" t="inlineStr">
        <is>
          <t>2023-01-29</t>
        </is>
      </c>
    </row>
    <row r="316">
      <c r="A316" t="inlineStr">
        <is>
          <t>cash_after_ppe_capex_acquisitions_and_repurchases__20240128</t>
        </is>
      </c>
      <c r="B316" t="n">
        <v>315</v>
      </c>
      <c r="C316" t="inlineStr">
        <is>
          <t>Operating cash after PP&amp;E capex, acquisitions and repurchases</t>
        </is>
      </c>
      <c r="D316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6" t="inlineStr">
        <is>
          <t>share_repurchase.cash_after_ppe_capex_acquisitions_and_repurchases.2024-01-28</t>
        </is>
      </c>
      <c r="F316" t="inlineStr">
        <is>
          <t>share_repurchase</t>
        </is>
      </c>
      <c r="G316" t="inlineStr">
        <is>
          <t>ALT DuPont</t>
        </is>
      </c>
      <c r="H316" t="inlineStr">
        <is>
          <t>C99</t>
        </is>
      </c>
      <c r="I316">
        <f>C81-C77-C87-C95</f>
        <v/>
      </c>
      <c r="J316" t="n">
        <v>1085647</v>
      </c>
      <c r="K316" t="n">
        <v>0.01</v>
      </c>
      <c r="L316" t="inlineStr">
        <is>
          <t>ppe_capex__20240128,acquisition_cash_outflow__20240128,share_repurchase_outflow__20240128</t>
        </is>
      </c>
      <c r="M316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6" t="inlineStr">
        <is>
          <t>pending</t>
        </is>
      </c>
      <c r="P316" t="inlineStr">
        <is>
          <t>cash_after_ppe_capex_acquisitions_and_repurchases</t>
        </is>
      </c>
      <c r="Q316" t="n">
        <v>134</v>
      </c>
      <c r="R316" t="n">
        <v>1</v>
      </c>
      <c r="S316" t="inlineStr">
        <is>
          <t>2024-01-28</t>
        </is>
      </c>
    </row>
    <row r="317">
      <c r="A317" t="inlineStr">
        <is>
          <t>cash_after_ppe_capex_acquisitions_and_repurchases__20250202</t>
        </is>
      </c>
      <c r="B317" t="n">
        <v>316</v>
      </c>
      <c r="C317" t="inlineStr">
        <is>
          <t>Operating cash after PP&amp;E capex, acquisitions and repurchases</t>
        </is>
      </c>
      <c r="D31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7" t="inlineStr">
        <is>
          <t>share_repurchase.cash_after_ppe_capex_acquisitions_and_repurchases.2025-02-02</t>
        </is>
      </c>
      <c r="F317" t="inlineStr">
        <is>
          <t>share_repurchase</t>
        </is>
      </c>
      <c r="G317" t="inlineStr">
        <is>
          <t>ALT DuPont</t>
        </is>
      </c>
      <c r="H317" t="inlineStr">
        <is>
          <t>D99</t>
        </is>
      </c>
      <c r="I317">
        <f>D81-D77-D87-D95</f>
        <v/>
      </c>
      <c r="J317" t="n">
        <v>-207544</v>
      </c>
      <c r="K317" t="n">
        <v>0.01</v>
      </c>
      <c r="L317" t="inlineStr">
        <is>
          <t>ppe_capex__20250202,acquisition_cash_outflow__20250202,share_repurchase_outflow__20250202</t>
        </is>
      </c>
      <c r="M31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7" t="inlineStr">
        <is>
          <t>pending</t>
        </is>
      </c>
      <c r="P317" t="inlineStr">
        <is>
          <t>cash_after_ppe_capex_acquisitions_and_repurchases</t>
        </is>
      </c>
      <c r="Q317" t="n">
        <v>134</v>
      </c>
      <c r="R317" t="n">
        <v>2</v>
      </c>
      <c r="S317" t="inlineStr">
        <is>
          <t>2025-02-02</t>
        </is>
      </c>
    </row>
    <row r="318">
      <c r="A318" t="inlineStr">
        <is>
          <t>cash_after_ppe_capex_acquisitions_and_repurchases__20260201</t>
        </is>
      </c>
      <c r="B318" t="n">
        <v>317</v>
      </c>
      <c r="C318" t="inlineStr">
        <is>
          <t>Operating cash after PP&amp;E capex, acquisitions and repurchases</t>
        </is>
      </c>
      <c r="D31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8" t="inlineStr">
        <is>
          <t>share_repurchase.cash_after_ppe_capex_acquisitions_and_repurchases.2026-02-01</t>
        </is>
      </c>
      <c r="F318" t="inlineStr">
        <is>
          <t>share_repurchase</t>
        </is>
      </c>
      <c r="G318" t="inlineStr">
        <is>
          <t>ALT DuPont</t>
        </is>
      </c>
      <c r="H318" t="inlineStr">
        <is>
          <t>E99</t>
        </is>
      </c>
      <c r="I318">
        <f>E81-E77-E87-E95</f>
        <v/>
      </c>
      <c r="J318" t="n">
        <v>-256674</v>
      </c>
      <c r="K318" t="n">
        <v>0.01</v>
      </c>
      <c r="L318" t="inlineStr">
        <is>
          <t>ppe_capex__20260201,acquisition_cash_outflow__20260201,share_repurchase_outflow__20260201</t>
        </is>
      </c>
      <c r="M31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8" t="inlineStr">
        <is>
          <t>pending</t>
        </is>
      </c>
      <c r="P318" t="inlineStr">
        <is>
          <t>cash_after_ppe_capex_acquisitions_and_repurchases</t>
        </is>
      </c>
      <c r="Q318" t="n">
        <v>134</v>
      </c>
      <c r="R318" t="n">
        <v>3</v>
      </c>
      <c r="S318" t="inlineStr">
        <is>
          <t>2026-02-01</t>
        </is>
      </c>
    </row>
    <row r="319">
      <c r="A319" t="inlineStr">
        <is>
          <t>cash_movement_from_flows__20230129</t>
        </is>
      </c>
      <c r="B319" t="n">
        <v>318</v>
      </c>
      <c r="C319" t="inlineStr">
        <is>
          <t>Cash movement from flows</t>
        </is>
      </c>
      <c r="D319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19" t="inlineStr">
        <is>
          <t>cash_rollforward.cash_movement_from_flows.2023-01-29</t>
        </is>
      </c>
      <c r="F319" t="inlineStr">
        <is>
          <t>cash_rollforward</t>
        </is>
      </c>
      <c r="G319" t="inlineStr">
        <is>
          <t>ALT DuPont</t>
        </is>
      </c>
      <c r="H319" t="inlineStr">
        <is>
          <t>B106</t>
        </is>
      </c>
      <c r="I319">
        <f>B102+B103+B104+B105</f>
        <v/>
      </c>
      <c r="J319" t="n">
        <v>-105004</v>
      </c>
      <c r="K319" t="n">
        <v>0.01</v>
      </c>
      <c r="M319" t="inlineStr">
        <is>
          <t>Cash movement from flows = reported CFO + CFI + CFF + FX.|Use signed statement-unit totals, including FX.|Do not substitute balance-sheet cash, insert a balancing plug, or infer debt funding.</t>
        </is>
      </c>
      <c r="O319" t="inlineStr">
        <is>
          <t>pending</t>
        </is>
      </c>
      <c r="P319" t="inlineStr">
        <is>
          <t>cash_movement_from_flows</t>
        </is>
      </c>
      <c r="Q319" t="n">
        <v>135</v>
      </c>
      <c r="R319" t="n">
        <v>0</v>
      </c>
      <c r="S319" t="inlineStr">
        <is>
          <t>2023-01-29</t>
        </is>
      </c>
    </row>
    <row r="320">
      <c r="A320" t="inlineStr">
        <is>
          <t>cash_movement_from_flows__20240128</t>
        </is>
      </c>
      <c r="B320" t="n">
        <v>319</v>
      </c>
      <c r="C320" t="inlineStr">
        <is>
          <t>Cash movement from flows</t>
        </is>
      </c>
      <c r="D320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0" t="inlineStr">
        <is>
          <t>cash_rollforward.cash_movement_from_flows.2024-01-28</t>
        </is>
      </c>
      <c r="F320" t="inlineStr">
        <is>
          <t>cash_rollforward</t>
        </is>
      </c>
      <c r="G320" t="inlineStr">
        <is>
          <t>ALT DuPont</t>
        </is>
      </c>
      <c r="H320" t="inlineStr">
        <is>
          <t>C106</t>
        </is>
      </c>
      <c r="I320">
        <f>C102+C103+C104+C105</f>
        <v/>
      </c>
      <c r="J320" t="n">
        <v>1089104</v>
      </c>
      <c r="K320" t="n">
        <v>0.01</v>
      </c>
      <c r="M320" t="inlineStr">
        <is>
          <t>Cash movement from flows = reported CFO + CFI + CFF + FX.|Use signed statement-unit totals, including FX.|Do not substitute balance-sheet cash, insert a balancing plug, or infer debt funding.</t>
        </is>
      </c>
      <c r="O320" t="inlineStr">
        <is>
          <t>pending</t>
        </is>
      </c>
      <c r="P320" t="inlineStr">
        <is>
          <t>cash_movement_from_flows</t>
        </is>
      </c>
      <c r="Q320" t="n">
        <v>135</v>
      </c>
      <c r="R320" t="n">
        <v>1</v>
      </c>
      <c r="S320" t="inlineStr">
        <is>
          <t>2024-01-28</t>
        </is>
      </c>
    </row>
    <row r="321">
      <c r="A321" t="inlineStr">
        <is>
          <t>cash_movement_from_flows__20250202</t>
        </is>
      </c>
      <c r="B321" t="n">
        <v>320</v>
      </c>
      <c r="C321" t="inlineStr">
        <is>
          <t>Cash movement from flows</t>
        </is>
      </c>
      <c r="D321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1" t="inlineStr">
        <is>
          <t>cash_rollforward.cash_movement_from_flows.2025-02-02</t>
        </is>
      </c>
      <c r="F321" t="inlineStr">
        <is>
          <t>cash_rollforward</t>
        </is>
      </c>
      <c r="G321" t="inlineStr">
        <is>
          <t>ALT DuPont</t>
        </is>
      </c>
      <c r="H321" t="inlineStr">
        <is>
          <t>D106</t>
        </is>
      </c>
      <c r="I321">
        <f>D102+D103+D104+D105</f>
        <v/>
      </c>
      <c r="J321" t="n">
        <v>-259635</v>
      </c>
      <c r="K321" t="n">
        <v>0.01</v>
      </c>
      <c r="M321" t="inlineStr">
        <is>
          <t>Cash movement from flows = reported CFO + CFI + CFF + FX.|Use signed statement-unit totals, including FX.|Do not substitute balance-sheet cash, insert a balancing plug, or infer debt funding.</t>
        </is>
      </c>
      <c r="O321" t="inlineStr">
        <is>
          <t>pending</t>
        </is>
      </c>
      <c r="P321" t="inlineStr">
        <is>
          <t>cash_movement_from_flows</t>
        </is>
      </c>
      <c r="Q321" t="n">
        <v>135</v>
      </c>
      <c r="R321" t="n">
        <v>2</v>
      </c>
      <c r="S321" t="inlineStr">
        <is>
          <t>2025-02-02</t>
        </is>
      </c>
    </row>
    <row r="322">
      <c r="A322" t="inlineStr">
        <is>
          <t>cash_movement_from_flows__20260201</t>
        </is>
      </c>
      <c r="B322" t="n">
        <v>321</v>
      </c>
      <c r="C322" t="inlineStr">
        <is>
          <t>Cash movement from flows</t>
        </is>
      </c>
      <c r="D322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2" t="inlineStr">
        <is>
          <t>cash_rollforward.cash_movement_from_flows.2026-02-01</t>
        </is>
      </c>
      <c r="F322" t="inlineStr">
        <is>
          <t>cash_rollforward</t>
        </is>
      </c>
      <c r="G322" t="inlineStr">
        <is>
          <t>ALT DuPont</t>
        </is>
      </c>
      <c r="H322" t="inlineStr">
        <is>
          <t>E106</t>
        </is>
      </c>
      <c r="I322">
        <f>E102+E103+E104+E105</f>
        <v/>
      </c>
      <c r="J322" t="n">
        <v>-177134</v>
      </c>
      <c r="K322" t="n">
        <v>0.01</v>
      </c>
      <c r="M322" t="inlineStr">
        <is>
          <t>Cash movement from flows = reported CFO + CFI + CFF + FX.|Use signed statement-unit totals, including FX.|Do not substitute balance-sheet cash, insert a balancing plug, or infer debt funding.</t>
        </is>
      </c>
      <c r="O322" t="inlineStr">
        <is>
          <t>pending</t>
        </is>
      </c>
      <c r="P322" t="inlineStr">
        <is>
          <t>cash_movement_from_flows</t>
        </is>
      </c>
      <c r="Q322" t="n">
        <v>135</v>
      </c>
      <c r="R322" t="n">
        <v>3</v>
      </c>
      <c r="S322" t="inlineStr">
        <is>
          <t>2026-02-01</t>
        </is>
      </c>
    </row>
    <row r="323">
      <c r="A323" t="inlineStr">
        <is>
          <t>cash_movement_difference__20230129</t>
        </is>
      </c>
      <c r="B323" t="n">
        <v>322</v>
      </c>
      <c r="C323" t="inlineStr">
        <is>
          <t>Cash movement difference</t>
        </is>
      </c>
      <c r="D323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3" t="inlineStr">
        <is>
          <t>cash_rollforward.cash_movement_difference.2023-01-29</t>
        </is>
      </c>
      <c r="F323" t="inlineStr">
        <is>
          <t>cash_rollforward</t>
        </is>
      </c>
      <c r="G323" t="inlineStr">
        <is>
          <t>ALT DuPont</t>
        </is>
      </c>
      <c r="H323" t="inlineStr">
        <is>
          <t>B108</t>
        </is>
      </c>
      <c r="I323">
        <f>B106-B107</f>
        <v/>
      </c>
      <c r="J323" t="n">
        <v>0</v>
      </c>
      <c r="K323" t="n">
        <v>0.01</v>
      </c>
      <c r="L323" t="inlineStr">
        <is>
          <t>cash_movement_from_flows__20230129</t>
        </is>
      </c>
      <c r="M323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3" t="inlineStr">
        <is>
          <t>pending</t>
        </is>
      </c>
      <c r="P323" t="inlineStr">
        <is>
          <t>cash_movement_difference</t>
        </is>
      </c>
      <c r="Q323" t="n">
        <v>136</v>
      </c>
      <c r="R323" t="n">
        <v>0</v>
      </c>
      <c r="S323" t="inlineStr">
        <is>
          <t>2023-01-29</t>
        </is>
      </c>
    </row>
    <row r="324">
      <c r="A324" t="inlineStr">
        <is>
          <t>cash_movement_difference__20240128</t>
        </is>
      </c>
      <c r="B324" t="n">
        <v>323</v>
      </c>
      <c r="C324" t="inlineStr">
        <is>
          <t>Cash movement difference</t>
        </is>
      </c>
      <c r="D324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4" t="inlineStr">
        <is>
          <t>cash_rollforward.cash_movement_difference.2024-01-28</t>
        </is>
      </c>
      <c r="F324" t="inlineStr">
        <is>
          <t>cash_rollforward</t>
        </is>
      </c>
      <c r="G324" t="inlineStr">
        <is>
          <t>ALT DuPont</t>
        </is>
      </c>
      <c r="H324" t="inlineStr">
        <is>
          <t>C108</t>
        </is>
      </c>
      <c r="I324">
        <f>C106-C107</f>
        <v/>
      </c>
      <c r="J324" t="n">
        <v>0</v>
      </c>
      <c r="K324" t="n">
        <v>0.01</v>
      </c>
      <c r="L324" t="inlineStr">
        <is>
          <t>cash_movement_from_flows__20240128</t>
        </is>
      </c>
      <c r="M324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4" t="inlineStr">
        <is>
          <t>pending</t>
        </is>
      </c>
      <c r="P324" t="inlineStr">
        <is>
          <t>cash_movement_difference</t>
        </is>
      </c>
      <c r="Q324" t="n">
        <v>136</v>
      </c>
      <c r="R324" t="n">
        <v>1</v>
      </c>
      <c r="S324" t="inlineStr">
        <is>
          <t>2024-01-28</t>
        </is>
      </c>
    </row>
    <row r="325">
      <c r="A325" t="inlineStr">
        <is>
          <t>cash_movement_difference__20250202</t>
        </is>
      </c>
      <c r="B325" t="n">
        <v>324</v>
      </c>
      <c r="C325" t="inlineStr">
        <is>
          <t>Cash movement difference</t>
        </is>
      </c>
      <c r="D325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5" t="inlineStr">
        <is>
          <t>cash_rollforward.cash_movement_difference.2025-02-02</t>
        </is>
      </c>
      <c r="F325" t="inlineStr">
        <is>
          <t>cash_rollforward</t>
        </is>
      </c>
      <c r="G325" t="inlineStr">
        <is>
          <t>ALT DuPont</t>
        </is>
      </c>
      <c r="H325" t="inlineStr">
        <is>
          <t>D108</t>
        </is>
      </c>
      <c r="I325">
        <f>D106-D107</f>
        <v/>
      </c>
      <c r="J325" t="n">
        <v>0</v>
      </c>
      <c r="K325" t="n">
        <v>0.01</v>
      </c>
      <c r="L325" t="inlineStr">
        <is>
          <t>cash_movement_from_flows__20250202</t>
        </is>
      </c>
      <c r="M325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5" t="inlineStr">
        <is>
          <t>pending</t>
        </is>
      </c>
      <c r="P325" t="inlineStr">
        <is>
          <t>cash_movement_difference</t>
        </is>
      </c>
      <c r="Q325" t="n">
        <v>136</v>
      </c>
      <c r="R325" t="n">
        <v>2</v>
      </c>
      <c r="S325" t="inlineStr">
        <is>
          <t>2025-02-02</t>
        </is>
      </c>
    </row>
    <row r="326">
      <c r="A326" t="inlineStr">
        <is>
          <t>cash_movement_difference__20260201</t>
        </is>
      </c>
      <c r="B326" t="n">
        <v>325</v>
      </c>
      <c r="C326" t="inlineStr">
        <is>
          <t>Cash movement difference</t>
        </is>
      </c>
      <c r="D326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6" t="inlineStr">
        <is>
          <t>cash_rollforward.cash_movement_difference.2026-02-01</t>
        </is>
      </c>
      <c r="F326" t="inlineStr">
        <is>
          <t>cash_rollforward</t>
        </is>
      </c>
      <c r="G326" t="inlineStr">
        <is>
          <t>ALT DuPont</t>
        </is>
      </c>
      <c r="H326" t="inlineStr">
        <is>
          <t>E108</t>
        </is>
      </c>
      <c r="I326">
        <f>E106-E107</f>
        <v/>
      </c>
      <c r="J326" t="n">
        <v>0</v>
      </c>
      <c r="K326" t="n">
        <v>0.01</v>
      </c>
      <c r="L326" t="inlineStr">
        <is>
          <t>cash_movement_from_flows__20260201</t>
        </is>
      </c>
      <c r="M326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6" t="inlineStr">
        <is>
          <t>pending</t>
        </is>
      </c>
      <c r="P326" t="inlineStr">
        <is>
          <t>cash_movement_difference</t>
        </is>
      </c>
      <c r="Q326" t="n">
        <v>136</v>
      </c>
      <c r="R326" t="n">
        <v>3</v>
      </c>
      <c r="S326" t="inlineStr">
        <is>
          <t>2026-02-01</t>
        </is>
      </c>
    </row>
    <row r="327">
      <c r="A327" t="inlineStr">
        <is>
          <t>cash_ending_from_flows__20230129</t>
        </is>
      </c>
      <c r="B327" t="n">
        <v>326</v>
      </c>
      <c r="C327" t="inlineStr">
        <is>
          <t>Cash ending from flows</t>
        </is>
      </c>
      <c r="D32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7" t="inlineStr">
        <is>
          <t>cash_rollforward.cash_ending_from_flows.2023-01-29</t>
        </is>
      </c>
      <c r="F327" t="inlineStr">
        <is>
          <t>cash_rollforward</t>
        </is>
      </c>
      <c r="G327" t="inlineStr">
        <is>
          <t>ALT DuPont</t>
        </is>
      </c>
      <c r="H327" t="inlineStr">
        <is>
          <t>B110</t>
        </is>
      </c>
      <c r="I327">
        <f>B109+B106</f>
        <v/>
      </c>
      <c r="J327" t="n">
        <v>1154867</v>
      </c>
      <c r="K327" t="n">
        <v>0.01</v>
      </c>
      <c r="L327" t="inlineStr">
        <is>
          <t>cash_movement_from_flows__20230129</t>
        </is>
      </c>
      <c r="M32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7" t="inlineStr">
        <is>
          <t>pending</t>
        </is>
      </c>
      <c r="P327" t="inlineStr">
        <is>
          <t>cash_ending_from_flows</t>
        </is>
      </c>
      <c r="Q327" t="n">
        <v>137</v>
      </c>
      <c r="R327" t="n">
        <v>0</v>
      </c>
      <c r="S327" t="inlineStr">
        <is>
          <t>2023-01-29</t>
        </is>
      </c>
    </row>
    <row r="328">
      <c r="A328" t="inlineStr">
        <is>
          <t>cash_ending_from_flows__20240128</t>
        </is>
      </c>
      <c r="B328" t="n">
        <v>327</v>
      </c>
      <c r="C328" t="inlineStr">
        <is>
          <t>Cash ending from flows</t>
        </is>
      </c>
      <c r="D328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8" t="inlineStr">
        <is>
          <t>cash_rollforward.cash_ending_from_flows.2024-01-28</t>
        </is>
      </c>
      <c r="F328" t="inlineStr">
        <is>
          <t>cash_rollforward</t>
        </is>
      </c>
      <c r="G328" t="inlineStr">
        <is>
          <t>ALT DuPont</t>
        </is>
      </c>
      <c r="H328" t="inlineStr">
        <is>
          <t>C110</t>
        </is>
      </c>
      <c r="I328">
        <f>C109+C106</f>
        <v/>
      </c>
      <c r="J328" t="n">
        <v>2243971</v>
      </c>
      <c r="K328" t="n">
        <v>0.01</v>
      </c>
      <c r="L328" t="inlineStr">
        <is>
          <t>cash_movement_from_flows__20240128</t>
        </is>
      </c>
      <c r="M328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8" t="inlineStr">
        <is>
          <t>pending</t>
        </is>
      </c>
      <c r="P328" t="inlineStr">
        <is>
          <t>cash_ending_from_flows</t>
        </is>
      </c>
      <c r="Q328" t="n">
        <v>137</v>
      </c>
      <c r="R328" t="n">
        <v>1</v>
      </c>
      <c r="S328" t="inlineStr">
        <is>
          <t>2024-01-28</t>
        </is>
      </c>
    </row>
    <row r="329">
      <c r="A329" t="inlineStr">
        <is>
          <t>cash_ending_from_flows__20250202</t>
        </is>
      </c>
      <c r="B329" t="n">
        <v>328</v>
      </c>
      <c r="C329" t="inlineStr">
        <is>
          <t>Cash ending from flows</t>
        </is>
      </c>
      <c r="D329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9" t="inlineStr">
        <is>
          <t>cash_rollforward.cash_ending_from_flows.2025-02-02</t>
        </is>
      </c>
      <c r="F329" t="inlineStr">
        <is>
          <t>cash_rollforward</t>
        </is>
      </c>
      <c r="G329" t="inlineStr">
        <is>
          <t>ALT DuPont</t>
        </is>
      </c>
      <c r="H329" t="inlineStr">
        <is>
          <t>D110</t>
        </is>
      </c>
      <c r="I329">
        <f>D109+D106</f>
        <v/>
      </c>
      <c r="J329" t="n">
        <v>1984336</v>
      </c>
      <c r="K329" t="n">
        <v>0.01</v>
      </c>
      <c r="L329" t="inlineStr">
        <is>
          <t>cash_movement_from_flows__20250202</t>
        </is>
      </c>
      <c r="M329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9" t="inlineStr">
        <is>
          <t>pending</t>
        </is>
      </c>
      <c r="P329" t="inlineStr">
        <is>
          <t>cash_ending_from_flows</t>
        </is>
      </c>
      <c r="Q329" t="n">
        <v>137</v>
      </c>
      <c r="R329" t="n">
        <v>2</v>
      </c>
      <c r="S329" t="inlineStr">
        <is>
          <t>2025-02-02</t>
        </is>
      </c>
    </row>
    <row r="330">
      <c r="A330" t="inlineStr">
        <is>
          <t>cash_ending_from_flows__20260201</t>
        </is>
      </c>
      <c r="B330" t="n">
        <v>329</v>
      </c>
      <c r="C330" t="inlineStr">
        <is>
          <t>Cash ending from flows</t>
        </is>
      </c>
      <c r="D330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30" t="inlineStr">
        <is>
          <t>cash_rollforward.cash_ending_from_flows.2026-02-01</t>
        </is>
      </c>
      <c r="F330" t="inlineStr">
        <is>
          <t>cash_rollforward</t>
        </is>
      </c>
      <c r="G330" t="inlineStr">
        <is>
          <t>ALT DuPont</t>
        </is>
      </c>
      <c r="H330" t="inlineStr">
        <is>
          <t>E110</t>
        </is>
      </c>
      <c r="I330">
        <f>E109+E106</f>
        <v/>
      </c>
      <c r="J330" t="n">
        <v>1807202</v>
      </c>
      <c r="K330" t="n">
        <v>0.01</v>
      </c>
      <c r="L330" t="inlineStr">
        <is>
          <t>cash_movement_from_flows__20260201</t>
        </is>
      </c>
      <c r="M330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30" t="inlineStr">
        <is>
          <t>pending</t>
        </is>
      </c>
      <c r="P330" t="inlineStr">
        <is>
          <t>cash_ending_from_flows</t>
        </is>
      </c>
      <c r="Q330" t="n">
        <v>137</v>
      </c>
      <c r="R330" t="n">
        <v>3</v>
      </c>
      <c r="S330" t="inlineStr">
        <is>
          <t>2026-02-01</t>
        </is>
      </c>
    </row>
    <row r="331">
      <c r="A331" t="inlineStr">
        <is>
          <t>cash_ending_difference__20230129</t>
        </is>
      </c>
      <c r="B331" t="n">
        <v>330</v>
      </c>
      <c r="C331" t="inlineStr">
        <is>
          <t>Cash ending difference</t>
        </is>
      </c>
      <c r="D33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1" t="inlineStr">
        <is>
          <t>cash_rollforward.cash_ending_difference.2023-01-29</t>
        </is>
      </c>
      <c r="F331" t="inlineStr">
        <is>
          <t>cash_rollforward</t>
        </is>
      </c>
      <c r="G331" t="inlineStr">
        <is>
          <t>ALT DuPont</t>
        </is>
      </c>
      <c r="H331" t="inlineStr">
        <is>
          <t>B112</t>
        </is>
      </c>
      <c r="I331">
        <f>B110-B111</f>
        <v/>
      </c>
      <c r="J331" t="n">
        <v>0</v>
      </c>
      <c r="K331" t="n">
        <v>0.01</v>
      </c>
      <c r="L331" t="inlineStr">
        <is>
          <t>cash_ending_from_flows__20230129</t>
        </is>
      </c>
      <c r="M33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1" t="inlineStr">
        <is>
          <t>pending</t>
        </is>
      </c>
      <c r="P331" t="inlineStr">
        <is>
          <t>cash_ending_difference</t>
        </is>
      </c>
      <c r="Q331" t="n">
        <v>138</v>
      </c>
      <c r="R331" t="n">
        <v>0</v>
      </c>
      <c r="S331" t="inlineStr">
        <is>
          <t>2023-01-29</t>
        </is>
      </c>
    </row>
    <row r="332">
      <c r="A332" t="inlineStr">
        <is>
          <t>cash_ending_difference__20240128</t>
        </is>
      </c>
      <c r="B332" t="n">
        <v>331</v>
      </c>
      <c r="C332" t="inlineStr">
        <is>
          <t>Cash ending difference</t>
        </is>
      </c>
      <c r="D33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2" t="inlineStr">
        <is>
          <t>cash_rollforward.cash_ending_difference.2024-01-28</t>
        </is>
      </c>
      <c r="F332" t="inlineStr">
        <is>
          <t>cash_rollforward</t>
        </is>
      </c>
      <c r="G332" t="inlineStr">
        <is>
          <t>ALT DuPont</t>
        </is>
      </c>
      <c r="H332" t="inlineStr">
        <is>
          <t>C112</t>
        </is>
      </c>
      <c r="I332">
        <f>C110-C111</f>
        <v/>
      </c>
      <c r="J332" t="n">
        <v>0</v>
      </c>
      <c r="K332" t="n">
        <v>0.01</v>
      </c>
      <c r="L332" t="inlineStr">
        <is>
          <t>cash_ending_from_flows__20240128</t>
        </is>
      </c>
      <c r="M33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2" t="inlineStr">
        <is>
          <t>pending</t>
        </is>
      </c>
      <c r="P332" t="inlineStr">
        <is>
          <t>cash_ending_difference</t>
        </is>
      </c>
      <c r="Q332" t="n">
        <v>138</v>
      </c>
      <c r="R332" t="n">
        <v>1</v>
      </c>
      <c r="S332" t="inlineStr">
        <is>
          <t>2024-01-28</t>
        </is>
      </c>
    </row>
    <row r="333">
      <c r="A333" t="inlineStr">
        <is>
          <t>cash_ending_difference__20250202</t>
        </is>
      </c>
      <c r="B333" t="n">
        <v>332</v>
      </c>
      <c r="C333" t="inlineStr">
        <is>
          <t>Cash ending difference</t>
        </is>
      </c>
      <c r="D333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3" t="inlineStr">
        <is>
          <t>cash_rollforward.cash_ending_difference.2025-02-02</t>
        </is>
      </c>
      <c r="F333" t="inlineStr">
        <is>
          <t>cash_rollforward</t>
        </is>
      </c>
      <c r="G333" t="inlineStr">
        <is>
          <t>ALT DuPont</t>
        </is>
      </c>
      <c r="H333" t="inlineStr">
        <is>
          <t>D112</t>
        </is>
      </c>
      <c r="I333">
        <f>D110-D111</f>
        <v/>
      </c>
      <c r="J333" t="n">
        <v>0</v>
      </c>
      <c r="K333" t="n">
        <v>0.01</v>
      </c>
      <c r="L333" t="inlineStr">
        <is>
          <t>cash_ending_from_flows__20250202</t>
        </is>
      </c>
      <c r="M333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3" t="inlineStr">
        <is>
          <t>pending</t>
        </is>
      </c>
      <c r="P333" t="inlineStr">
        <is>
          <t>cash_ending_difference</t>
        </is>
      </c>
      <c r="Q333" t="n">
        <v>138</v>
      </c>
      <c r="R333" t="n">
        <v>2</v>
      </c>
      <c r="S333" t="inlineStr">
        <is>
          <t>2025-02-02</t>
        </is>
      </c>
    </row>
    <row r="334">
      <c r="A334" t="inlineStr">
        <is>
          <t>cash_ending_difference__20260201</t>
        </is>
      </c>
      <c r="B334" t="n">
        <v>333</v>
      </c>
      <c r="C334" t="inlineStr">
        <is>
          <t>Cash ending difference</t>
        </is>
      </c>
      <c r="D334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4" t="inlineStr">
        <is>
          <t>cash_rollforward.cash_ending_difference.2026-02-01</t>
        </is>
      </c>
      <c r="F334" t="inlineStr">
        <is>
          <t>cash_rollforward</t>
        </is>
      </c>
      <c r="G334" t="inlineStr">
        <is>
          <t>ALT DuPont</t>
        </is>
      </c>
      <c r="H334" t="inlineStr">
        <is>
          <t>E112</t>
        </is>
      </c>
      <c r="I334">
        <f>E110-E111</f>
        <v/>
      </c>
      <c r="J334" t="n">
        <v>0</v>
      </c>
      <c r="K334" t="n">
        <v>0.01</v>
      </c>
      <c r="L334" t="inlineStr">
        <is>
          <t>cash_ending_from_flows__20260201</t>
        </is>
      </c>
      <c r="M334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4" t="inlineStr">
        <is>
          <t>pending</t>
        </is>
      </c>
      <c r="P334" t="inlineStr">
        <is>
          <t>cash_ending_difference</t>
        </is>
      </c>
      <c r="Q334" t="n">
        <v>138</v>
      </c>
      <c r="R334" t="n">
        <v>3</v>
      </c>
      <c r="S334" t="inlineStr">
        <is>
          <t>2026-02-01</t>
        </is>
      </c>
    </row>
    <row r="335">
      <c r="A335" t="inlineStr">
        <is>
          <t>gross_margin__20230129</t>
        </is>
      </c>
      <c r="B335" t="n">
        <v>334</v>
      </c>
      <c r="C335" t="inlineStr">
        <is>
          <t>Gross margin</t>
        </is>
      </c>
      <c r="D335" t="inlineStr">
        <is>
          <t>Gross margin = reported gross profit / revenue. Zero revenue is undefined (#N/A). Do not infer price, mix, or cost causes.</t>
        </is>
      </c>
      <c r="E335" t="inlineStr">
        <is>
          <t>reported_margin.gross_margin.2023-01-29</t>
        </is>
      </c>
      <c r="F335" t="inlineStr">
        <is>
          <t>reported_margin</t>
        </is>
      </c>
      <c r="G335" t="inlineStr">
        <is>
          <t>ALT DuPont</t>
        </is>
      </c>
      <c r="H335" t="inlineStr">
        <is>
          <t>B118</t>
        </is>
      </c>
      <c r="I335">
        <f>IF(B115=0,NA(),B116/B115)</f>
        <v/>
      </c>
      <c r="J335" t="n">
        <v>0.5538906392908567</v>
      </c>
      <c r="K335" t="n">
        <v>0.01</v>
      </c>
      <c r="M335" t="inlineStr">
        <is>
          <t>Gross margin = reported gross profit / revenue.|Zero revenue yields the undefined-ratio result.|Do not infer price, mix, or cost causes.</t>
        </is>
      </c>
      <c r="O335" t="inlineStr">
        <is>
          <t>pending</t>
        </is>
      </c>
      <c r="P335" t="inlineStr">
        <is>
          <t>gross_margin</t>
        </is>
      </c>
      <c r="Q335" t="n">
        <v>139</v>
      </c>
      <c r="R335" t="n">
        <v>0</v>
      </c>
      <c r="S335" t="inlineStr">
        <is>
          <t>2023-01-29</t>
        </is>
      </c>
    </row>
    <row r="336">
      <c r="A336" t="inlineStr">
        <is>
          <t>gross_margin__20240128</t>
        </is>
      </c>
      <c r="B336" t="n">
        <v>335</v>
      </c>
      <c r="C336" t="inlineStr">
        <is>
          <t>Gross margin</t>
        </is>
      </c>
      <c r="D336" t="inlineStr">
        <is>
          <t>Gross margin = reported gross profit / revenue. Zero revenue is undefined (#N/A). Do not infer price, mix, or cost causes.</t>
        </is>
      </c>
      <c r="E336" t="inlineStr">
        <is>
          <t>reported_margin.gross_margin.2024-01-28</t>
        </is>
      </c>
      <c r="F336" t="inlineStr">
        <is>
          <t>reported_margin</t>
        </is>
      </c>
      <c r="G336" t="inlineStr">
        <is>
          <t>ALT DuPont</t>
        </is>
      </c>
      <c r="H336" t="inlineStr">
        <is>
          <t>C118</t>
        </is>
      </c>
      <c r="I336">
        <f>IF(C115=0,NA(),C116/C115)</f>
        <v/>
      </c>
      <c r="J336" t="n">
        <v>0.583141998806979</v>
      </c>
      <c r="K336" t="n">
        <v>0.01</v>
      </c>
      <c r="M336" t="inlineStr">
        <is>
          <t>Gross margin = reported gross profit / revenue.|Zero revenue yields the undefined-ratio result.|Do not infer price, mix, or cost causes.</t>
        </is>
      </c>
      <c r="O336" t="inlineStr">
        <is>
          <t>pending</t>
        </is>
      </c>
      <c r="P336" t="inlineStr">
        <is>
          <t>gross_margin</t>
        </is>
      </c>
      <c r="Q336" t="n">
        <v>139</v>
      </c>
      <c r="R336" t="n">
        <v>1</v>
      </c>
      <c r="S336" t="inlineStr">
        <is>
          <t>2024-01-28</t>
        </is>
      </c>
    </row>
    <row r="337">
      <c r="A337" t="inlineStr">
        <is>
          <t>gross_margin__20250202</t>
        </is>
      </c>
      <c r="B337" t="n">
        <v>336</v>
      </c>
      <c r="C337" t="inlineStr">
        <is>
          <t>Gross margin</t>
        </is>
      </c>
      <c r="D337" t="inlineStr">
        <is>
          <t>Gross margin = reported gross profit / revenue. Zero revenue is undefined (#N/A). Do not infer price, mix, or cost causes.</t>
        </is>
      </c>
      <c r="E337" t="inlineStr">
        <is>
          <t>reported_margin.gross_margin.2025-02-02</t>
        </is>
      </c>
      <c r="F337" t="inlineStr">
        <is>
          <t>reported_margin</t>
        </is>
      </c>
      <c r="G337" t="inlineStr">
        <is>
          <t>ALT DuPont</t>
        </is>
      </c>
      <c r="H337" t="inlineStr">
        <is>
          <t>D118</t>
        </is>
      </c>
      <c r="I337">
        <f>IF(D115=0,NA(),D116/D115)</f>
        <v/>
      </c>
      <c r="J337" t="n">
        <v>0.5922493744407651</v>
      </c>
      <c r="K337" t="n">
        <v>0.01</v>
      </c>
      <c r="M337" t="inlineStr">
        <is>
          <t>Gross margin = reported gross profit / revenue.|Zero revenue yields the undefined-ratio result.|Do not infer price, mix, or cost causes.</t>
        </is>
      </c>
      <c r="O337" t="inlineStr">
        <is>
          <t>pending</t>
        </is>
      </c>
      <c r="P337" t="inlineStr">
        <is>
          <t>gross_margin</t>
        </is>
      </c>
      <c r="Q337" t="n">
        <v>139</v>
      </c>
      <c r="R337" t="n">
        <v>2</v>
      </c>
      <c r="S337" t="inlineStr">
        <is>
          <t>2025-02-02</t>
        </is>
      </c>
    </row>
    <row r="338">
      <c r="A338" t="inlineStr">
        <is>
          <t>gross_margin__20260201</t>
        </is>
      </c>
      <c r="B338" t="n">
        <v>337</v>
      </c>
      <c r="C338" t="inlineStr">
        <is>
          <t>Gross margin</t>
        </is>
      </c>
      <c r="D338" t="inlineStr">
        <is>
          <t>Gross margin = reported gross profit / revenue. Zero revenue is undefined (#N/A). Do not infer price, mix, or cost causes.</t>
        </is>
      </c>
      <c r="E338" t="inlineStr">
        <is>
          <t>reported_margin.gross_margin.2026-02-01</t>
        </is>
      </c>
      <c r="F338" t="inlineStr">
        <is>
          <t>reported_margin</t>
        </is>
      </c>
      <c r="G338" t="inlineStr">
        <is>
          <t>ALT DuPont</t>
        </is>
      </c>
      <c r="H338" t="inlineStr">
        <is>
          <t>E118</t>
        </is>
      </c>
      <c r="I338">
        <f>IF(E115=0,NA(),E116/E115)</f>
        <v/>
      </c>
      <c r="J338" t="n">
        <v>0.566005440167168</v>
      </c>
      <c r="K338" t="n">
        <v>0.01</v>
      </c>
      <c r="M338" t="inlineStr">
        <is>
          <t>Gross margin = reported gross profit / revenue.|Zero revenue yields the undefined-ratio result.|Do not infer price, mix, or cost causes.</t>
        </is>
      </c>
      <c r="O338" t="inlineStr">
        <is>
          <t>pending</t>
        </is>
      </c>
      <c r="P338" t="inlineStr">
        <is>
          <t>gross_margin</t>
        </is>
      </c>
      <c r="Q338" t="n">
        <v>139</v>
      </c>
      <c r="R338" t="n">
        <v>3</v>
      </c>
      <c r="S338" t="inlineStr">
        <is>
          <t>2026-02-01</t>
        </is>
      </c>
    </row>
    <row r="339">
      <c r="A339" t="inlineStr">
        <is>
          <t>reported_operating_margin__20230129</t>
        </is>
      </c>
      <c r="B339" t="n">
        <v>338</v>
      </c>
      <c r="C339" t="inlineStr">
        <is>
          <t>Reported operating margin</t>
        </is>
      </c>
      <c r="D339" t="inlineStr">
        <is>
          <t>Reported operating margin = reported operating profit / revenue. Distinct from BAV NOPAT margin; not normalized earnings. Zero revenue is undefined (#N/A).</t>
        </is>
      </c>
      <c r="E339" t="inlineStr">
        <is>
          <t>reported_margin.reported_operating_margin.2023-01-29</t>
        </is>
      </c>
      <c r="F339" t="inlineStr">
        <is>
          <t>reported_margin</t>
        </is>
      </c>
      <c r="G339" t="inlineStr">
        <is>
          <t>ALT DuPont</t>
        </is>
      </c>
      <c r="H339" t="inlineStr">
        <is>
          <t>B119</t>
        </is>
      </c>
      <c r="I339">
        <f>IF(B115=0,NA(),B117/B115)</f>
        <v/>
      </c>
      <c r="J339" t="n">
        <v>0.163788305506504</v>
      </c>
      <c r="K339" t="n">
        <v>0.01</v>
      </c>
      <c r="M339" t="inlineStr">
        <is>
          <t>Reported operating margin = reported operating profit / revenue.|Keep reported operating margin distinct from BAV NOPAT margin.|Do not treat this as normalized earnings.</t>
        </is>
      </c>
      <c r="O339" t="inlineStr">
        <is>
          <t>pending</t>
        </is>
      </c>
      <c r="P339" t="inlineStr">
        <is>
          <t>reported_operating_margin</t>
        </is>
      </c>
      <c r="Q339" t="n">
        <v>140</v>
      </c>
      <c r="R339" t="n">
        <v>0</v>
      </c>
      <c r="S339" t="inlineStr">
        <is>
          <t>2023-01-29</t>
        </is>
      </c>
    </row>
    <row r="340">
      <c r="A340" t="inlineStr">
        <is>
          <t>reported_operating_margin__20240128</t>
        </is>
      </c>
      <c r="B340" t="n">
        <v>339</v>
      </c>
      <c r="C340" t="inlineStr">
        <is>
          <t>Reported operating margin</t>
        </is>
      </c>
      <c r="D340" t="inlineStr">
        <is>
          <t>Reported operating margin = reported operating profit / revenue. Distinct from BAV NOPAT margin; not normalized earnings. Zero revenue is undefined (#N/A).</t>
        </is>
      </c>
      <c r="E340" t="inlineStr">
        <is>
          <t>reported_margin.reported_operating_margin.2024-01-28</t>
        </is>
      </c>
      <c r="F340" t="inlineStr">
        <is>
          <t>reported_margin</t>
        </is>
      </c>
      <c r="G340" t="inlineStr">
        <is>
          <t>ALT DuPont</t>
        </is>
      </c>
      <c r="H340" t="inlineStr">
        <is>
          <t>C119</t>
        </is>
      </c>
      <c r="I340">
        <f>IF(C115=0,NA(),C117/C115)</f>
        <v/>
      </c>
      <c r="J340" t="n">
        <v>0.221708531555071</v>
      </c>
      <c r="K340" t="n">
        <v>0.01</v>
      </c>
      <c r="M340" t="inlineStr">
        <is>
          <t>Reported operating margin = reported operating profit / revenue.|Keep reported operating margin distinct from BAV NOPAT margin.|Do not treat this as normalized earnings.</t>
        </is>
      </c>
      <c r="O340" t="inlineStr">
        <is>
          <t>pending</t>
        </is>
      </c>
      <c r="P340" t="inlineStr">
        <is>
          <t>reported_operating_margin</t>
        </is>
      </c>
      <c r="Q340" t="n">
        <v>140</v>
      </c>
      <c r="R340" t="n">
        <v>1</v>
      </c>
      <c r="S340" t="inlineStr">
        <is>
          <t>2024-01-28</t>
        </is>
      </c>
    </row>
    <row r="341">
      <c r="A341" t="inlineStr">
        <is>
          <t>reported_operating_margin__20250202</t>
        </is>
      </c>
      <c r="B341" t="n">
        <v>340</v>
      </c>
      <c r="C341" t="inlineStr">
        <is>
          <t>Reported operating margin</t>
        </is>
      </c>
      <c r="D341" t="inlineStr">
        <is>
          <t>Reported operating margin = reported operating profit / revenue. Distinct from BAV NOPAT margin; not normalized earnings. Zero revenue is undefined (#N/A).</t>
        </is>
      </c>
      <c r="E341" t="inlineStr">
        <is>
          <t>reported_margin.reported_operating_margin.2025-02-02</t>
        </is>
      </c>
      <c r="F341" t="inlineStr">
        <is>
          <t>reported_margin</t>
        </is>
      </c>
      <c r="G341" t="inlineStr">
        <is>
          <t>ALT DuPont</t>
        </is>
      </c>
      <c r="H341" t="inlineStr">
        <is>
          <t>D119</t>
        </is>
      </c>
      <c r="I341">
        <f>IF(D115=0,NA(),D117/D115)</f>
        <v/>
      </c>
      <c r="J341" t="n">
        <v>0.2366516038815556</v>
      </c>
      <c r="K341" t="n">
        <v>0.01</v>
      </c>
      <c r="M341" t="inlineStr">
        <is>
          <t>Reported operating margin = reported operating profit / revenue.|Keep reported operating margin distinct from BAV NOPAT margin.|Do not treat this as normalized earnings.</t>
        </is>
      </c>
      <c r="O341" t="inlineStr">
        <is>
          <t>pending</t>
        </is>
      </c>
      <c r="P341" t="inlineStr">
        <is>
          <t>reported_operating_margin</t>
        </is>
      </c>
      <c r="Q341" t="n">
        <v>140</v>
      </c>
      <c r="R341" t="n">
        <v>2</v>
      </c>
      <c r="S341" t="inlineStr">
        <is>
          <t>2025-02-02</t>
        </is>
      </c>
    </row>
    <row r="342">
      <c r="A342" t="inlineStr">
        <is>
          <t>reported_operating_margin__20260201</t>
        </is>
      </c>
      <c r="B342" t="n">
        <v>341</v>
      </c>
      <c r="C342" t="inlineStr">
        <is>
          <t>Reported operating margin</t>
        </is>
      </c>
      <c r="D342" t="inlineStr">
        <is>
          <t>Reported operating margin = reported operating profit / revenue. Distinct from BAV NOPAT margin; not normalized earnings. Zero revenue is undefined (#N/A).</t>
        </is>
      </c>
      <c r="E342" t="inlineStr">
        <is>
          <t>reported_margin.reported_operating_margin.2026-02-01</t>
        </is>
      </c>
      <c r="F342" t="inlineStr">
        <is>
          <t>reported_margin</t>
        </is>
      </c>
      <c r="G342" t="inlineStr">
        <is>
          <t>ALT DuPont</t>
        </is>
      </c>
      <c r="H342" t="inlineStr">
        <is>
          <t>E119</t>
        </is>
      </c>
      <c r="I342">
        <f>IF(E115=0,NA(),E117/E115)</f>
        <v/>
      </c>
      <c r="J342" t="n">
        <v>0.1991078666258354</v>
      </c>
      <c r="K342" t="n">
        <v>0.01</v>
      </c>
      <c r="M342" t="inlineStr">
        <is>
          <t>Reported operating margin = reported operating profit / revenue.|Keep reported operating margin distinct from BAV NOPAT margin.|Do not treat this as normalized earnings.</t>
        </is>
      </c>
      <c r="O342" t="inlineStr">
        <is>
          <t>pending</t>
        </is>
      </c>
      <c r="P342" t="inlineStr">
        <is>
          <t>reported_operating_margin</t>
        </is>
      </c>
      <c r="Q342" t="n">
        <v>140</v>
      </c>
      <c r="R342" t="n">
        <v>3</v>
      </c>
      <c r="S342" t="inlineStr">
        <is>
          <t>2026-02-01</t>
        </is>
      </c>
    </row>
    <row r="343">
      <c r="A343" t="inlineStr">
        <is>
          <t>net_operating_expense_burden__20230129</t>
        </is>
      </c>
      <c r="B343" t="n">
        <v>342</v>
      </c>
      <c r="C343" t="inlineStr">
        <is>
          <t>Net operating expense burden</t>
        </is>
      </c>
      <c r="D34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3" t="inlineStr">
        <is>
          <t>reported_margin.net_operating_expense_burden.2023-01-29</t>
        </is>
      </c>
      <c r="F343" t="inlineStr">
        <is>
          <t>reported_margin</t>
        </is>
      </c>
      <c r="G343" t="inlineStr">
        <is>
          <t>ALT DuPont</t>
        </is>
      </c>
      <c r="H343" t="inlineStr">
        <is>
          <t>B120</t>
        </is>
      </c>
      <c r="I343">
        <f>IF(B115=0,NA(),(B116-B117)/B115)</f>
        <v/>
      </c>
      <c r="J343" t="n">
        <v>0.3901023337843526</v>
      </c>
      <c r="K343" t="n">
        <v>0.01</v>
      </c>
      <c r="M34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3" t="inlineStr">
        <is>
          <t>pending</t>
        </is>
      </c>
      <c r="P343" t="inlineStr">
        <is>
          <t>net_operating_expense_burden</t>
        </is>
      </c>
      <c r="Q343" t="n">
        <v>141</v>
      </c>
      <c r="R343" t="n">
        <v>0</v>
      </c>
      <c r="S343" t="inlineStr">
        <is>
          <t>2023-01-29</t>
        </is>
      </c>
    </row>
    <row r="344">
      <c r="A344" t="inlineStr">
        <is>
          <t>net_operating_expense_burden__20240128</t>
        </is>
      </c>
      <c r="B344" t="n">
        <v>343</v>
      </c>
      <c r="C344" t="inlineStr">
        <is>
          <t>Net operating expense burden</t>
        </is>
      </c>
      <c r="D34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4" t="inlineStr">
        <is>
          <t>reported_margin.net_operating_expense_burden.2024-01-28</t>
        </is>
      </c>
      <c r="F344" t="inlineStr">
        <is>
          <t>reported_margin</t>
        </is>
      </c>
      <c r="G344" t="inlineStr">
        <is>
          <t>ALT DuPont</t>
        </is>
      </c>
      <c r="H344" t="inlineStr">
        <is>
          <t>C120</t>
        </is>
      </c>
      <c r="I344">
        <f>IF(C115=0,NA(),(C116-C117)/C115)</f>
        <v/>
      </c>
      <c r="J344" t="n">
        <v>0.3614334672519081</v>
      </c>
      <c r="K344" t="n">
        <v>0.01</v>
      </c>
      <c r="M34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4" t="inlineStr">
        <is>
          <t>pending</t>
        </is>
      </c>
      <c r="P344" t="inlineStr">
        <is>
          <t>net_operating_expense_burden</t>
        </is>
      </c>
      <c r="Q344" t="n">
        <v>141</v>
      </c>
      <c r="R344" t="n">
        <v>1</v>
      </c>
      <c r="S344" t="inlineStr">
        <is>
          <t>2024-01-28</t>
        </is>
      </c>
    </row>
    <row r="345">
      <c r="A345" t="inlineStr">
        <is>
          <t>net_operating_expense_burden__20250202</t>
        </is>
      </c>
      <c r="B345" t="n">
        <v>344</v>
      </c>
      <c r="C345" t="inlineStr">
        <is>
          <t>Net operating expense burden</t>
        </is>
      </c>
      <c r="D34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5" t="inlineStr">
        <is>
          <t>reported_margin.net_operating_expense_burden.2025-02-02</t>
        </is>
      </c>
      <c r="F345" t="inlineStr">
        <is>
          <t>reported_margin</t>
        </is>
      </c>
      <c r="G345" t="inlineStr">
        <is>
          <t>ALT DuPont</t>
        </is>
      </c>
      <c r="H345" t="inlineStr">
        <is>
          <t>D120</t>
        </is>
      </c>
      <c r="I345">
        <f>IF(D115=0,NA(),(D116-D117)/D115)</f>
        <v/>
      </c>
      <c r="J345" t="n">
        <v>0.3555977705592094</v>
      </c>
      <c r="K345" t="n">
        <v>0.01</v>
      </c>
      <c r="M34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5" t="inlineStr">
        <is>
          <t>pending</t>
        </is>
      </c>
      <c r="P345" t="inlineStr">
        <is>
          <t>net_operating_expense_burden</t>
        </is>
      </c>
      <c r="Q345" t="n">
        <v>141</v>
      </c>
      <c r="R345" t="n">
        <v>2</v>
      </c>
      <c r="S345" t="inlineStr">
        <is>
          <t>2025-02-02</t>
        </is>
      </c>
    </row>
    <row r="346">
      <c r="A346" t="inlineStr">
        <is>
          <t>net_operating_expense_burden__20260201</t>
        </is>
      </c>
      <c r="B346" t="n">
        <v>345</v>
      </c>
      <c r="C346" t="inlineStr">
        <is>
          <t>Net operating expense burden</t>
        </is>
      </c>
      <c r="D34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6" t="inlineStr">
        <is>
          <t>reported_margin.net_operating_expense_burden.2026-02-01</t>
        </is>
      </c>
      <c r="F346" t="inlineStr">
        <is>
          <t>reported_margin</t>
        </is>
      </c>
      <c r="G346" t="inlineStr">
        <is>
          <t>ALT DuPont</t>
        </is>
      </c>
      <c r="H346" t="inlineStr">
        <is>
          <t>E120</t>
        </is>
      </c>
      <c r="I346">
        <f>IF(E115=0,NA(),(E116-E117)/E115)</f>
        <v/>
      </c>
      <c r="J346" t="n">
        <v>0.3668975735413327</v>
      </c>
      <c r="K346" t="n">
        <v>0.01</v>
      </c>
      <c r="M34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6" t="inlineStr">
        <is>
          <t>pending</t>
        </is>
      </c>
      <c r="P346" t="inlineStr">
        <is>
          <t>net_operating_expense_burden</t>
        </is>
      </c>
      <c r="Q346" t="n">
        <v>141</v>
      </c>
      <c r="R346" t="n">
        <v>3</v>
      </c>
      <c r="S346" t="inlineStr">
        <is>
          <t>2026-02-01</t>
        </is>
      </c>
    </row>
    <row r="347">
      <c r="A347" t="inlineStr">
        <is>
          <t>gross_margin_change__20240128</t>
        </is>
      </c>
      <c r="B347" t="n">
        <v>346</v>
      </c>
      <c r="C347" t="inlineStr">
        <is>
          <t>Change in gross margin</t>
        </is>
      </c>
      <c r="D347" t="inlineStr">
        <is>
          <t>Change in gross margin is a percentage-point movement: current gross margin minus prior gross margin. Do not infer price, mix, or cost causes.</t>
        </is>
      </c>
      <c r="E347" t="inlineStr">
        <is>
          <t>reported_margin.gross_margin_change.2024-01-28</t>
        </is>
      </c>
      <c r="F347" t="inlineStr">
        <is>
          <t>reported_margin</t>
        </is>
      </c>
      <c r="G347" t="inlineStr">
        <is>
          <t>ALT DuPont</t>
        </is>
      </c>
      <c r="H347" t="inlineStr">
        <is>
          <t>C121</t>
        </is>
      </c>
      <c r="I347">
        <f>C118-B118</f>
        <v/>
      </c>
      <c r="J347" t="n">
        <v>0.02925135951612234</v>
      </c>
      <c r="K347" t="n">
        <v>0.01</v>
      </c>
      <c r="L347" t="inlineStr">
        <is>
          <t>gross_margin__20240128,gross_margin__20230129</t>
        </is>
      </c>
      <c r="M347" t="inlineStr">
        <is>
          <t>Change in gross margin = current gross margin − prior gross margin.|This is a percentage-point movement, not a causal explanation.|Do not infer price, mix, or cost causes.</t>
        </is>
      </c>
      <c r="O347" t="inlineStr">
        <is>
          <t>pending</t>
        </is>
      </c>
      <c r="P347" t="inlineStr">
        <is>
          <t>gross_margin_change</t>
        </is>
      </c>
      <c r="Q347" t="n">
        <v>142</v>
      </c>
      <c r="R347" t="n">
        <v>1</v>
      </c>
      <c r="S347" t="inlineStr">
        <is>
          <t>2024-01-28</t>
        </is>
      </c>
    </row>
    <row r="348">
      <c r="A348" t="inlineStr">
        <is>
          <t>gross_margin_change__20250202</t>
        </is>
      </c>
      <c r="B348" t="n">
        <v>347</v>
      </c>
      <c r="C348" t="inlineStr">
        <is>
          <t>Change in gross margin</t>
        </is>
      </c>
      <c r="D348" t="inlineStr">
        <is>
          <t>Change in gross margin is a percentage-point movement: current gross margin minus prior gross margin. Do not infer price, mix, or cost causes.</t>
        </is>
      </c>
      <c r="E348" t="inlineStr">
        <is>
          <t>reported_margin.gross_margin_change.2025-02-02</t>
        </is>
      </c>
      <c r="F348" t="inlineStr">
        <is>
          <t>reported_margin</t>
        </is>
      </c>
      <c r="G348" t="inlineStr">
        <is>
          <t>ALT DuPont</t>
        </is>
      </c>
      <c r="H348" t="inlineStr">
        <is>
          <t>D121</t>
        </is>
      </c>
      <c r="I348">
        <f>D118-C118</f>
        <v/>
      </c>
      <c r="J348" t="n">
        <v>0.009107375633786052</v>
      </c>
      <c r="K348" t="n">
        <v>0.01</v>
      </c>
      <c r="L348" t="inlineStr">
        <is>
          <t>gross_margin__20250202,gross_margin__20240128</t>
        </is>
      </c>
      <c r="M348" t="inlineStr">
        <is>
          <t>Change in gross margin = current gross margin − prior gross margin.|This is a percentage-point movement, not a causal explanation.|Do not infer price, mix, or cost causes.</t>
        </is>
      </c>
      <c r="O348" t="inlineStr">
        <is>
          <t>pending</t>
        </is>
      </c>
      <c r="P348" t="inlineStr">
        <is>
          <t>gross_margin_change</t>
        </is>
      </c>
      <c r="Q348" t="n">
        <v>142</v>
      </c>
      <c r="R348" t="n">
        <v>2</v>
      </c>
      <c r="S348" t="inlineStr">
        <is>
          <t>2025-02-02</t>
        </is>
      </c>
    </row>
    <row r="349">
      <c r="A349" t="inlineStr">
        <is>
          <t>gross_margin_change__20260201</t>
        </is>
      </c>
      <c r="B349" t="n">
        <v>348</v>
      </c>
      <c r="C349" t="inlineStr">
        <is>
          <t>Change in gross margin</t>
        </is>
      </c>
      <c r="D349" t="inlineStr">
        <is>
          <t>Change in gross margin is a percentage-point movement: current gross margin minus prior gross margin. Do not infer price, mix, or cost causes.</t>
        </is>
      </c>
      <c r="E349" t="inlineStr">
        <is>
          <t>reported_margin.gross_margin_change.2026-02-01</t>
        </is>
      </c>
      <c r="F349" t="inlineStr">
        <is>
          <t>reported_margin</t>
        </is>
      </c>
      <c r="G349" t="inlineStr">
        <is>
          <t>ALT DuPont</t>
        </is>
      </c>
      <c r="H349" t="inlineStr">
        <is>
          <t>E121</t>
        </is>
      </c>
      <c r="I349">
        <f>E118-D118</f>
        <v/>
      </c>
      <c r="J349" t="n">
        <v>-0.02624393427359706</v>
      </c>
      <c r="K349" t="n">
        <v>0.01</v>
      </c>
      <c r="L349" t="inlineStr">
        <is>
          <t>gross_margin__20260201,gross_margin__20250202</t>
        </is>
      </c>
      <c r="M349" t="inlineStr">
        <is>
          <t>Change in gross margin = current gross margin − prior gross margin.|This is a percentage-point movement, not a causal explanation.|Do not infer price, mix, or cost causes.</t>
        </is>
      </c>
      <c r="O349" t="inlineStr">
        <is>
          <t>pending</t>
        </is>
      </c>
      <c r="P349" t="inlineStr">
        <is>
          <t>gross_margin_change</t>
        </is>
      </c>
      <c r="Q349" t="n">
        <v>142</v>
      </c>
      <c r="R349" t="n">
        <v>3</v>
      </c>
      <c r="S349" t="inlineStr">
        <is>
          <t>2026-02-01</t>
        </is>
      </c>
    </row>
    <row r="350">
      <c r="A350" t="inlineStr">
        <is>
          <t>net_operating_expense_burden_change__20240128</t>
        </is>
      </c>
      <c r="B350" t="n">
        <v>349</v>
      </c>
      <c r="C350" t="inlineStr">
        <is>
          <t>Change in net operating expense burden</t>
        </is>
      </c>
      <c r="D350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0" t="inlineStr">
        <is>
          <t>reported_margin.net_operating_expense_burden_change.2024-01-28</t>
        </is>
      </c>
      <c r="F350" t="inlineStr">
        <is>
          <t>reported_margin</t>
        </is>
      </c>
      <c r="G350" t="inlineStr">
        <is>
          <t>ALT DuPont</t>
        </is>
      </c>
      <c r="H350" t="inlineStr">
        <is>
          <t>C122</t>
        </is>
      </c>
      <c r="I350">
        <f>C120-B120</f>
        <v/>
      </c>
      <c r="J350" t="n">
        <v>-0.02866886653244449</v>
      </c>
      <c r="K350" t="n">
        <v>0.01</v>
      </c>
      <c r="L350" t="inlineStr">
        <is>
          <t>net_operating_expense_burden__20240128,net_operating_expense_burden__20230129</t>
        </is>
      </c>
      <c r="M350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0" t="inlineStr">
        <is>
          <t>pending</t>
        </is>
      </c>
      <c r="P350" t="inlineStr">
        <is>
          <t>net_operating_expense_burden_change</t>
        </is>
      </c>
      <c r="Q350" t="n">
        <v>143</v>
      </c>
      <c r="R350" t="n">
        <v>1</v>
      </c>
      <c r="S350" t="inlineStr">
        <is>
          <t>2024-01-28</t>
        </is>
      </c>
    </row>
    <row r="351">
      <c r="A351" t="inlineStr">
        <is>
          <t>net_operating_expense_burden_change__20250202</t>
        </is>
      </c>
      <c r="B351" t="n">
        <v>350</v>
      </c>
      <c r="C351" t="inlineStr">
        <is>
          <t>Change in net operating expense burden</t>
        </is>
      </c>
      <c r="D351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1" t="inlineStr">
        <is>
          <t>reported_margin.net_operating_expense_burden_change.2025-02-02</t>
        </is>
      </c>
      <c r="F351" t="inlineStr">
        <is>
          <t>reported_margin</t>
        </is>
      </c>
      <c r="G351" t="inlineStr">
        <is>
          <t>ALT DuPont</t>
        </is>
      </c>
      <c r="H351" t="inlineStr">
        <is>
          <t>D122</t>
        </is>
      </c>
      <c r="I351">
        <f>D120-C120</f>
        <v/>
      </c>
      <c r="J351" t="n">
        <v>-0.005835696692698678</v>
      </c>
      <c r="K351" t="n">
        <v>0.01</v>
      </c>
      <c r="L351" t="inlineStr">
        <is>
          <t>net_operating_expense_burden__20250202,net_operating_expense_burden__20240128</t>
        </is>
      </c>
      <c r="M351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1" t="inlineStr">
        <is>
          <t>pending</t>
        </is>
      </c>
      <c r="P351" t="inlineStr">
        <is>
          <t>net_operating_expense_burden_change</t>
        </is>
      </c>
      <c r="Q351" t="n">
        <v>143</v>
      </c>
      <c r="R351" t="n">
        <v>2</v>
      </c>
      <c r="S351" t="inlineStr">
        <is>
          <t>2025-02-02</t>
        </is>
      </c>
    </row>
    <row r="352">
      <c r="A352" t="inlineStr">
        <is>
          <t>net_operating_expense_burden_change__20260201</t>
        </is>
      </c>
      <c r="B352" t="n">
        <v>351</v>
      </c>
      <c r="C352" t="inlineStr">
        <is>
          <t>Change in net operating expense burden</t>
        </is>
      </c>
      <c r="D35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2" t="inlineStr">
        <is>
          <t>reported_margin.net_operating_expense_burden_change.2026-02-01</t>
        </is>
      </c>
      <c r="F352" t="inlineStr">
        <is>
          <t>reported_margin</t>
        </is>
      </c>
      <c r="G352" t="inlineStr">
        <is>
          <t>ALT DuPont</t>
        </is>
      </c>
      <c r="H352" t="inlineStr">
        <is>
          <t>E122</t>
        </is>
      </c>
      <c r="I352">
        <f>E120-D120</f>
        <v/>
      </c>
      <c r="J352" t="n">
        <v>0.01129980298212324</v>
      </c>
      <c r="K352" t="n">
        <v>0.01</v>
      </c>
      <c r="L352" t="inlineStr">
        <is>
          <t>net_operating_expense_burden__20260201,net_operating_expense_burden__20250202</t>
        </is>
      </c>
      <c r="M35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2" t="inlineStr">
        <is>
          <t>pending</t>
        </is>
      </c>
      <c r="P352" t="inlineStr">
        <is>
          <t>net_operating_expense_burden_change</t>
        </is>
      </c>
      <c r="Q352" t="n">
        <v>143</v>
      </c>
      <c r="R352" t="n">
        <v>3</v>
      </c>
      <c r="S352" t="inlineStr">
        <is>
          <t>2026-02-01</t>
        </is>
      </c>
    </row>
    <row r="353">
      <c r="A353" t="inlineStr">
        <is>
          <t>reconstructed_operating_margin_change__20240128</t>
        </is>
      </c>
      <c r="B353" t="n">
        <v>352</v>
      </c>
      <c r="C353" t="inlineStr">
        <is>
          <t>Reconstructed change in reported operating margin</t>
        </is>
      </c>
      <c r="D353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3" t="inlineStr">
        <is>
          <t>reported_margin.reconstructed_operating_margin_change.2024-01-28</t>
        </is>
      </c>
      <c r="F353" t="inlineStr">
        <is>
          <t>reported_margin</t>
        </is>
      </c>
      <c r="G353" t="inlineStr">
        <is>
          <t>ALT DuPont</t>
        </is>
      </c>
      <c r="H353" t="inlineStr">
        <is>
          <t>C123</t>
        </is>
      </c>
      <c r="I353">
        <f>C121-C122</f>
        <v/>
      </c>
      <c r="J353" t="n">
        <v>0.05792022604856684</v>
      </c>
      <c r="K353" t="n">
        <v>0.01</v>
      </c>
      <c r="L353" t="inlineStr">
        <is>
          <t>gross_margin_change__20240128,net_operating_expense_burden_change__20240128</t>
        </is>
      </c>
      <c r="M353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3" t="inlineStr">
        <is>
          <t>pending</t>
        </is>
      </c>
      <c r="P353" t="inlineStr">
        <is>
          <t>reconstructed_operating_margin_change</t>
        </is>
      </c>
      <c r="Q353" t="n">
        <v>144</v>
      </c>
      <c r="R353" t="n">
        <v>1</v>
      </c>
      <c r="S353" t="inlineStr">
        <is>
          <t>2024-01-28</t>
        </is>
      </c>
    </row>
    <row r="354">
      <c r="A354" t="inlineStr">
        <is>
          <t>reconstructed_operating_margin_change__20250202</t>
        </is>
      </c>
      <c r="B354" t="n">
        <v>353</v>
      </c>
      <c r="C354" t="inlineStr">
        <is>
          <t>Reconstructed change in reported operating margin</t>
        </is>
      </c>
      <c r="D354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4" t="inlineStr">
        <is>
          <t>reported_margin.reconstructed_operating_margin_change.2025-02-02</t>
        </is>
      </c>
      <c r="F354" t="inlineStr">
        <is>
          <t>reported_margin</t>
        </is>
      </c>
      <c r="G354" t="inlineStr">
        <is>
          <t>ALT DuPont</t>
        </is>
      </c>
      <c r="H354" t="inlineStr">
        <is>
          <t>D123</t>
        </is>
      </c>
      <c r="I354">
        <f>D121-D122</f>
        <v/>
      </c>
      <c r="J354" t="n">
        <v>0.01494307232648473</v>
      </c>
      <c r="K354" t="n">
        <v>0.01</v>
      </c>
      <c r="L354" t="inlineStr">
        <is>
          <t>gross_margin_change__20250202,net_operating_expense_burden_change__20250202</t>
        </is>
      </c>
      <c r="M354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4" t="inlineStr">
        <is>
          <t>pending</t>
        </is>
      </c>
      <c r="P354" t="inlineStr">
        <is>
          <t>reconstructed_operating_margin_change</t>
        </is>
      </c>
      <c r="Q354" t="n">
        <v>144</v>
      </c>
      <c r="R354" t="n">
        <v>2</v>
      </c>
      <c r="S354" t="inlineStr">
        <is>
          <t>2025-02-02</t>
        </is>
      </c>
    </row>
    <row r="355">
      <c r="A355" t="inlineStr">
        <is>
          <t>reconstructed_operating_margin_change__20260201</t>
        </is>
      </c>
      <c r="B355" t="n">
        <v>354</v>
      </c>
      <c r="C355" t="inlineStr">
        <is>
          <t>Reconstructed change in reported operating margin</t>
        </is>
      </c>
      <c r="D355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5" t="inlineStr">
        <is>
          <t>reported_margin.reconstructed_operating_margin_change.2026-02-01</t>
        </is>
      </c>
      <c r="F355" t="inlineStr">
        <is>
          <t>reported_margin</t>
        </is>
      </c>
      <c r="G355" t="inlineStr">
        <is>
          <t>ALT DuPont</t>
        </is>
      </c>
      <c r="H355" t="inlineStr">
        <is>
          <t>E123</t>
        </is>
      </c>
      <c r="I355">
        <f>E121-E122</f>
        <v/>
      </c>
      <c r="J355" t="n">
        <v>-0.0375437372557203</v>
      </c>
      <c r="K355" t="n">
        <v>0.01</v>
      </c>
      <c r="L355" t="inlineStr">
        <is>
          <t>gross_margin_change__20260201,net_operating_expense_burden_change__20260201</t>
        </is>
      </c>
      <c r="M355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5" t="inlineStr">
        <is>
          <t>pending</t>
        </is>
      </c>
      <c r="P355" t="inlineStr">
        <is>
          <t>reconstructed_operating_margin_change</t>
        </is>
      </c>
      <c r="Q355" t="n">
        <v>144</v>
      </c>
      <c r="R355" t="n">
        <v>3</v>
      </c>
      <c r="S355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2026-09-15T08:52:35Z</dcterms:created>
  <dcterms:modified xsi:type="dcterms:W3CDTF">2026-09-15T08:52:35Z</dcterms:modified>
</cp:coreProperties>
</file>