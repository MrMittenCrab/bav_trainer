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C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D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E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B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C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D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E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B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C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D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E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B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C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D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E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B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C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D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E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B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C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D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E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B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16" authorId="0" shapeId="0">
      <text>
        <t>Current goodwill − prior goodwill. Flat goodwill does not establish absence of impairment disclosed elsewhere.</t>
      </text>
    </comment>
    <comment ref="D116" authorId="0" shapeId="0">
      <text>
        <t>Current goodwill − prior goodwill. Flat goodwill does not establish absence of impairment disclosed elsewhere.</t>
      </text>
    </comment>
    <comment ref="E116" authorId="0" shapeId="0">
      <text>
        <t>Current goodwill − prior goodwill. Flat goodwill does not establish absence of impairment disclosed elsewhere.</t>
      </text>
    </comment>
    <comment ref="C117" authorId="0" shapeId="0">
      <text>
        <t>Percentage change in reported goodwill.</t>
      </text>
    </comment>
    <comment ref="D117" authorId="0" shapeId="0">
      <text>
        <t>Percentage change in reported goodwill.</t>
      </text>
    </comment>
    <comment ref="E117" authorId="0" shapeId="0">
      <text>
        <t>Percentage change in reported goodwill.</t>
      </text>
    </comment>
    <comment ref="C118" authorId="0" shapeId="0">
      <text>
        <t>Average beginning and ending goodwill.</t>
      </text>
    </comment>
    <comment ref="D118" authorId="0" shapeId="0">
      <text>
        <t>Average beginning and ending goodwill.</t>
      </text>
    </comment>
    <comment ref="E118" authorId="0" shapeId="0">
      <text>
        <t>Average beginning and ending goodwill.</t>
      </text>
    </comment>
    <comment ref="C119" authorId="0" shapeId="0">
      <text>
        <t>Average goodwill divided by Revenue (average-balance intensity).</t>
      </text>
    </comment>
    <comment ref="D119" authorId="0" shapeId="0">
      <text>
        <t>Average goodwill divided by Revenue (average-balance intensity).</t>
      </text>
    </comment>
    <comment ref="E119" authorId="0" shapeId="0">
      <text>
        <t>Average goodwill divided by Revenue (average-balance intensity).</t>
      </text>
    </comment>
    <comment ref="C121" authorId="0" shapeId="0">
      <text>
        <t>Current intangible assets − prior intangible assets.</t>
      </text>
    </comment>
    <comment ref="D121" authorId="0" shapeId="0">
      <text>
        <t>Current intangible assets − prior intangible assets.</t>
      </text>
    </comment>
    <comment ref="E121" authorId="0" shapeId="0">
      <text>
        <t>Current intangible assets − prior intangible assets.</t>
      </text>
    </comment>
    <comment ref="C122" authorId="0" shapeId="0">
      <text>
        <t>Percentage change in reported intangible assets.</t>
      </text>
    </comment>
    <comment ref="D122" authorId="0" shapeId="0">
      <text>
        <t>Percentage change in reported intangible assets.</t>
      </text>
    </comment>
    <comment ref="E122" authorId="0" shapeId="0">
      <text>
        <t>Percentage change in reported intangible assets.</t>
      </text>
    </comment>
    <comment ref="C123" authorId="0" shapeId="0">
      <text>
        <t>Average beginning and ending intangible assets.</t>
      </text>
    </comment>
    <comment ref="D123" authorId="0" shapeId="0">
      <text>
        <t>Average beginning and ending intangible assets.</t>
      </text>
    </comment>
    <comment ref="E123" authorId="0" shapeId="0">
      <text>
        <t>Average beginning and ending intangible assets.</t>
      </text>
    </comment>
    <comment ref="C124" authorId="0" shapeId="0">
      <text>
        <t>Average intangible assets divided by Revenue (average-balance intensity).</t>
      </text>
    </comment>
    <comment ref="D124" authorId="0" shapeId="0">
      <text>
        <t>Average intangible assets divided by Revenue (average-balance intensity).</t>
      </text>
    </comment>
    <comment ref="E124" authorId="0" shapeId="0">
      <text>
        <t>Average intangible assets divided by Revenue (average-balance intensity).</t>
      </text>
    </comment>
    <comment ref="C126" authorId="0" shapeId="0">
      <text>
        <t>Current combined total − prior combined total.</t>
      </text>
    </comment>
    <comment ref="D126" authorId="0" shapeId="0">
      <text>
        <t>Current combined total − prior combined total.</t>
      </text>
    </comment>
    <comment ref="E126" authorId="0" shapeId="0">
      <text>
        <t>Current combined total − prior combined total.</t>
      </text>
    </comment>
    <comment ref="C127" authorId="0" shapeId="0">
      <text>
        <t>Percentage change in the combined goodwill and intangibles total.</t>
      </text>
    </comment>
    <comment ref="D127" authorId="0" shapeId="0">
      <text>
        <t>Percentage change in the combined goodwill and intangibles total.</t>
      </text>
    </comment>
    <comment ref="E127" authorId="0" shapeId="0">
      <text>
        <t>Percentage change in the combined goodwill and intangibles total.</t>
      </text>
    </comment>
    <comment ref="C128" authorId="0" shapeId="0">
      <text>
        <t>Average beginning and ending combined goodwill and intangibles.</t>
      </text>
    </comment>
    <comment ref="D128" authorId="0" shapeId="0">
      <text>
        <t>Average beginning and ending combined goodwill and intangibles.</t>
      </text>
    </comment>
    <comment ref="E128" authorId="0" shapeId="0">
      <text>
        <t>Average beginning and ending combined goodwill and intangibles.</t>
      </text>
    </comment>
    <comment ref="C129" authorId="0" shapeId="0">
      <text>
        <t>Average combined goodwill and intangibles divided by Revenue.</t>
      </text>
    </comment>
    <comment ref="D129" authorId="0" shapeId="0">
      <text>
        <t>Average combined goodwill and intangibles divided by Revenue.</t>
      </text>
    </comment>
    <comment ref="E129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B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C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D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E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B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C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D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E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B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C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D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E25" authorId="0" shapeId="0">
      <text>
        <t>Reported CFO less SBC add-back. Mechanical diagnostic only; does not restate reported CFO, estimate cash compensation or dilution, establish free cash flow, or quantify tax effects.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C116:E116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C117:E117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C118:E118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C119:E119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C121:E121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C122:E122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C123:E123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C124:E124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C126:E126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C127:E127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C128:E128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C129:E129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2023–2026 (4 cells)</t>
        </is>
      </c>
      <c r="D98" s="10" t="inlineStr">
        <is>
          <t>ALT DuPont</t>
        </is>
      </c>
      <c r="E98" s="10" t="inlineStr">
        <is>
          <t>B106:E106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2023–2026 (4 cells)</t>
        </is>
      </c>
      <c r="D99" s="10" t="inlineStr">
        <is>
          <t>ALT DuPont</t>
        </is>
      </c>
      <c r="E99" s="10" t="inlineStr">
        <is>
          <t>B108:E108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2023–2026 (4 cells)</t>
        </is>
      </c>
      <c r="D100" s="10" t="inlineStr">
        <is>
          <t>ALT DuPont</t>
        </is>
      </c>
      <c r="E100" s="10" t="inlineStr">
        <is>
          <t>B110:E110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2023–2026 (4 cells)</t>
        </is>
      </c>
      <c r="D101" s="10" t="inlineStr">
        <is>
          <t>ALT DuPont</t>
        </is>
      </c>
      <c r="E101" s="10" t="inlineStr">
        <is>
          <t>B112:E112</t>
        </is>
      </c>
      <c r="F101" s="10" t="inlineStr">
        <is>
          <t>cash_ending_from_flows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</row>
    <row r="84"/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>
        <f>-B86</f>
        <v/>
      </c>
      <c r="C87" s="15">
        <f>-C86</f>
        <v/>
      </c>
      <c r="D87" s="15">
        <f>-D86</f>
        <v/>
      </c>
      <c r="E87" s="15">
        <f>-E86</f>
        <v/>
      </c>
    </row>
    <row r="88">
      <c r="A88" s="10" t="inlineStr">
        <is>
          <t>Acquisition cash / Revenue</t>
        </is>
      </c>
      <c r="B88" s="14">
        <f>IF('Condensed Financials'!B34=0,NA(),B87/'Condensed Financials'!B34)</f>
        <v/>
      </c>
      <c r="C88" s="14">
        <f>IF('Condensed Financials'!C34=0,NA(),C87/'Condensed Financials'!C34)</f>
        <v/>
      </c>
      <c r="D88" s="14">
        <f>IF('Condensed Financials'!D34=0,NA(),D87/'Condensed Financials'!D34)</f>
        <v/>
      </c>
      <c r="E88" s="14">
        <f>IF('Condensed Financials'!E34=0,NA(),E87/'Condensed Financials'!E34)</f>
        <v/>
      </c>
    </row>
    <row r="89"/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>
        <f>B81-B77-B87</f>
        <v/>
      </c>
      <c r="C91" s="15">
        <f>C81-C77-C87</f>
        <v/>
      </c>
      <c r="D91" s="15">
        <f>D81-D77-D87</f>
        <v/>
      </c>
      <c r="E91" s="15">
        <f>E81-E77-E87</f>
        <v/>
      </c>
    </row>
    <row r="92"/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>
        <f>-B94</f>
        <v/>
      </c>
      <c r="C95" s="15">
        <f>-C94</f>
        <v/>
      </c>
      <c r="D95" s="15">
        <f>-D94</f>
        <v/>
      </c>
      <c r="E95" s="15">
        <f>-E94</f>
        <v/>
      </c>
    </row>
    <row r="96">
      <c r="A96" s="10" t="inlineStr">
        <is>
          <t>Share-repurchase / Revenue</t>
        </is>
      </c>
      <c r="B96" s="14">
        <f>IF('Condensed Financials'!B34=0,NA(),B95/'Condensed Financials'!B34)</f>
        <v/>
      </c>
      <c r="C96" s="14">
        <f>IF('Condensed Financials'!C34=0,NA(),C95/'Condensed Financials'!C34)</f>
        <v/>
      </c>
      <c r="D96" s="14">
        <f>IF('Condensed Financials'!D34=0,NA(),D95/'Condensed Financials'!D34)</f>
        <v/>
      </c>
      <c r="E96" s="14">
        <f>IF('Condensed Financials'!E34=0,NA(),E95/'Condensed Financials'!E34)</f>
        <v/>
      </c>
    </row>
    <row r="97"/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>
        <f>B81-B77-B87-B95</f>
        <v/>
      </c>
      <c r="C99" s="15">
        <f>C81-C77-C87-C95</f>
        <v/>
      </c>
      <c r="D99" s="15">
        <f>D81-D77-D87-D95</f>
        <v/>
      </c>
      <c r="E99" s="15">
        <f>E81-E77-E87-E95</f>
        <v/>
      </c>
    </row>
    <row r="100"/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Statement'!B27</f>
        <v/>
      </c>
      <c r="C102" s="12">
        <f>'Cash Flow Statement'!C27</f>
        <v/>
      </c>
      <c r="D102" s="12">
        <f>'Cash Flow Statement'!D27</f>
        <v/>
      </c>
      <c r="E102" s="12">
        <f>'Cash Flow Statement'!E27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</row>
    <row r="105">
      <c r="A105" s="10" t="inlineStr">
        <is>
          <t>Effect of FX on cash (reported)</t>
        </is>
      </c>
      <c r="B105" s="12">
        <f>'Cash Flow Statement'!B39</f>
        <v/>
      </c>
      <c r="C105" s="12">
        <f>'Cash Flow Statement'!C39</f>
        <v/>
      </c>
      <c r="D105" s="12">
        <f>'Cash Flow Statement'!D39</f>
        <v/>
      </c>
      <c r="E105" s="12">
        <f>'Cash Flow Statement'!E39</f>
        <v/>
      </c>
    </row>
    <row r="106">
      <c r="A106" s="10" t="inlineStr">
        <is>
          <t>Cash movement from flows</t>
        </is>
      </c>
      <c r="B106" s="15">
        <f>B102+B103+B104+B105</f>
        <v/>
      </c>
      <c r="C106" s="15">
        <f>C102+C103+C104+C105</f>
        <v/>
      </c>
      <c r="D106" s="15">
        <f>D102+D103+D104+D105</f>
        <v/>
      </c>
      <c r="E106" s="15">
        <f>E102+E103+E104+E105</f>
        <v/>
      </c>
    </row>
    <row r="107">
      <c r="A107" s="10" t="inlineStr">
        <is>
          <t>Reported cash change</t>
        </is>
      </c>
      <c r="B107" s="12">
        <f>'Cash Flow Statement'!B40</f>
        <v/>
      </c>
      <c r="C107" s="12">
        <f>'Cash Flow Statement'!C40</f>
        <v/>
      </c>
      <c r="D107" s="12">
        <f>'Cash Flow Statement'!D40</f>
        <v/>
      </c>
      <c r="E107" s="12">
        <f>'Cash Flow Statement'!E40</f>
        <v/>
      </c>
    </row>
    <row r="108">
      <c r="A108" s="10" t="inlineStr">
        <is>
          <t>Cash movement difference</t>
        </is>
      </c>
      <c r="B108" s="15">
        <f>B106-B107</f>
        <v/>
      </c>
      <c r="C108" s="15">
        <f>C106-C107</f>
        <v/>
      </c>
      <c r="D108" s="15">
        <f>D106-D107</f>
        <v/>
      </c>
      <c r="E108" s="15">
        <f>E106-E107</f>
        <v/>
      </c>
    </row>
    <row r="109">
      <c r="A109" s="10" t="inlineStr">
        <is>
          <t>Cash beginning (reported)</t>
        </is>
      </c>
      <c r="B109" s="12">
        <f>'Cash Flow Statement'!B37</f>
        <v/>
      </c>
      <c r="C109" s="12">
        <f>'Cash Flow Statement'!C37</f>
        <v/>
      </c>
      <c r="D109" s="12">
        <f>'Cash Flow Statement'!D37</f>
        <v/>
      </c>
      <c r="E109" s="12">
        <f>'Cash Flow Statement'!E37</f>
        <v/>
      </c>
    </row>
    <row r="110">
      <c r="A110" s="10" t="inlineStr">
        <is>
          <t>Cash ending from flows</t>
        </is>
      </c>
      <c r="B110" s="15">
        <f>B109+B106</f>
        <v/>
      </c>
      <c r="C110" s="15">
        <f>C109+C106</f>
        <v/>
      </c>
      <c r="D110" s="15">
        <f>D109+D106</f>
        <v/>
      </c>
      <c r="E110" s="15">
        <f>E109+E106</f>
        <v/>
      </c>
    </row>
    <row r="111">
      <c r="A111" s="10" t="inlineStr">
        <is>
          <t>Cash ending (reported)</t>
        </is>
      </c>
      <c r="B111" s="12">
        <f>'Cash Flow Statement'!B38</f>
        <v/>
      </c>
      <c r="C111" s="12">
        <f>'Cash Flow Statement'!C38</f>
        <v/>
      </c>
      <c r="D111" s="12">
        <f>'Cash Flow Statement'!D38</f>
        <v/>
      </c>
      <c r="E111" s="12">
        <f>'Cash Flow Statement'!E38</f>
        <v/>
      </c>
    </row>
    <row r="112">
      <c r="A112" s="10" t="inlineStr">
        <is>
          <t>Cash ending difference</t>
        </is>
      </c>
      <c r="B112" s="15">
        <f>B110-B111</f>
        <v/>
      </c>
      <c r="C112" s="15">
        <f>C110-C111</f>
        <v/>
      </c>
      <c r="D112" s="15">
        <f>D110-D111</f>
        <v/>
      </c>
      <c r="E112" s="15">
        <f>E110-E111</f>
        <v/>
      </c>
    </row>
    <row r="113"/>
    <row r="114">
      <c r="A114" s="10" t="inlineStr">
        <is>
          <t>GOODWILL &amp; INTANGIBLES CONTEXT</t>
        </is>
      </c>
    </row>
    <row r="115">
      <c r="A115" s="10" t="inlineStr">
        <is>
          <t>Goodwill</t>
        </is>
      </c>
      <c r="B115" s="12">
        <f>'Balance Sheet'!B22</f>
        <v/>
      </c>
      <c r="C115" s="12">
        <f>'Balance Sheet'!C22</f>
        <v/>
      </c>
      <c r="D115" s="12">
        <f>'Balance Sheet'!D22</f>
        <v/>
      </c>
      <c r="E115" s="12">
        <f>'Balance Sheet'!E22</f>
        <v/>
      </c>
    </row>
    <row r="116">
      <c r="A116" s="10" t="inlineStr">
        <is>
          <t>Change in Goodwill</t>
        </is>
      </c>
      <c r="C116" s="15">
        <f>C115-B115</f>
        <v/>
      </c>
      <c r="D116" s="15">
        <f>D115-C115</f>
        <v/>
      </c>
      <c r="E116" s="15">
        <f>E115-D115</f>
        <v/>
      </c>
    </row>
    <row r="117">
      <c r="A117" s="10" t="inlineStr">
        <is>
          <t>Goodwill Growth</t>
        </is>
      </c>
      <c r="C117" s="14">
        <f>IF(B115=0,NA(),C115/B115-1)</f>
        <v/>
      </c>
      <c r="D117" s="14">
        <f>IF(C115=0,NA(),D115/C115-1)</f>
        <v/>
      </c>
      <c r="E117" s="14">
        <f>IF(D115=0,NA(),E115/D115-1)</f>
        <v/>
      </c>
    </row>
    <row r="118">
      <c r="A118" s="10" t="inlineStr">
        <is>
          <t>Average Goodwill</t>
        </is>
      </c>
      <c r="C118" s="15">
        <f>(B115+C115)/2</f>
        <v/>
      </c>
      <c r="D118" s="15">
        <f>(C115+D115)/2</f>
        <v/>
      </c>
      <c r="E118" s="15">
        <f>(D115+E115)/2</f>
        <v/>
      </c>
    </row>
    <row r="119">
      <c r="A119" s="10" t="inlineStr">
        <is>
          <t>Average Goodwill / Revenue</t>
        </is>
      </c>
      <c r="C119" s="14">
        <f>IF('Condensed Financials'!C34=0,NA(),C118/'Condensed Financials'!C34)</f>
        <v/>
      </c>
      <c r="D119" s="14">
        <f>IF('Condensed Financials'!D34=0,NA(),D118/'Condensed Financials'!D34)</f>
        <v/>
      </c>
      <c r="E119" s="14">
        <f>IF('Condensed Financials'!E34=0,NA(),E118/'Condensed Financials'!E34)</f>
        <v/>
      </c>
    </row>
    <row r="120">
      <c r="A120" s="10" t="inlineStr">
        <is>
          <t>Intangible Assets</t>
        </is>
      </c>
      <c r="B120" s="12">
        <f>'Balance Sheet'!B23</f>
        <v/>
      </c>
      <c r="C120" s="12">
        <f>'Balance Sheet'!C23</f>
        <v/>
      </c>
      <c r="D120" s="12">
        <f>'Balance Sheet'!D23</f>
        <v/>
      </c>
      <c r="E120" s="12">
        <f>'Balance Sheet'!E23</f>
        <v/>
      </c>
    </row>
    <row r="121">
      <c r="A121" s="10" t="inlineStr">
        <is>
          <t>Change in Intangible Assets</t>
        </is>
      </c>
      <c r="C121" s="15">
        <f>C120-B120</f>
        <v/>
      </c>
      <c r="D121" s="15">
        <f>D120-C120</f>
        <v/>
      </c>
      <c r="E121" s="15">
        <f>E120-D120</f>
        <v/>
      </c>
    </row>
    <row r="122">
      <c r="A122" s="10" t="inlineStr">
        <is>
          <t>Intangible Assets Growth</t>
        </is>
      </c>
      <c r="C122" s="14">
        <f>IF(B120=0,NA(),C120/B120-1)</f>
        <v/>
      </c>
      <c r="D122" s="14">
        <f>IF(C120=0,NA(),D120/C120-1)</f>
        <v/>
      </c>
      <c r="E122" s="14">
        <f>IF(D120=0,NA(),E120/D120-1)</f>
        <v/>
      </c>
    </row>
    <row r="123">
      <c r="A123" s="10" t="inlineStr">
        <is>
          <t>Average Intangible Assets</t>
        </is>
      </c>
      <c r="C123" s="15">
        <f>(B120+C120)/2</f>
        <v/>
      </c>
      <c r="D123" s="15">
        <f>(C120+D120)/2</f>
        <v/>
      </c>
      <c r="E123" s="15">
        <f>(D120+E120)/2</f>
        <v/>
      </c>
    </row>
    <row r="124">
      <c r="A124" s="10" t="inlineStr">
        <is>
          <t>Average Intangible Assets / Revenue</t>
        </is>
      </c>
      <c r="C124" s="14">
        <f>IF('Condensed Financials'!C34=0,NA(),C123/'Condensed Financials'!C34)</f>
        <v/>
      </c>
      <c r="D124" s="14">
        <f>IF('Condensed Financials'!D34=0,NA(),D123/'Condensed Financials'!D34)</f>
        <v/>
      </c>
      <c r="E124" s="14">
        <f>IF('Condensed Financials'!E34=0,NA(),E123/'Condensed Financials'!E34)</f>
        <v/>
      </c>
    </row>
    <row r="125">
      <c r="A125" s="10" t="inlineStr">
        <is>
          <t>Goodwill &amp; Intangibles</t>
        </is>
      </c>
      <c r="B125" s="12">
        <f>B115+B120</f>
        <v/>
      </c>
      <c r="C125" s="12">
        <f>C115+C120</f>
        <v/>
      </c>
      <c r="D125" s="12">
        <f>D115+D120</f>
        <v/>
      </c>
      <c r="E125" s="12">
        <f>E115+E120</f>
        <v/>
      </c>
    </row>
    <row r="126">
      <c r="A126" s="10" t="inlineStr">
        <is>
          <t>Change in Goodwill &amp; Intangibles</t>
        </is>
      </c>
      <c r="C126" s="15">
        <f>C125-B125</f>
        <v/>
      </c>
      <c r="D126" s="15">
        <f>D125-C125</f>
        <v/>
      </c>
      <c r="E126" s="15">
        <f>E125-D125</f>
        <v/>
      </c>
    </row>
    <row r="127">
      <c r="A127" s="10" t="inlineStr">
        <is>
          <t>Goodwill &amp; Intangibles Growth</t>
        </is>
      </c>
      <c r="C127" s="14">
        <f>IF(B125=0,NA(),C125/B125-1)</f>
        <v/>
      </c>
      <c r="D127" s="14">
        <f>IF(C125=0,NA(),D125/C125-1)</f>
        <v/>
      </c>
      <c r="E127" s="14">
        <f>IF(D125=0,NA(),E125/D125-1)</f>
        <v/>
      </c>
    </row>
    <row r="128">
      <c r="A128" s="10" t="inlineStr">
        <is>
          <t>Average Goodwill &amp; Intangibles</t>
        </is>
      </c>
      <c r="C128" s="15">
        <f>(B125+C125)/2</f>
        <v/>
      </c>
      <c r="D128" s="15">
        <f>(C125+D125)/2</f>
        <v/>
      </c>
      <c r="E128" s="15">
        <f>(D125+E125)/2</f>
        <v/>
      </c>
    </row>
    <row r="129">
      <c r="A129" s="10" t="inlineStr">
        <is>
          <t>Average Goodwill &amp; Intangibles / Revenue</t>
        </is>
      </c>
      <c r="C129" s="14">
        <f>IF('Condensed Financials'!C34=0,NA(),C128/'Condensed Financials'!C34)</f>
        <v/>
      </c>
      <c r="D129" s="14">
        <f>IF('Condensed Financials'!D34=0,NA(),D128/'Condensed Financials'!D34)</f>
        <v/>
      </c>
      <c r="E129" s="14">
        <f>IF('Condensed Financials'!E34=0,NA(),E128/'Condensed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0"/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>
        <f>IF('Condensed Financials'!B34=0,NA(),B22/'Condensed Financials'!B34)</f>
        <v/>
      </c>
      <c r="C23" s="14">
        <f>IF('Condensed Financials'!C34=0,NA(),C22/'Condensed Financials'!C34)</f>
        <v/>
      </c>
      <c r="D23" s="14">
        <f>IF('Condensed Financials'!D34=0,NA(),D22/'Condensed Financials'!D34)</f>
        <v/>
      </c>
      <c r="E23" s="14">
        <f>IF('Condensed Financials'!E34=0,NA(),E22/'Condensed Financials'!E34)</f>
        <v/>
      </c>
    </row>
    <row r="24">
      <c r="A24" s="10" t="inlineStr">
        <is>
          <t>SBC / Operating Cash Flow</t>
        </is>
      </c>
      <c r="B24" s="14">
        <f>IF(B5=0,NA(),B22/B5)</f>
        <v/>
      </c>
      <c r="C24" s="14">
        <f>IF(C5=0,NA(),C22/C5)</f>
        <v/>
      </c>
      <c r="D24" s="14">
        <f>IF(D5=0,NA(),D22/D5)</f>
        <v/>
      </c>
      <c r="E24" s="14">
        <f>IF(E5=0,NA(),E22/E5)</f>
        <v/>
      </c>
    </row>
    <row r="25">
      <c r="A25" s="10" t="inlineStr">
        <is>
          <t>Reported CFO less SBC add-back</t>
        </is>
      </c>
      <c r="B25" s="15">
        <f>B5-B22</f>
        <v/>
      </c>
      <c r="C25" s="15">
        <f>C5-C22</f>
        <v/>
      </c>
      <c r="D25" s="15">
        <f>D5-D22</f>
        <v/>
      </c>
      <c r="E25" s="15">
        <f>E5-E22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sbc_to_revenue__20230129</t>
        </is>
      </c>
      <c r="B79" t="n">
        <v>84</v>
      </c>
      <c r="C79" t="inlineStr">
        <is>
          <t>SBC / Revenue</t>
        </is>
      </c>
      <c r="D79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79" t="inlineStr">
        <is>
          <t>quality.sbc_to_revenue.2023-01-29</t>
        </is>
      </c>
      <c r="F79" t="inlineStr">
        <is>
          <t>earnings_quality</t>
        </is>
      </c>
      <c r="G79" t="inlineStr">
        <is>
          <t>Earnings Quality</t>
        </is>
      </c>
      <c r="H79" t="inlineStr">
        <is>
          <t>B23</t>
        </is>
      </c>
      <c r="I79">
        <f>IF('Condensed Financials'!B34=0,NA(),B22/'Condensed Financials'!B34)</f>
        <v/>
      </c>
      <c r="J79" t="n">
        <v>0.009626388844707576</v>
      </c>
      <c r="K79" t="n">
        <v>0.01</v>
      </c>
      <c r="L79" t="inlineStr">
        <is>
          <t>revenue_link__20230129</t>
        </is>
      </c>
      <c r="M79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79" t="inlineStr">
        <is>
          <t>pending</t>
        </is>
      </c>
      <c r="P79" t="inlineStr">
        <is>
          <t>sbc_to_revenue</t>
        </is>
      </c>
      <c r="Q79" t="n">
        <v>126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sbc_to_revenue__20240128</t>
        </is>
      </c>
      <c r="B81" t="n">
        <v>85</v>
      </c>
      <c r="C81" t="inlineStr">
        <is>
          <t>SBC / Revenue</t>
        </is>
      </c>
      <c r="D81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1" t="inlineStr">
        <is>
          <t>quality.sbc_to_revenue.2024-01-28</t>
        </is>
      </c>
      <c r="F81" t="inlineStr">
        <is>
          <t>earnings_quality</t>
        </is>
      </c>
      <c r="G81" t="inlineStr">
        <is>
          <t>Earnings Quality</t>
        </is>
      </c>
      <c r="H81" t="inlineStr">
        <is>
          <t>C23</t>
        </is>
      </c>
      <c r="I81">
        <f>IF('Condensed Financials'!C34=0,NA(),C22/'Condensed Financials'!C34)</f>
        <v/>
      </c>
      <c r="J81" t="n">
        <v>0.009726301703724542</v>
      </c>
      <c r="K81" t="n">
        <v>0.01</v>
      </c>
      <c r="L81" t="inlineStr">
        <is>
          <t>revenue_link__20240128</t>
        </is>
      </c>
      <c r="M81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1" t="inlineStr">
        <is>
          <t>pending</t>
        </is>
      </c>
      <c r="P81" t="inlineStr">
        <is>
          <t>sbc_to_revenue</t>
        </is>
      </c>
      <c r="Q81" t="n">
        <v>126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sbc_to_revenue__20250202</t>
        </is>
      </c>
      <c r="B83" t="n">
        <v>86</v>
      </c>
      <c r="C83" t="inlineStr">
        <is>
          <t>SBC / Revenue</t>
        </is>
      </c>
      <c r="D83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3" t="inlineStr">
        <is>
          <t>quality.sbc_to_revenue.2025-02-02</t>
        </is>
      </c>
      <c r="F83" t="inlineStr">
        <is>
          <t>earnings_quality</t>
        </is>
      </c>
      <c r="G83" t="inlineStr">
        <is>
          <t>Earnings Quality</t>
        </is>
      </c>
      <c r="H83" t="inlineStr">
        <is>
          <t>D23</t>
        </is>
      </c>
      <c r="I83">
        <f>IF('Condensed Financials'!D34=0,NA(),D22/'Condensed Financials'!D34)</f>
        <v/>
      </c>
      <c r="J83" t="n">
        <v>0.0085011266394072</v>
      </c>
      <c r="K83" t="n">
        <v>0.01</v>
      </c>
      <c r="L83" t="inlineStr">
        <is>
          <t>revenue_link__20250202</t>
        </is>
      </c>
      <c r="M83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3" t="inlineStr">
        <is>
          <t>pending</t>
        </is>
      </c>
      <c r="P83" t="inlineStr">
        <is>
          <t>sbc_to_revenue</t>
        </is>
      </c>
      <c r="Q83" t="n">
        <v>126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sbc_to_revenue__20260201</t>
        </is>
      </c>
      <c r="B85" t="n">
        <v>87</v>
      </c>
      <c r="C85" t="inlineStr">
        <is>
          <t>SBC / Revenue</t>
        </is>
      </c>
      <c r="D85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5" t="inlineStr">
        <is>
          <t>quality.sbc_to_revenue.2026-02-01</t>
        </is>
      </c>
      <c r="F85" t="inlineStr">
        <is>
          <t>earnings_quality</t>
        </is>
      </c>
      <c r="G85" t="inlineStr">
        <is>
          <t>Earnings Quality</t>
        </is>
      </c>
      <c r="H85" t="inlineStr">
        <is>
          <t>E23</t>
        </is>
      </c>
      <c r="I85">
        <f>IF('Condensed Financials'!E34=0,NA(),E22/'Condensed Financials'!E34)</f>
        <v/>
      </c>
      <c r="J85" t="n">
        <v>0.005602561562156612</v>
      </c>
      <c r="K85" t="n">
        <v>0.01</v>
      </c>
      <c r="L85" t="inlineStr">
        <is>
          <t>revenue_link__20260201</t>
        </is>
      </c>
      <c r="M85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5" t="inlineStr">
        <is>
          <t>pending</t>
        </is>
      </c>
      <c r="P85" t="inlineStr">
        <is>
          <t>sbc_to_revenue</t>
        </is>
      </c>
      <c r="Q85" t="n">
        <v>126</v>
      </c>
      <c r="R85" t="n">
        <v>3</v>
      </c>
      <c r="S85" t="inlineStr">
        <is>
          <t>2026-02-01</t>
        </is>
      </c>
    </row>
    <row r="86">
      <c r="A86" t="inlineStr">
        <is>
          <t>sbc_to_operating_cash_flow__20230129</t>
        </is>
      </c>
      <c r="B86" t="n">
        <v>88</v>
      </c>
      <c r="C86" t="inlineStr">
        <is>
          <t>SBC / Operating Cash Flow</t>
        </is>
      </c>
      <c r="D86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6" t="inlineStr">
        <is>
          <t>quality.sbc_to_operating_cash_flow.2023-01-29</t>
        </is>
      </c>
      <c r="F86" t="inlineStr">
        <is>
          <t>earnings_quality</t>
        </is>
      </c>
      <c r="G86" t="inlineStr">
        <is>
          <t>Earnings Quality</t>
        </is>
      </c>
      <c r="H86" t="inlineStr">
        <is>
          <t>B24</t>
        </is>
      </c>
      <c r="I86">
        <f>IF(B5=0,NA(),B22/B5)</f>
        <v/>
      </c>
      <c r="J86" t="n">
        <v>0.08078426178756973</v>
      </c>
      <c r="K86" t="n">
        <v>0.01</v>
      </c>
      <c r="L86" t="inlineStr">
        <is>
          <t>operating_cash_flow_link__20230129</t>
        </is>
      </c>
      <c r="M86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6" t="inlineStr">
        <is>
          <t>pending</t>
        </is>
      </c>
      <c r="P86" t="inlineStr">
        <is>
          <t>sbc_to_operating_cash_flow</t>
        </is>
      </c>
      <c r="Q86" t="n">
        <v>127</v>
      </c>
      <c r="R86" t="n">
        <v>0</v>
      </c>
      <c r="S86" t="inlineStr">
        <is>
          <t>2023-01-29</t>
        </is>
      </c>
    </row>
    <row r="87">
      <c r="A87" t="inlineStr">
        <is>
          <t>sbc_to_operating_cash_flow__20240128</t>
        </is>
      </c>
      <c r="B87" t="n">
        <v>89</v>
      </c>
      <c r="C87" t="inlineStr">
        <is>
          <t>SBC / Operating Cash Flow</t>
        </is>
      </c>
      <c r="D87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7" t="inlineStr">
        <is>
          <t>quality.sbc_to_operating_cash_flow.2024-01-28</t>
        </is>
      </c>
      <c r="F87" t="inlineStr">
        <is>
          <t>earnings_quality</t>
        </is>
      </c>
      <c r="G87" t="inlineStr">
        <is>
          <t>Earnings Quality</t>
        </is>
      </c>
      <c r="H87" t="inlineStr">
        <is>
          <t>C24</t>
        </is>
      </c>
      <c r="I87">
        <f>IF(C5=0,NA(),C22/C5)</f>
        <v/>
      </c>
      <c r="J87" t="n">
        <v>0.04074621847568379</v>
      </c>
      <c r="K87" t="n">
        <v>0.01</v>
      </c>
      <c r="L87" t="inlineStr">
        <is>
          <t>operating_cash_flow_link__20240128</t>
        </is>
      </c>
      <c r="M87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7" t="inlineStr">
        <is>
          <t>pending</t>
        </is>
      </c>
      <c r="P87" t="inlineStr">
        <is>
          <t>sbc_to_operating_cash_flow</t>
        </is>
      </c>
      <c r="Q87" t="n">
        <v>127</v>
      </c>
      <c r="R87" t="n">
        <v>1</v>
      </c>
      <c r="S87" t="inlineStr">
        <is>
          <t>2024-01-28</t>
        </is>
      </c>
    </row>
    <row r="88">
      <c r="A88" t="inlineStr">
        <is>
          <t>sbc_to_operating_cash_flow__20250202</t>
        </is>
      </c>
      <c r="B88" t="n">
        <v>90</v>
      </c>
      <c r="C88" t="inlineStr">
        <is>
          <t>SBC / Operating Cash Flow</t>
        </is>
      </c>
      <c r="D88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8" t="inlineStr">
        <is>
          <t>quality.sbc_to_operating_cash_flow.2025-02-02</t>
        </is>
      </c>
      <c r="F88" t="inlineStr">
        <is>
          <t>earnings_quality</t>
        </is>
      </c>
      <c r="G88" t="inlineStr">
        <is>
          <t>Earnings Quality</t>
        </is>
      </c>
      <c r="H88" t="inlineStr">
        <is>
          <t>D24</t>
        </is>
      </c>
      <c r="I88">
        <f>IF(D5=0,NA(),D22/D5)</f>
        <v/>
      </c>
      <c r="J88" t="n">
        <v>0.03960508871995716</v>
      </c>
      <c r="K88" t="n">
        <v>0.01</v>
      </c>
      <c r="L88" t="inlineStr">
        <is>
          <t>operating_cash_flow_link__20250202</t>
        </is>
      </c>
      <c r="M88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8" t="inlineStr">
        <is>
          <t>pending</t>
        </is>
      </c>
      <c r="P88" t="inlineStr">
        <is>
          <t>sbc_to_operating_cash_flow</t>
        </is>
      </c>
      <c r="Q88" t="n">
        <v>127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sbc_to_operating_cash_flow__20260201</t>
        </is>
      </c>
      <c r="B90" t="n">
        <v>91</v>
      </c>
      <c r="C90" t="inlineStr">
        <is>
          <t>SBC / Operating Cash Flow</t>
        </is>
      </c>
      <c r="D90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90" t="inlineStr">
        <is>
          <t>quality.sbc_to_operating_cash_flow.2026-02-01</t>
        </is>
      </c>
      <c r="F90" t="inlineStr">
        <is>
          <t>earnings_quality</t>
        </is>
      </c>
      <c r="G90" t="inlineStr">
        <is>
          <t>Earnings Quality</t>
        </is>
      </c>
      <c r="H90" t="inlineStr">
        <is>
          <t>E24</t>
        </is>
      </c>
      <c r="I90">
        <f>IF(E5=0,NA(),E22/E5)</f>
        <v/>
      </c>
      <c r="J90" t="n">
        <v>0.03881678176972275</v>
      </c>
      <c r="K90" t="n">
        <v>0.01</v>
      </c>
      <c r="L90" t="inlineStr">
        <is>
          <t>operating_cash_flow_link__20260201</t>
        </is>
      </c>
      <c r="M90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90" t="inlineStr">
        <is>
          <t>pending</t>
        </is>
      </c>
      <c r="P90" t="inlineStr">
        <is>
          <t>sbc_to_operating_cash_flow</t>
        </is>
      </c>
      <c r="Q90" t="n">
        <v>127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operating_cash_flow_less_sbc__20230129</t>
        </is>
      </c>
      <c r="B92" t="n">
        <v>92</v>
      </c>
      <c r="C92" t="inlineStr">
        <is>
          <t>Reported CFO less SBC add-back</t>
        </is>
      </c>
      <c r="D92" t="inlineStr">
        <is>
          <t>Reported CFO less SBC add-back. Mechanical diagnostic only; does not restate reported CFO, estimate cash compensation or dilution, establish free cash flow, or quantify tax effects.</t>
        </is>
      </c>
      <c r="E92" t="inlineStr">
        <is>
          <t>quality.operating_cash_flow_less_sbc.2023-01-29</t>
        </is>
      </c>
      <c r="F92" t="inlineStr">
        <is>
          <t>earnings_quality</t>
        </is>
      </c>
      <c r="G92" t="inlineStr">
        <is>
          <t>Earnings Quality</t>
        </is>
      </c>
      <c r="H92" t="inlineStr">
        <is>
          <t>B25</t>
        </is>
      </c>
      <c r="I92">
        <f>B5-B22</f>
        <v/>
      </c>
      <c r="J92" t="n">
        <v>888388</v>
      </c>
      <c r="K92" t="n">
        <v>0.01</v>
      </c>
      <c r="L92" t="inlineStr">
        <is>
          <t>operating_cash_flow_link__20230129</t>
        </is>
      </c>
      <c r="M92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2" t="inlineStr">
        <is>
          <t>pending</t>
        </is>
      </c>
      <c r="P92" t="inlineStr">
        <is>
          <t>operating_cash_flow_less_sbc</t>
        </is>
      </c>
      <c r="Q92" t="n">
        <v>128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operating_cash_flow_less_sbc__20240128</t>
        </is>
      </c>
      <c r="B94" t="n">
        <v>93</v>
      </c>
      <c r="C94" t="inlineStr">
        <is>
          <t>Reported CFO less SBC add-back</t>
        </is>
      </c>
      <c r="D94" t="inlineStr">
        <is>
          <t>Reported CFO less SBC add-back. Mechanical diagnostic only; does not restate reported CFO, estimate cash compensation or dilution, establish free cash flow, or quantify tax effects.</t>
        </is>
      </c>
      <c r="E94" t="inlineStr">
        <is>
          <t>quality.operating_cash_flow_less_sbc.2024-01-28</t>
        </is>
      </c>
      <c r="F94" t="inlineStr">
        <is>
          <t>earnings_quality</t>
        </is>
      </c>
      <c r="G94" t="inlineStr">
        <is>
          <t>Earnings Quality</t>
        </is>
      </c>
      <c r="H94" t="inlineStr">
        <is>
          <t>C25</t>
        </is>
      </c>
      <c r="I94">
        <f>C5-C22</f>
        <v/>
      </c>
      <c r="J94" t="n">
        <v>2202604</v>
      </c>
      <c r="K94" t="n">
        <v>0.01</v>
      </c>
      <c r="L94" t="inlineStr">
        <is>
          <t>operating_cash_flow_link__20240128</t>
        </is>
      </c>
      <c r="M94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4" t="inlineStr">
        <is>
          <t>pending</t>
        </is>
      </c>
      <c r="P94" t="inlineStr">
        <is>
          <t>operating_cash_flow_less_sbc</t>
        </is>
      </c>
      <c r="Q94" t="n">
        <v>128</v>
      </c>
      <c r="R94" t="n">
        <v>1</v>
      </c>
      <c r="S94" t="inlineStr">
        <is>
          <t>2024-01-28</t>
        </is>
      </c>
    </row>
    <row r="95">
      <c r="A95" t="inlineStr">
        <is>
          <t>operating_cash_flow_less_sbc__20250202</t>
        </is>
      </c>
      <c r="B95" t="n">
        <v>94</v>
      </c>
      <c r="C95" t="inlineStr">
        <is>
          <t>Reported CFO less SBC add-back</t>
        </is>
      </c>
      <c r="D95" t="inlineStr">
        <is>
          <t>Reported CFO less SBC add-back. Mechanical diagnostic only; does not restate reported CFO, estimate cash compensation or dilution, establish free cash flow, or quantify tax effects.</t>
        </is>
      </c>
      <c r="E95" t="inlineStr">
        <is>
          <t>quality.operating_cash_flow_less_sbc.2025-02-02</t>
        </is>
      </c>
      <c r="F95" t="inlineStr">
        <is>
          <t>earnings_quality</t>
        </is>
      </c>
      <c r="G95" t="inlineStr">
        <is>
          <t>Earnings Quality</t>
        </is>
      </c>
      <c r="H95" t="inlineStr">
        <is>
          <t>D25</t>
        </is>
      </c>
      <c r="I95">
        <f>D5-D22</f>
        <v/>
      </c>
      <c r="J95" t="n">
        <v>2182702</v>
      </c>
      <c r="K95" t="n">
        <v>0.01</v>
      </c>
      <c r="L95" t="inlineStr">
        <is>
          <t>operating_cash_flow_link__20250202</t>
        </is>
      </c>
      <c r="M95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5" t="inlineStr">
        <is>
          <t>pending</t>
        </is>
      </c>
      <c r="P95" t="inlineStr">
        <is>
          <t>operating_cash_flow_less_sbc</t>
        </is>
      </c>
      <c r="Q95" t="n">
        <v>128</v>
      </c>
      <c r="R95" t="n">
        <v>2</v>
      </c>
      <c r="S95" t="inlineStr">
        <is>
          <t>2025-02-02</t>
        </is>
      </c>
    </row>
    <row r="96">
      <c r="A96" t="inlineStr">
        <is>
          <t>operating_cash_flow_less_sbc__20260201</t>
        </is>
      </c>
      <c r="B96" t="n">
        <v>95</v>
      </c>
      <c r="C96" t="inlineStr">
        <is>
          <t>Reported CFO less SBC add-back</t>
        </is>
      </c>
      <c r="D96" t="inlineStr">
        <is>
          <t>Reported CFO less SBC add-back. Mechanical diagnostic only; does not restate reported CFO, estimate cash compensation or dilution, establish free cash flow, or quantify tax effects.</t>
        </is>
      </c>
      <c r="E96" t="inlineStr">
        <is>
          <t>quality.operating_cash_flow_less_sbc.2026-02-01</t>
        </is>
      </c>
      <c r="F96" t="inlineStr">
        <is>
          <t>earnings_quality</t>
        </is>
      </c>
      <c r="G96" t="inlineStr">
        <is>
          <t>Earnings Quality</t>
        </is>
      </c>
      <c r="H96" t="inlineStr">
        <is>
          <t>E25</t>
        </is>
      </c>
      <c r="I96">
        <f>E5-E22</f>
        <v/>
      </c>
      <c r="J96" t="n">
        <v>1540274</v>
      </c>
      <c r="K96" t="n">
        <v>0.01</v>
      </c>
      <c r="L96" t="inlineStr">
        <is>
          <t>operating_cash_flow_link__20260201</t>
        </is>
      </c>
      <c r="M96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6" t="inlineStr">
        <is>
          <t>pending</t>
        </is>
      </c>
      <c r="P96" t="inlineStr">
        <is>
          <t>operating_cash_flow_less_sbc</t>
        </is>
      </c>
      <c r="Q96" t="n">
        <v>128</v>
      </c>
      <c r="R96" t="n">
        <v>3</v>
      </c>
      <c r="S96" t="inlineStr">
        <is>
          <t>2026-02-01</t>
        </is>
      </c>
    </row>
    <row r="97">
      <c r="A97" t="inlineStr">
        <is>
          <t>owca_to_revenue__20230129</t>
        </is>
      </c>
      <c r="B97" t="n">
        <v>96</v>
      </c>
      <c r="C97" t="inlineStr">
        <is>
          <t>Operating working capital assets / Revenue</t>
        </is>
      </c>
      <c r="D97" t="inlineStr">
        <is>
          <t>OWCA divided by Revenue for the same fiscal period.</t>
        </is>
      </c>
      <c r="E97" t="inlineStr">
        <is>
          <t>working_capital.owca_to_revenue.2023-01-29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B11</t>
        </is>
      </c>
      <c r="I97">
        <f>IF(B6=0,NA(),B7/B6)</f>
        <v/>
      </c>
      <c r="J97" t="n">
        <v>0.2471588127909956</v>
      </c>
      <c r="K97" t="n">
        <v>0.01</v>
      </c>
      <c r="M9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7" t="inlineStr">
        <is>
          <t>pending</t>
        </is>
      </c>
      <c r="P97" t="inlineStr">
        <is>
          <t>owca_to_revenue</t>
        </is>
      </c>
      <c r="Q97" t="n">
        <v>35</v>
      </c>
      <c r="R97" t="n">
        <v>0</v>
      </c>
      <c r="S97" t="inlineStr">
        <is>
          <t>2023-01-29</t>
        </is>
      </c>
    </row>
    <row r="98">
      <c r="A98" t="inlineStr">
        <is>
          <t>owca_to_revenue__20240128</t>
        </is>
      </c>
      <c r="B98" t="n">
        <v>97</v>
      </c>
      <c r="C98" t="inlineStr">
        <is>
          <t>Operating working capital assets / Revenue</t>
        </is>
      </c>
      <c r="D98" t="inlineStr">
        <is>
          <t>OWCA divided by Revenue for the same fiscal period.</t>
        </is>
      </c>
      <c r="E98" t="inlineStr">
        <is>
          <t>working_capital.owca_to_revenue.2024-01-28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C11</t>
        </is>
      </c>
      <c r="I98">
        <f>IF(C6=0,NA(),C7/C6)</f>
        <v/>
      </c>
      <c r="J98" t="n">
        <v>0.1888505561436108</v>
      </c>
      <c r="K98" t="n">
        <v>0.01</v>
      </c>
      <c r="M98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8" t="inlineStr">
        <is>
          <t>pending</t>
        </is>
      </c>
      <c r="P98" t="inlineStr">
        <is>
          <t>owca_to_revenue</t>
        </is>
      </c>
      <c r="Q98" t="n">
        <v>35</v>
      </c>
      <c r="R98" t="n">
        <v>1</v>
      </c>
      <c r="S98" t="inlineStr">
        <is>
          <t>2024-01-28</t>
        </is>
      </c>
    </row>
    <row r="99">
      <c r="A99" t="inlineStr">
        <is>
          <t>owca_to_revenue__20250202</t>
        </is>
      </c>
      <c r="B99" t="n">
        <v>98</v>
      </c>
      <c r="C99" t="inlineStr">
        <is>
          <t>Operating working capital assets / Revenue</t>
        </is>
      </c>
      <c r="D99" t="inlineStr">
        <is>
          <t>OWCA divided by Revenue for the same fiscal period.</t>
        </is>
      </c>
      <c r="E99" t="inlineStr">
        <is>
          <t>working_capital.owca_to_revenue.2025-02-02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D11</t>
        </is>
      </c>
      <c r="I99">
        <f>IF(D6=0,NA(),D7/D6)</f>
        <v/>
      </c>
      <c r="J99" t="n">
        <v>0.1885098458405198</v>
      </c>
      <c r="K99" t="n">
        <v>0.01</v>
      </c>
      <c r="M9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9" t="inlineStr">
        <is>
          <t>pending</t>
        </is>
      </c>
      <c r="P99" t="inlineStr">
        <is>
          <t>owca_to_revenue</t>
        </is>
      </c>
      <c r="Q99" t="n">
        <v>35</v>
      </c>
      <c r="R99" t="n">
        <v>2</v>
      </c>
      <c r="S99" t="inlineStr">
        <is>
          <t>2025-02-02</t>
        </is>
      </c>
    </row>
    <row r="100">
      <c r="A100" t="inlineStr">
        <is>
          <t>owca_to_revenue__20260201</t>
        </is>
      </c>
      <c r="B100" t="n">
        <v>99</v>
      </c>
      <c r="C100" t="inlineStr">
        <is>
          <t>Operating working capital assets / Revenue</t>
        </is>
      </c>
      <c r="D100" t="inlineStr">
        <is>
          <t>OWCA divided by Revenue for the same fiscal period.</t>
        </is>
      </c>
      <c r="E100" t="inlineStr">
        <is>
          <t>working_capital.owca_to_revenue.2026-02-01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E11</t>
        </is>
      </c>
      <c r="I100">
        <f>IF(E6=0,NA(),E7/E6)</f>
        <v/>
      </c>
      <c r="J100" t="n">
        <v>0.2211643218705528</v>
      </c>
      <c r="K100" t="n">
        <v>0.01</v>
      </c>
      <c r="M100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00" t="inlineStr">
        <is>
          <t>pending</t>
        </is>
      </c>
      <c r="P100" t="inlineStr">
        <is>
          <t>owca_to_revenue</t>
        </is>
      </c>
      <c r="Q100" t="n">
        <v>35</v>
      </c>
      <c r="R100" t="n">
        <v>3</v>
      </c>
      <c r="S100" t="inlineStr">
        <is>
          <t>2026-02-01</t>
        </is>
      </c>
    </row>
    <row r="101">
      <c r="A101" t="inlineStr">
        <is>
          <t>owcl_to_revenue__20230129</t>
        </is>
      </c>
      <c r="B101" t="n">
        <v>100</v>
      </c>
      <c r="C101" t="inlineStr">
        <is>
          <t>Operating working capital liabilities / Revenue</t>
        </is>
      </c>
      <c r="D101" t="inlineStr">
        <is>
          <t>OWCL divided by Revenue for the same fiscal period.</t>
        </is>
      </c>
      <c r="E101" t="inlineStr">
        <is>
          <t>working_capital.owcl_to_revenue.2023-01-29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B12</t>
        </is>
      </c>
      <c r="I101">
        <f>IF(B6=0,NA(),B8/B6)</f>
        <v/>
      </c>
      <c r="J101" t="n">
        <v>0.1618615481773174</v>
      </c>
      <c r="K101" t="n">
        <v>0.01</v>
      </c>
      <c r="M10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1" t="inlineStr">
        <is>
          <t>pending</t>
        </is>
      </c>
      <c r="P101" t="inlineStr">
        <is>
          <t>owcl_to_revenue</t>
        </is>
      </c>
      <c r="Q101" t="n">
        <v>36</v>
      </c>
      <c r="R101" t="n">
        <v>0</v>
      </c>
      <c r="S101" t="inlineStr">
        <is>
          <t>2023-01-29</t>
        </is>
      </c>
    </row>
    <row r="102">
      <c r="A102" t="inlineStr">
        <is>
          <t>owcl_to_revenue__20240128</t>
        </is>
      </c>
      <c r="B102" t="n">
        <v>101</v>
      </c>
      <c r="C102" t="inlineStr">
        <is>
          <t>Operating working capital liabilities / Revenue</t>
        </is>
      </c>
      <c r="D102" t="inlineStr">
        <is>
          <t>OWCL divided by Revenue for the same fiscal period.</t>
        </is>
      </c>
      <c r="E102" t="inlineStr">
        <is>
          <t>working_capital.owcl_to_revenue.2024-01-28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C12</t>
        </is>
      </c>
      <c r="I102">
        <f>IF(C6=0,NA(),C8/C6)</f>
        <v/>
      </c>
      <c r="J102" t="n">
        <v>0.1453180789660097</v>
      </c>
      <c r="K102" t="n">
        <v>0.01</v>
      </c>
      <c r="M10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2" t="inlineStr">
        <is>
          <t>pending</t>
        </is>
      </c>
      <c r="P102" t="inlineStr">
        <is>
          <t>owcl_to_revenue</t>
        </is>
      </c>
      <c r="Q102" t="n">
        <v>36</v>
      </c>
      <c r="R102" t="n">
        <v>1</v>
      </c>
      <c r="S102" t="inlineStr">
        <is>
          <t>2024-01-28</t>
        </is>
      </c>
    </row>
    <row r="103">
      <c r="A103" t="inlineStr">
        <is>
          <t>owcl_to_revenue__20250202</t>
        </is>
      </c>
      <c r="B103" t="n">
        <v>102</v>
      </c>
      <c r="C103" t="inlineStr">
        <is>
          <t>Operating working capital liabilities / Revenue</t>
        </is>
      </c>
      <c r="D103" t="inlineStr">
        <is>
          <t>OWCL divided by Revenue for the same fiscal period.</t>
        </is>
      </c>
      <c r="E103" t="inlineStr">
        <is>
          <t>working_capital.owcl_to_revenue.2025-02-02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D12</t>
        </is>
      </c>
      <c r="I103">
        <f>IF(D6=0,NA(),D8/D6)</f>
        <v/>
      </c>
      <c r="J103" t="n">
        <v>0.1477575918533648</v>
      </c>
      <c r="K103" t="n">
        <v>0.01</v>
      </c>
      <c r="M103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3" t="inlineStr">
        <is>
          <t>pending</t>
        </is>
      </c>
      <c r="P103" t="inlineStr">
        <is>
          <t>owcl_to_revenue</t>
        </is>
      </c>
      <c r="Q103" t="n">
        <v>36</v>
      </c>
      <c r="R103" t="n">
        <v>2</v>
      </c>
      <c r="S103" t="inlineStr">
        <is>
          <t>2025-02-02</t>
        </is>
      </c>
    </row>
    <row r="104">
      <c r="A104" t="inlineStr">
        <is>
          <t>owcl_to_revenue__20260201</t>
        </is>
      </c>
      <c r="B104" t="n">
        <v>103</v>
      </c>
      <c r="C104" t="inlineStr">
        <is>
          <t>Operating working capital liabilities / Revenue</t>
        </is>
      </c>
      <c r="D104" t="inlineStr">
        <is>
          <t>OWCL divided by Revenue for the same fiscal period.</t>
        </is>
      </c>
      <c r="E104" t="inlineStr">
        <is>
          <t>working_capital.owcl_to_revenue.2026-02-01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E12</t>
        </is>
      </c>
      <c r="I104">
        <f>IF(E6=0,NA(),E8/E6)</f>
        <v/>
      </c>
      <c r="J104" t="n">
        <v>0.1431037774935601</v>
      </c>
      <c r="K104" t="n">
        <v>0.01</v>
      </c>
      <c r="M104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4" t="inlineStr">
        <is>
          <t>pending</t>
        </is>
      </c>
      <c r="P104" t="inlineStr">
        <is>
          <t>owcl_to_revenue</t>
        </is>
      </c>
      <c r="Q104" t="n">
        <v>36</v>
      </c>
      <c r="R104" t="n">
        <v>3</v>
      </c>
      <c r="S104" t="inlineStr">
        <is>
          <t>2026-02-01</t>
        </is>
      </c>
    </row>
    <row r="105">
      <c r="A105" t="inlineStr">
        <is>
          <t>nowc_to_revenue__20230129</t>
        </is>
      </c>
      <c r="B105" t="n">
        <v>104</v>
      </c>
      <c r="C105" t="inlineStr">
        <is>
          <t>NOWC / Revenue</t>
        </is>
      </c>
      <c r="D105" t="inlineStr">
        <is>
          <t>NOWC divided by Revenue for the same fiscal period.</t>
        </is>
      </c>
      <c r="E105" t="inlineStr">
        <is>
          <t>working_capital.nowc_to_revenue.2023-01-29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B13</t>
        </is>
      </c>
      <c r="I105">
        <f>IF(B6=0,NA(),B9/B6)</f>
        <v/>
      </c>
      <c r="J105" t="n">
        <v>0.08529726461367819</v>
      </c>
      <c r="K105" t="n">
        <v>0.01</v>
      </c>
      <c r="M10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5" t="inlineStr">
        <is>
          <t>pending</t>
        </is>
      </c>
      <c r="P105" t="inlineStr">
        <is>
          <t>nowc_to_revenue</t>
        </is>
      </c>
      <c r="Q105" t="n">
        <v>37</v>
      </c>
      <c r="R105" t="n">
        <v>0</v>
      </c>
      <c r="S105" t="inlineStr">
        <is>
          <t>2023-01-29</t>
        </is>
      </c>
    </row>
    <row r="106">
      <c r="A106" t="inlineStr">
        <is>
          <t>nowc_to_revenue__20240128</t>
        </is>
      </c>
      <c r="B106" t="n">
        <v>105</v>
      </c>
      <c r="C106" t="inlineStr">
        <is>
          <t>NOWC / Revenue</t>
        </is>
      </c>
      <c r="D106" t="inlineStr">
        <is>
          <t>NOWC divided by Revenue for the same fiscal period.</t>
        </is>
      </c>
      <c r="E106" t="inlineStr">
        <is>
          <t>working_capital.nowc_to_revenue.2024-01-28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C13</t>
        </is>
      </c>
      <c r="I106">
        <f>IF(C6=0,NA(),C9/C6)</f>
        <v/>
      </c>
      <c r="J106" t="n">
        <v>0.04353247717760107</v>
      </c>
      <c r="K106" t="n">
        <v>0.01</v>
      </c>
      <c r="M10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6" t="inlineStr">
        <is>
          <t>pending</t>
        </is>
      </c>
      <c r="P106" t="inlineStr">
        <is>
          <t>nowc_to_revenue</t>
        </is>
      </c>
      <c r="Q106" t="n">
        <v>37</v>
      </c>
      <c r="R106" t="n">
        <v>1</v>
      </c>
      <c r="S106" t="inlineStr">
        <is>
          <t>2024-01-28</t>
        </is>
      </c>
    </row>
    <row r="107">
      <c r="A107" t="inlineStr">
        <is>
          <t>nowc_to_revenue__20250202</t>
        </is>
      </c>
      <c r="B107" t="n">
        <v>106</v>
      </c>
      <c r="C107" t="inlineStr">
        <is>
          <t>NOWC / Revenue</t>
        </is>
      </c>
      <c r="D107" t="inlineStr">
        <is>
          <t>NOWC divided by Revenue for the same fiscal period.</t>
        </is>
      </c>
      <c r="E107" t="inlineStr">
        <is>
          <t>working_capital.nowc_to_revenue.2025-02-02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D13</t>
        </is>
      </c>
      <c r="I107">
        <f>IF(D6=0,NA(),D9/D6)</f>
        <v/>
      </c>
      <c r="J107" t="n">
        <v>0.04075225398715505</v>
      </c>
      <c r="K107" t="n">
        <v>0.01</v>
      </c>
      <c r="M10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7" t="inlineStr">
        <is>
          <t>pending</t>
        </is>
      </c>
      <c r="P107" t="inlineStr">
        <is>
          <t>nowc_to_revenue</t>
        </is>
      </c>
      <c r="Q107" t="n">
        <v>37</v>
      </c>
      <c r="R107" t="n">
        <v>2</v>
      </c>
      <c r="S107" t="inlineStr">
        <is>
          <t>2025-02-02</t>
        </is>
      </c>
    </row>
    <row r="108">
      <c r="A108" t="inlineStr">
        <is>
          <t>nowc_to_revenue__20260201</t>
        </is>
      </c>
      <c r="B108" t="n">
        <v>107</v>
      </c>
      <c r="C108" t="inlineStr">
        <is>
          <t>NOWC / Revenue</t>
        </is>
      </c>
      <c r="D108" t="inlineStr">
        <is>
          <t>NOWC divided by Revenue for the same fiscal period.</t>
        </is>
      </c>
      <c r="E108" t="inlineStr">
        <is>
          <t>working_capital.nowc_to_revenue.2026-02-01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E13</t>
        </is>
      </c>
      <c r="I108">
        <f>IF(E6=0,NA(),E9/E6)</f>
        <v/>
      </c>
      <c r="J108" t="n">
        <v>0.07806054437699278</v>
      </c>
      <c r="K108" t="n">
        <v>0.01</v>
      </c>
      <c r="M108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8" t="inlineStr">
        <is>
          <t>pending</t>
        </is>
      </c>
      <c r="P108" t="inlineStr">
        <is>
          <t>nowc_to_revenue</t>
        </is>
      </c>
      <c r="Q108" t="n">
        <v>37</v>
      </c>
      <c r="R108" t="n">
        <v>3</v>
      </c>
      <c r="S108" t="inlineStr">
        <is>
          <t>2026-02-01</t>
        </is>
      </c>
    </row>
    <row r="109">
      <c r="A109" t="inlineStr">
        <is>
          <t>revenue_change__20240128</t>
        </is>
      </c>
      <c r="B109" t="n">
        <v>108</v>
      </c>
      <c r="C109" t="inlineStr">
        <is>
          <t>Change in Revenue</t>
        </is>
      </c>
      <c r="D109" t="inlineStr">
        <is>
          <t>Absolute year-on-year change in Revenue.</t>
        </is>
      </c>
      <c r="E109" t="inlineStr">
        <is>
          <t>working_capital.revenue_change.2024-01-28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C14</t>
        </is>
      </c>
      <c r="I109">
        <f>C6-B6</f>
        <v/>
      </c>
      <c r="J109" t="n">
        <v>1508760</v>
      </c>
      <c r="K109" t="n">
        <v>0.01</v>
      </c>
      <c r="M109" t="inlineStr">
        <is>
          <t>Use the absolute year-on-year change in Revenue, not the percentage growth rate.</t>
        </is>
      </c>
      <c r="O109" t="inlineStr">
        <is>
          <t>pending</t>
        </is>
      </c>
      <c r="P109" t="inlineStr">
        <is>
          <t>revenue_change</t>
        </is>
      </c>
      <c r="Q109" t="n">
        <v>38</v>
      </c>
      <c r="R109" t="n">
        <v>1</v>
      </c>
      <c r="S109" t="inlineStr">
        <is>
          <t>2024-01-28</t>
        </is>
      </c>
    </row>
    <row r="110">
      <c r="A110" t="inlineStr">
        <is>
          <t>revenue_change__20250202</t>
        </is>
      </c>
      <c r="B110" t="n">
        <v>109</v>
      </c>
      <c r="C110" t="inlineStr">
        <is>
          <t>Change in Revenue</t>
        </is>
      </c>
      <c r="D110" t="inlineStr">
        <is>
          <t>Absolute year-on-year change in Revenue.</t>
        </is>
      </c>
      <c r="E110" t="inlineStr">
        <is>
          <t>working_capital.revenue_change.2025-02-02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D14</t>
        </is>
      </c>
      <c r="I110">
        <f>D6-C6</f>
        <v/>
      </c>
      <c r="J110" t="n">
        <v>968848</v>
      </c>
      <c r="K110" t="n">
        <v>0.01</v>
      </c>
      <c r="M110" t="inlineStr">
        <is>
          <t>Use the absolute year-on-year change in Revenue, not the percentage growth rate.</t>
        </is>
      </c>
      <c r="O110" t="inlineStr">
        <is>
          <t>pending</t>
        </is>
      </c>
      <c r="P110" t="inlineStr">
        <is>
          <t>revenue_change</t>
        </is>
      </c>
      <c r="Q110" t="n">
        <v>38</v>
      </c>
      <c r="R110" t="n">
        <v>2</v>
      </c>
      <c r="S110" t="inlineStr">
        <is>
          <t>2025-02-02</t>
        </is>
      </c>
    </row>
    <row r="111">
      <c r="A111" t="inlineStr">
        <is>
          <t>revenue_change__20260201</t>
        </is>
      </c>
      <c r="B111" t="n">
        <v>110</v>
      </c>
      <c r="C111" t="inlineStr">
        <is>
          <t>Change in Revenue</t>
        </is>
      </c>
      <c r="D111" t="inlineStr">
        <is>
          <t>Absolute year-on-year change in Revenue.</t>
        </is>
      </c>
      <c r="E111" t="inlineStr">
        <is>
          <t>working_capital.revenue_change.2026-02-01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E14</t>
        </is>
      </c>
      <c r="I111">
        <f>E6-D6</f>
        <v/>
      </c>
      <c r="J111" t="n">
        <v>514474</v>
      </c>
      <c r="K111" t="n">
        <v>0.01</v>
      </c>
      <c r="M111" t="inlineStr">
        <is>
          <t>Use the absolute year-on-year change in Revenue, not the percentage growth rate.</t>
        </is>
      </c>
      <c r="O111" t="inlineStr">
        <is>
          <t>pending</t>
        </is>
      </c>
      <c r="P111" t="inlineStr">
        <is>
          <t>revenue_change</t>
        </is>
      </c>
      <c r="Q111" t="n">
        <v>38</v>
      </c>
      <c r="R111" t="n">
        <v>3</v>
      </c>
      <c r="S111" t="inlineStr">
        <is>
          <t>2026-02-01</t>
        </is>
      </c>
    </row>
    <row r="112">
      <c r="A112" t="inlineStr">
        <is>
          <t>nowc_change__20240128</t>
        </is>
      </c>
      <c r="B112" t="n">
        <v>111</v>
      </c>
      <c r="C112" t="inlineStr">
        <is>
          <t>Change in NOWC</t>
        </is>
      </c>
      <c r="D112" t="inlineStr">
        <is>
          <t>Absolute year-on-year change in NOWC.</t>
        </is>
      </c>
      <c r="E112" t="inlineStr">
        <is>
          <t>working_capital.nowc_change.2024-01-28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C15</t>
        </is>
      </c>
      <c r="I112">
        <f>C9-B9</f>
        <v/>
      </c>
      <c r="J112" t="n">
        <v>-273054</v>
      </c>
      <c r="K112" t="n">
        <v>0.01</v>
      </c>
      <c r="M112" t="inlineStr">
        <is>
          <t>Positive Change in NOWC means additional operating working capital is tied up; negative Change in NOWC means a release.|Do not call the movement good or bad without examining why it occurred.</t>
        </is>
      </c>
      <c r="O112" t="inlineStr">
        <is>
          <t>pending</t>
        </is>
      </c>
      <c r="P112" t="inlineStr">
        <is>
          <t>nowc_change</t>
        </is>
      </c>
      <c r="Q112" t="n">
        <v>39</v>
      </c>
      <c r="R112" t="n">
        <v>1</v>
      </c>
      <c r="S112" t="inlineStr">
        <is>
          <t>2024-01-28</t>
        </is>
      </c>
    </row>
    <row r="113">
      <c r="A113" t="inlineStr">
        <is>
          <t>nowc_change__20250202</t>
        </is>
      </c>
      <c r="B113" t="n">
        <v>112</v>
      </c>
      <c r="C113" t="inlineStr">
        <is>
          <t>Change in NOWC</t>
        </is>
      </c>
      <c r="D113" t="inlineStr">
        <is>
          <t>Absolute year-on-year change in NOWC.</t>
        </is>
      </c>
      <c r="E113" t="inlineStr">
        <is>
          <t>working_capital.nowc_change.2025-02-02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D15</t>
        </is>
      </c>
      <c r="I113">
        <f>D9-C9</f>
        <v/>
      </c>
      <c r="J113" t="n">
        <v>12739</v>
      </c>
      <c r="K113" t="n">
        <v>0.01</v>
      </c>
      <c r="M113" t="inlineStr">
        <is>
          <t>Positive Change in NOWC means additional operating working capital is tied up; negative Change in NOWC means a release.|Do not call the movement good or bad without examining why it occurred.</t>
        </is>
      </c>
      <c r="O113" t="inlineStr">
        <is>
          <t>pending</t>
        </is>
      </c>
      <c r="P113" t="inlineStr">
        <is>
          <t>nowc_change</t>
        </is>
      </c>
      <c r="Q113" t="n">
        <v>39</v>
      </c>
      <c r="R113" t="n">
        <v>2</v>
      </c>
      <c r="S113" t="inlineStr">
        <is>
          <t>2025-02-02</t>
        </is>
      </c>
    </row>
    <row r="114">
      <c r="A114" t="inlineStr">
        <is>
          <t>nowc_change__20260201</t>
        </is>
      </c>
      <c r="B114" t="n">
        <v>113</v>
      </c>
      <c r="C114" t="inlineStr">
        <is>
          <t>Change in NOWC</t>
        </is>
      </c>
      <c r="D114" t="inlineStr">
        <is>
          <t>Absolute year-on-year change in NOWC.</t>
        </is>
      </c>
      <c r="E114" t="inlineStr">
        <is>
          <t>working_capital.nowc_change.2026-02-01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E15</t>
        </is>
      </c>
      <c r="I114">
        <f>E9-D9</f>
        <v/>
      </c>
      <c r="J114" t="n">
        <v>435185</v>
      </c>
      <c r="K114" t="n">
        <v>0.01</v>
      </c>
      <c r="M114" t="inlineStr">
        <is>
          <t>Positive Change in NOWC means additional operating working capital is tied up; negative Change in NOWC means a release.|Do not call the movement good or bad without examining why it occurred.</t>
        </is>
      </c>
      <c r="O114" t="inlineStr">
        <is>
          <t>pending</t>
        </is>
      </c>
      <c r="P114" t="inlineStr">
        <is>
          <t>nowc_change</t>
        </is>
      </c>
      <c r="Q114" t="n">
        <v>39</v>
      </c>
      <c r="R114" t="n">
        <v>3</v>
      </c>
      <c r="S114" t="inlineStr">
        <is>
          <t>2026-02-01</t>
        </is>
      </c>
    </row>
    <row r="115">
      <c r="A115" t="inlineStr">
        <is>
          <t>incremental_nowc_to_revenue_change__20240128</t>
        </is>
      </c>
      <c r="B115" t="n">
        <v>114</v>
      </c>
      <c r="C115" t="inlineStr">
        <is>
          <t>Incremental NOWC / Change in Revenue</t>
        </is>
      </c>
      <c r="D115" t="inlineStr">
        <is>
          <t>Change in NOWC divided by Change in Revenue.</t>
        </is>
      </c>
      <c r="E115" t="inlineStr">
        <is>
          <t>working_capital.incremental_nowc_to_revenue_change.2024-01-28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C16</t>
        </is>
      </c>
      <c r="I115">
        <f>IF(C14=0,NA(),C15/C14)</f>
        <v/>
      </c>
      <c r="J115" t="n">
        <v>-0.1809790821601845</v>
      </c>
      <c r="K115" t="n">
        <v>0.01</v>
      </c>
      <c r="L115" t="inlineStr">
        <is>
          <t>nowc_change__20240128,revenue_change__20240128</t>
        </is>
      </c>
      <c r="M11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5" t="inlineStr">
        <is>
          <t>pending</t>
        </is>
      </c>
      <c r="P115" t="inlineStr">
        <is>
          <t>incremental_nowc_to_revenue_change</t>
        </is>
      </c>
      <c r="Q115" t="n">
        <v>40</v>
      </c>
      <c r="R115" t="n">
        <v>1</v>
      </c>
      <c r="S115" t="inlineStr">
        <is>
          <t>2024-01-28</t>
        </is>
      </c>
    </row>
    <row r="116">
      <c r="A116" t="inlineStr">
        <is>
          <t>incremental_nowc_to_revenue_change__20250202</t>
        </is>
      </c>
      <c r="B116" t="n">
        <v>115</v>
      </c>
      <c r="C116" t="inlineStr">
        <is>
          <t>Incremental NOWC / Change in Revenue</t>
        </is>
      </c>
      <c r="D116" t="inlineStr">
        <is>
          <t>Change in NOWC divided by Change in Revenue.</t>
        </is>
      </c>
      <c r="E116" t="inlineStr">
        <is>
          <t>working_capital.incremental_nowc_to_revenue_change.2025-02-02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D16</t>
        </is>
      </c>
      <c r="I116">
        <f>IF(D14=0,NA(),D15/D14)</f>
        <v/>
      </c>
      <c r="J116" t="n">
        <v>0.01314860535398742</v>
      </c>
      <c r="K116" t="n">
        <v>0.01</v>
      </c>
      <c r="L116" t="inlineStr">
        <is>
          <t>nowc_change__20250202,revenue_change__20250202</t>
        </is>
      </c>
      <c r="M11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6" t="inlineStr">
        <is>
          <t>pending</t>
        </is>
      </c>
      <c r="P116" t="inlineStr">
        <is>
          <t>incremental_nowc_to_revenue_change</t>
        </is>
      </c>
      <c r="Q116" t="n">
        <v>40</v>
      </c>
      <c r="R116" t="n">
        <v>2</v>
      </c>
      <c r="S116" t="inlineStr">
        <is>
          <t>2025-02-02</t>
        </is>
      </c>
    </row>
    <row r="117">
      <c r="A117" t="inlineStr">
        <is>
          <t>incremental_nowc_to_revenue_change__20260201</t>
        </is>
      </c>
      <c r="B117" t="n">
        <v>116</v>
      </c>
      <c r="C117" t="inlineStr">
        <is>
          <t>Incremental NOWC / Change in Revenue</t>
        </is>
      </c>
      <c r="D117" t="inlineStr">
        <is>
          <t>Change in NOWC divided by Change in Revenue.</t>
        </is>
      </c>
      <c r="E117" t="inlineStr">
        <is>
          <t>working_capital.incremental_nowc_to_revenue_change.2026-02-01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E16</t>
        </is>
      </c>
      <c r="I117">
        <f>IF(E14=0,NA(),E15/E14)</f>
        <v/>
      </c>
      <c r="J117" t="n">
        <v>0.8458833682557331</v>
      </c>
      <c r="K117" t="n">
        <v>0.01</v>
      </c>
      <c r="L117" t="inlineStr">
        <is>
          <t>nowc_change__20260201,revenue_change__20260201</t>
        </is>
      </c>
      <c r="M11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7" t="inlineStr">
        <is>
          <t>pending</t>
        </is>
      </c>
      <c r="P117" t="inlineStr">
        <is>
          <t>incremental_nowc_to_revenue_change</t>
        </is>
      </c>
      <c r="Q117" t="n">
        <v>40</v>
      </c>
      <c r="R117" t="n">
        <v>3</v>
      </c>
      <c r="S117" t="inlineStr">
        <is>
          <t>2026-02-01</t>
        </is>
      </c>
    </row>
    <row r="118">
      <c r="A118" t="inlineStr">
        <is>
          <t>owca_change__20240128</t>
        </is>
      </c>
      <c r="B118" t="n">
        <v>117</v>
      </c>
      <c r="C118" t="inlineStr">
        <is>
          <t>Change in Operating Working Capital Assets</t>
        </is>
      </c>
      <c r="D118" t="inlineStr">
        <is>
          <t>Absolute year-on-year change in OWCA.</t>
        </is>
      </c>
      <c r="E118" t="inlineStr">
        <is>
          <t>working_capital.owca_change.2024-01-28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C19</t>
        </is>
      </c>
      <c r="I118">
        <f>C7-B7</f>
        <v/>
      </c>
      <c r="J118" t="n">
        <v>-187980</v>
      </c>
      <c r="K118" t="n">
        <v>0.01</v>
      </c>
      <c r="L118" t="inlineStr">
        <is>
          <t>owca_agg__20240128,owca_agg__20230129</t>
        </is>
      </c>
      <c r="M11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8" t="inlineStr">
        <is>
          <t>pending</t>
        </is>
      </c>
      <c r="P118" t="inlineStr">
        <is>
          <t>owca_change</t>
        </is>
      </c>
      <c r="Q118" t="n">
        <v>41</v>
      </c>
      <c r="R118" t="n">
        <v>1</v>
      </c>
      <c r="S118" t="inlineStr">
        <is>
          <t>2024-01-28</t>
        </is>
      </c>
    </row>
    <row r="119">
      <c r="A119" t="inlineStr">
        <is>
          <t>owca_change__20250202</t>
        </is>
      </c>
      <c r="B119" t="n">
        <v>118</v>
      </c>
      <c r="C119" t="inlineStr">
        <is>
          <t>Change in Operating Working Capital Assets</t>
        </is>
      </c>
      <c r="D119" t="inlineStr">
        <is>
          <t>Absolute year-on-year change in OWCA.</t>
        </is>
      </c>
      <c r="E119" t="inlineStr">
        <is>
          <t>working_capital.owca_change.2025-02-02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D19</t>
        </is>
      </c>
      <c r="I119">
        <f>D7-C7</f>
        <v/>
      </c>
      <c r="J119" t="n">
        <v>179360</v>
      </c>
      <c r="K119" t="n">
        <v>0.01</v>
      </c>
      <c r="L119" t="inlineStr">
        <is>
          <t>owca_agg__20250202,owca_agg__20240128</t>
        </is>
      </c>
      <c r="M119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9" t="inlineStr">
        <is>
          <t>pending</t>
        </is>
      </c>
      <c r="P119" t="inlineStr">
        <is>
          <t>owca_change</t>
        </is>
      </c>
      <c r="Q119" t="n">
        <v>41</v>
      </c>
      <c r="R119" t="n">
        <v>2</v>
      </c>
      <c r="S119" t="inlineStr">
        <is>
          <t>2025-02-02</t>
        </is>
      </c>
    </row>
    <row r="120">
      <c r="A120" t="inlineStr">
        <is>
          <t>owca_change__20260201</t>
        </is>
      </c>
      <c r="B120" t="n">
        <v>119</v>
      </c>
      <c r="C120" t="inlineStr">
        <is>
          <t>Change in Operating Working Capital Assets</t>
        </is>
      </c>
      <c r="D120" t="inlineStr">
        <is>
          <t>Absolute year-on-year change in OWCA.</t>
        </is>
      </c>
      <c r="E120" t="inlineStr">
        <is>
          <t>working_capital.owca_change.2026-02-01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E19</t>
        </is>
      </c>
      <c r="I120">
        <f>E7-D7</f>
        <v/>
      </c>
      <c r="J120" t="n">
        <v>459533</v>
      </c>
      <c r="K120" t="n">
        <v>0.01</v>
      </c>
      <c r="L120" t="inlineStr">
        <is>
          <t>owca_agg__20260201,owca_agg__20250202</t>
        </is>
      </c>
      <c r="M12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20" t="inlineStr">
        <is>
          <t>pending</t>
        </is>
      </c>
      <c r="P120" t="inlineStr">
        <is>
          <t>owca_change</t>
        </is>
      </c>
      <c r="Q120" t="n">
        <v>41</v>
      </c>
      <c r="R120" t="n">
        <v>3</v>
      </c>
      <c r="S120" t="inlineStr">
        <is>
          <t>2026-02-01</t>
        </is>
      </c>
    </row>
    <row r="121">
      <c r="A121" t="inlineStr">
        <is>
          <t>owcl_change__20240128</t>
        </is>
      </c>
      <c r="B121" t="n">
        <v>120</v>
      </c>
      <c r="C121" t="inlineStr">
        <is>
          <t>Change in Operating Working Capital Liabilities</t>
        </is>
      </c>
      <c r="D121" t="inlineStr">
        <is>
          <t>Absolute year-on-year change in OWCL.</t>
        </is>
      </c>
      <c r="E121" t="inlineStr">
        <is>
          <t>working_capital.owcl_change.2024-01-28</t>
        </is>
      </c>
      <c r="F121" t="inlineStr">
        <is>
          <t>working_capital</t>
        </is>
      </c>
      <c r="G121" t="inlineStr">
        <is>
          <t>Working Capital Analysis</t>
        </is>
      </c>
      <c r="H121" t="inlineStr">
        <is>
          <t>C20</t>
        </is>
      </c>
      <c r="I121">
        <f>C8-B8</f>
        <v/>
      </c>
      <c r="J121" t="n">
        <v>85074</v>
      </c>
      <c r="K121" t="n">
        <v>0.01</v>
      </c>
      <c r="L121" t="inlineStr">
        <is>
          <t>owcl_agg__20240128,owcl_agg__20230129</t>
        </is>
      </c>
      <c r="M12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1" t="inlineStr">
        <is>
          <t>pending</t>
        </is>
      </c>
      <c r="P121" t="inlineStr">
        <is>
          <t>owcl_change</t>
        </is>
      </c>
      <c r="Q121" t="n">
        <v>42</v>
      </c>
      <c r="R121" t="n">
        <v>1</v>
      </c>
      <c r="S121" t="inlineStr">
        <is>
          <t>2024-01-28</t>
        </is>
      </c>
    </row>
    <row r="122">
      <c r="A122" t="inlineStr">
        <is>
          <t>owcl_change__20250202</t>
        </is>
      </c>
      <c r="B122" t="n">
        <v>121</v>
      </c>
      <c r="C122" t="inlineStr">
        <is>
          <t>Change in Operating Working Capital Liabilities</t>
        </is>
      </c>
      <c r="D122" t="inlineStr">
        <is>
          <t>Absolute year-on-year change in OWCL.</t>
        </is>
      </c>
      <c r="E122" t="inlineStr">
        <is>
          <t>working_capital.owcl_change.2025-02-02</t>
        </is>
      </c>
      <c r="F122" t="inlineStr">
        <is>
          <t>working_capital</t>
        </is>
      </c>
      <c r="G122" t="inlineStr">
        <is>
          <t>Working Capital Analysis</t>
        </is>
      </c>
      <c r="H122" t="inlineStr">
        <is>
          <t>D20</t>
        </is>
      </c>
      <c r="I122">
        <f>D8-C8</f>
        <v/>
      </c>
      <c r="J122" t="n">
        <v>166621</v>
      </c>
      <c r="K122" t="n">
        <v>0.01</v>
      </c>
      <c r="L122" t="inlineStr">
        <is>
          <t>owcl_agg__20250202,owcl_agg__20240128</t>
        </is>
      </c>
      <c r="M122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2" t="inlineStr">
        <is>
          <t>pending</t>
        </is>
      </c>
      <c r="P122" t="inlineStr">
        <is>
          <t>owcl_change</t>
        </is>
      </c>
      <c r="Q122" t="n">
        <v>42</v>
      </c>
      <c r="R122" t="n">
        <v>2</v>
      </c>
      <c r="S122" t="inlineStr">
        <is>
          <t>2025-02-02</t>
        </is>
      </c>
    </row>
    <row r="123">
      <c r="A123" t="inlineStr">
        <is>
          <t>owcl_change__20260201</t>
        </is>
      </c>
      <c r="B123" t="n">
        <v>122</v>
      </c>
      <c r="C123" t="inlineStr">
        <is>
          <t>Change in Operating Working Capital Liabilities</t>
        </is>
      </c>
      <c r="D123" t="inlineStr">
        <is>
          <t>Absolute year-on-year change in OWCL.</t>
        </is>
      </c>
      <c r="E123" t="inlineStr">
        <is>
          <t>working_capital.owcl_change.2026-02-01</t>
        </is>
      </c>
      <c r="F123" t="inlineStr">
        <is>
          <t>working_capital</t>
        </is>
      </c>
      <c r="G123" t="inlineStr">
        <is>
          <t>Working Capital Analysis</t>
        </is>
      </c>
      <c r="H123" t="inlineStr">
        <is>
          <t>E20</t>
        </is>
      </c>
      <c r="I123">
        <f>E8-D8</f>
        <v/>
      </c>
      <c r="J123" t="n">
        <v>24348</v>
      </c>
      <c r="K123" t="n">
        <v>0.01</v>
      </c>
      <c r="L123" t="inlineStr">
        <is>
          <t>owcl_agg__20260201,owcl_agg__20250202</t>
        </is>
      </c>
      <c r="M123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3" t="inlineStr">
        <is>
          <t>pending</t>
        </is>
      </c>
      <c r="P123" t="inlineStr">
        <is>
          <t>owcl_change</t>
        </is>
      </c>
      <c r="Q123" t="n">
        <v>42</v>
      </c>
      <c r="R123" t="n">
        <v>3</v>
      </c>
      <c r="S123" t="inlineStr">
        <is>
          <t>2026-02-01</t>
        </is>
      </c>
    </row>
    <row r="124">
      <c r="A124" t="inlineStr">
        <is>
          <t>nowc_change_from_components__20240128</t>
        </is>
      </c>
      <c r="B124" t="n">
        <v>123</v>
      </c>
      <c r="C124" t="inlineStr">
        <is>
          <t>Change in NOWC from OWCA / OWCL bridge</t>
        </is>
      </c>
      <c r="D124" t="inlineStr">
        <is>
          <t>Change in OWCA minus Change in OWCL.</t>
        </is>
      </c>
      <c r="E124" t="inlineStr">
        <is>
          <t>working_capital.nowc_change_from_components.2024-01-28</t>
        </is>
      </c>
      <c r="F124" t="inlineStr">
        <is>
          <t>working_capital</t>
        </is>
      </c>
      <c r="G124" t="inlineStr">
        <is>
          <t>Working Capital Analysis</t>
        </is>
      </c>
      <c r="H124" t="inlineStr">
        <is>
          <t>C21</t>
        </is>
      </c>
      <c r="I124">
        <f>C19-C20</f>
        <v/>
      </c>
      <c r="J124" t="n">
        <v>-273054</v>
      </c>
      <c r="K124" t="n">
        <v>0.01</v>
      </c>
      <c r="L124" t="inlineStr">
        <is>
          <t>owca_change__20240128,owcl_change__20240128</t>
        </is>
      </c>
      <c r="M12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4" t="inlineStr">
        <is>
          <t>pending</t>
        </is>
      </c>
      <c r="P124" t="inlineStr">
        <is>
          <t>nowc_change_from_components</t>
        </is>
      </c>
      <c r="Q124" t="n">
        <v>43</v>
      </c>
      <c r="R124" t="n">
        <v>1</v>
      </c>
      <c r="S124" t="inlineStr">
        <is>
          <t>2024-01-28</t>
        </is>
      </c>
    </row>
    <row r="125">
      <c r="A125" t="inlineStr">
        <is>
          <t>nowc_change_from_components__20250202</t>
        </is>
      </c>
      <c r="B125" t="n">
        <v>124</v>
      </c>
      <c r="C125" t="inlineStr">
        <is>
          <t>Change in NOWC from OWCA / OWCL bridge</t>
        </is>
      </c>
      <c r="D125" t="inlineStr">
        <is>
          <t>Change in OWCA minus Change in OWCL.</t>
        </is>
      </c>
      <c r="E125" t="inlineStr">
        <is>
          <t>working_capital.nowc_change_from_components.2025-02-02</t>
        </is>
      </c>
      <c r="F125" t="inlineStr">
        <is>
          <t>working_capital</t>
        </is>
      </c>
      <c r="G125" t="inlineStr">
        <is>
          <t>Working Capital Analysis</t>
        </is>
      </c>
      <c r="H125" t="inlineStr">
        <is>
          <t>D21</t>
        </is>
      </c>
      <c r="I125">
        <f>D19-D20</f>
        <v/>
      </c>
      <c r="J125" t="n">
        <v>12739</v>
      </c>
      <c r="K125" t="n">
        <v>0.01</v>
      </c>
      <c r="L125" t="inlineStr">
        <is>
          <t>owca_change__20250202,owcl_change__20250202</t>
        </is>
      </c>
      <c r="M125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5" t="inlineStr">
        <is>
          <t>pending</t>
        </is>
      </c>
      <c r="P125" t="inlineStr">
        <is>
          <t>nowc_change_from_components</t>
        </is>
      </c>
      <c r="Q125" t="n">
        <v>43</v>
      </c>
      <c r="R125" t="n">
        <v>2</v>
      </c>
      <c r="S125" t="inlineStr">
        <is>
          <t>2025-02-02</t>
        </is>
      </c>
    </row>
    <row r="126">
      <c r="A126" t="inlineStr">
        <is>
          <t>nowc_change_from_components__20260201</t>
        </is>
      </c>
      <c r="B126" t="n">
        <v>125</v>
      </c>
      <c r="C126" t="inlineStr">
        <is>
          <t>Change in NOWC from OWCA / OWCL bridge</t>
        </is>
      </c>
      <c r="D126" t="inlineStr">
        <is>
          <t>Change in OWCA minus Change in OWCL.</t>
        </is>
      </c>
      <c r="E126" t="inlineStr">
        <is>
          <t>working_capital.nowc_change_from_components.2026-02-01</t>
        </is>
      </c>
      <c r="F126" t="inlineStr">
        <is>
          <t>working_capital</t>
        </is>
      </c>
      <c r="G126" t="inlineStr">
        <is>
          <t>Working Capital Analysis</t>
        </is>
      </c>
      <c r="H126" t="inlineStr">
        <is>
          <t>E21</t>
        </is>
      </c>
      <c r="I126">
        <f>E19-E20</f>
        <v/>
      </c>
      <c r="J126" t="n">
        <v>435185</v>
      </c>
      <c r="K126" t="n">
        <v>0.01</v>
      </c>
      <c r="L126" t="inlineStr">
        <is>
          <t>owca_change__20260201,owcl_change__20260201</t>
        </is>
      </c>
      <c r="M126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6" t="inlineStr">
        <is>
          <t>pending</t>
        </is>
      </c>
      <c r="P126" t="inlineStr">
        <is>
          <t>nowc_change_from_components</t>
        </is>
      </c>
      <c r="Q126" t="n">
        <v>43</v>
      </c>
      <c r="R126" t="n">
        <v>3</v>
      </c>
      <c r="S126" t="inlineStr">
        <is>
          <t>2026-02-01</t>
        </is>
      </c>
    </row>
    <row r="127">
      <c r="A127" t="inlineStr">
        <is>
          <t>incremental_owca_to_revenue_change__20240128</t>
        </is>
      </c>
      <c r="B127" t="n">
        <v>126</v>
      </c>
      <c r="C127" t="inlineStr">
        <is>
          <t>Incremental OWCA / Change in Revenue</t>
        </is>
      </c>
      <c r="D127" t="inlineStr">
        <is>
          <t>Change in OWCA divided by Change in Revenue.</t>
        </is>
      </c>
      <c r="E127" t="inlineStr">
        <is>
          <t>working_capital.incremental_owca_to_revenue_change.2024-01-28</t>
        </is>
      </c>
      <c r="F127" t="inlineStr">
        <is>
          <t>working_capital</t>
        </is>
      </c>
      <c r="G127" t="inlineStr">
        <is>
          <t>Working Capital Analysis</t>
        </is>
      </c>
      <c r="H127" t="inlineStr">
        <is>
          <t>C22</t>
        </is>
      </c>
      <c r="I127">
        <f>IF(C14=0,NA(),C19/C14)</f>
        <v/>
      </c>
      <c r="J127" t="n">
        <v>-0.1245923804978923</v>
      </c>
      <c r="K127" t="n">
        <v>0.01</v>
      </c>
      <c r="L127" t="inlineStr">
        <is>
          <t>owca_change__20240128,revenue_change__20240128</t>
        </is>
      </c>
      <c r="M12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7" t="inlineStr">
        <is>
          <t>pending</t>
        </is>
      </c>
      <c r="P127" t="inlineStr">
        <is>
          <t>incremental_owca_to_revenue_change</t>
        </is>
      </c>
      <c r="Q127" t="n">
        <v>44</v>
      </c>
      <c r="R127" t="n">
        <v>1</v>
      </c>
      <c r="S127" t="inlineStr">
        <is>
          <t>2024-01-28</t>
        </is>
      </c>
    </row>
    <row r="128">
      <c r="A128" t="inlineStr">
        <is>
          <t>incremental_owca_to_revenue_change__20250202</t>
        </is>
      </c>
      <c r="B128" t="n">
        <v>127</v>
      </c>
      <c r="C128" t="inlineStr">
        <is>
          <t>Incremental OWCA / Change in Revenue</t>
        </is>
      </c>
      <c r="D128" t="inlineStr">
        <is>
          <t>Change in OWCA divided by Change in Revenue.</t>
        </is>
      </c>
      <c r="E128" t="inlineStr">
        <is>
          <t>working_capital.incremental_owca_to_revenue_change.2025-02-02</t>
        </is>
      </c>
      <c r="F128" t="inlineStr">
        <is>
          <t>working_capital</t>
        </is>
      </c>
      <c r="G128" t="inlineStr">
        <is>
          <t>Working Capital Analysis</t>
        </is>
      </c>
      <c r="H128" t="inlineStr">
        <is>
          <t>D22</t>
        </is>
      </c>
      <c r="I128">
        <f>IF(D14=0,NA(),D19/D14)</f>
        <v/>
      </c>
      <c r="J128" t="n">
        <v>0.1851270787574522</v>
      </c>
      <c r="K128" t="n">
        <v>0.01</v>
      </c>
      <c r="L128" t="inlineStr">
        <is>
          <t>owca_change__20250202,revenue_change__20250202</t>
        </is>
      </c>
      <c r="M128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8" t="inlineStr">
        <is>
          <t>pending</t>
        </is>
      </c>
      <c r="P128" t="inlineStr">
        <is>
          <t>incremental_owca_to_revenue_change</t>
        </is>
      </c>
      <c r="Q128" t="n">
        <v>44</v>
      </c>
      <c r="R128" t="n">
        <v>2</v>
      </c>
      <c r="S128" t="inlineStr">
        <is>
          <t>2025-02-02</t>
        </is>
      </c>
    </row>
    <row r="129">
      <c r="A129" t="inlineStr">
        <is>
          <t>incremental_owca_to_revenue_change__20260201</t>
        </is>
      </c>
      <c r="B129" t="n">
        <v>128</v>
      </c>
      <c r="C129" t="inlineStr">
        <is>
          <t>Incremental OWCA / Change in Revenue</t>
        </is>
      </c>
      <c r="D129" t="inlineStr">
        <is>
          <t>Change in OWCA divided by Change in Revenue.</t>
        </is>
      </c>
      <c r="E129" t="inlineStr">
        <is>
          <t>working_capital.incremental_owca_to_revenue_change.2026-02-01</t>
        </is>
      </c>
      <c r="F129" t="inlineStr">
        <is>
          <t>working_capital</t>
        </is>
      </c>
      <c r="G129" t="inlineStr">
        <is>
          <t>Working Capital Analysis</t>
        </is>
      </c>
      <c r="H129" t="inlineStr">
        <is>
          <t>E22</t>
        </is>
      </c>
      <c r="I129">
        <f>IF(E14=0,NA(),E19/E14)</f>
        <v/>
      </c>
      <c r="J129" t="n">
        <v>0.8932093750121484</v>
      </c>
      <c r="K129" t="n">
        <v>0.01</v>
      </c>
      <c r="L129" t="inlineStr">
        <is>
          <t>owca_change__20260201,revenue_change__20260201</t>
        </is>
      </c>
      <c r="M129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9" t="inlineStr">
        <is>
          <t>pending</t>
        </is>
      </c>
      <c r="P129" t="inlineStr">
        <is>
          <t>incremental_owca_to_revenue_change</t>
        </is>
      </c>
      <c r="Q129" t="n">
        <v>44</v>
      </c>
      <c r="R129" t="n">
        <v>3</v>
      </c>
      <c r="S129" t="inlineStr">
        <is>
          <t>2026-02-01</t>
        </is>
      </c>
    </row>
    <row r="130">
      <c r="A130" t="inlineStr">
        <is>
          <t>incremental_owcl_to_revenue_change__20240128</t>
        </is>
      </c>
      <c r="B130" t="n">
        <v>129</v>
      </c>
      <c r="C130" t="inlineStr">
        <is>
          <t>Incremental OWCL / Change in Revenue</t>
        </is>
      </c>
      <c r="D130" t="inlineStr">
        <is>
          <t>Change in OWCL divided by Change in Revenue.</t>
        </is>
      </c>
      <c r="E130" t="inlineStr">
        <is>
          <t>working_capital.incremental_owcl_to_revenue_change.2024-01-28</t>
        </is>
      </c>
      <c r="F130" t="inlineStr">
        <is>
          <t>working_capital</t>
        </is>
      </c>
      <c r="G130" t="inlineStr">
        <is>
          <t>Working Capital Analysis</t>
        </is>
      </c>
      <c r="H130" t="inlineStr">
        <is>
          <t>C23</t>
        </is>
      </c>
      <c r="I130">
        <f>IF(C14=0,NA(),C20/C14)</f>
        <v/>
      </c>
      <c r="J130" t="n">
        <v>0.05638670166229221</v>
      </c>
      <c r="K130" t="n">
        <v>0.01</v>
      </c>
      <c r="L130" t="inlineStr">
        <is>
          <t>owcl_change__20240128,revenue_change__20240128</t>
        </is>
      </c>
      <c r="M13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0" t="inlineStr">
        <is>
          <t>pending</t>
        </is>
      </c>
      <c r="P130" t="inlineStr">
        <is>
          <t>incremental_owcl_to_revenue_change</t>
        </is>
      </c>
      <c r="Q130" t="n">
        <v>45</v>
      </c>
      <c r="R130" t="n">
        <v>1</v>
      </c>
      <c r="S130" t="inlineStr">
        <is>
          <t>2024-01-28</t>
        </is>
      </c>
    </row>
    <row r="131">
      <c r="A131" t="inlineStr">
        <is>
          <t>incremental_owcl_to_revenue_change__20250202</t>
        </is>
      </c>
      <c r="B131" t="n">
        <v>130</v>
      </c>
      <c r="C131" t="inlineStr">
        <is>
          <t>Incremental OWCL / Change in Revenue</t>
        </is>
      </c>
      <c r="D131" t="inlineStr">
        <is>
          <t>Change in OWCL divided by Change in Revenue.</t>
        </is>
      </c>
      <c r="E131" t="inlineStr">
        <is>
          <t>working_capital.incremental_owcl_to_revenue_change.2025-02-02</t>
        </is>
      </c>
      <c r="F131" t="inlineStr">
        <is>
          <t>working_capital</t>
        </is>
      </c>
      <c r="G131" t="inlineStr">
        <is>
          <t>Working Capital Analysis</t>
        </is>
      </c>
      <c r="H131" t="inlineStr">
        <is>
          <t>D23</t>
        </is>
      </c>
      <c r="I131">
        <f>IF(D14=0,NA(),D20/D14)</f>
        <v/>
      </c>
      <c r="J131" t="n">
        <v>0.1719784734034647</v>
      </c>
      <c r="K131" t="n">
        <v>0.01</v>
      </c>
      <c r="L131" t="inlineStr">
        <is>
          <t>owcl_change__20250202,revenue_change__20250202</t>
        </is>
      </c>
      <c r="M131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1" t="inlineStr">
        <is>
          <t>pending</t>
        </is>
      </c>
      <c r="P131" t="inlineStr">
        <is>
          <t>incremental_owcl_to_revenue_change</t>
        </is>
      </c>
      <c r="Q131" t="n">
        <v>45</v>
      </c>
      <c r="R131" t="n">
        <v>2</v>
      </c>
      <c r="S131" t="inlineStr">
        <is>
          <t>2025-02-02</t>
        </is>
      </c>
    </row>
    <row r="132">
      <c r="A132" t="inlineStr">
        <is>
          <t>incremental_owcl_to_revenue_change__20260201</t>
        </is>
      </c>
      <c r="B132" t="n">
        <v>131</v>
      </c>
      <c r="C132" t="inlineStr">
        <is>
          <t>Incremental OWCL / Change in Revenue</t>
        </is>
      </c>
      <c r="D132" t="inlineStr">
        <is>
          <t>Change in OWCL divided by Change in Revenue.</t>
        </is>
      </c>
      <c r="E132" t="inlineStr">
        <is>
          <t>working_capital.incremental_owcl_to_revenue_change.2026-02-01</t>
        </is>
      </c>
      <c r="F132" t="inlineStr">
        <is>
          <t>working_capital</t>
        </is>
      </c>
      <c r="G132" t="inlineStr">
        <is>
          <t>Working Capital Analysis</t>
        </is>
      </c>
      <c r="H132" t="inlineStr">
        <is>
          <t>E23</t>
        </is>
      </c>
      <c r="I132">
        <f>IF(E14=0,NA(),E20/E14)</f>
        <v/>
      </c>
      <c r="J132" t="n">
        <v>0.04732600675641529</v>
      </c>
      <c r="K132" t="n">
        <v>0.01</v>
      </c>
      <c r="L132" t="inlineStr">
        <is>
          <t>owcl_change__20260201,revenue_change__20260201</t>
        </is>
      </c>
      <c r="M132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2" t="inlineStr">
        <is>
          <t>pending</t>
        </is>
      </c>
      <c r="P132" t="inlineStr">
        <is>
          <t>incremental_owcl_to_revenue_change</t>
        </is>
      </c>
      <c r="Q132" t="n">
        <v>45</v>
      </c>
      <c r="R132" t="n">
        <v>3</v>
      </c>
      <c r="S132" t="inlineStr">
        <is>
          <t>2026-02-01</t>
        </is>
      </c>
    </row>
    <row r="133">
      <c r="A133" t="inlineStr">
        <is>
          <t>average_noa__20240128</t>
        </is>
      </c>
      <c r="B133" t="n">
        <v>132</v>
      </c>
      <c r="C133" t="inlineStr">
        <is>
          <t>Average Net Operating Assets</t>
        </is>
      </c>
      <c r="D133" t="inlineStr">
        <is>
          <t>Average beginning and ending NOA for the comparable period.</t>
        </is>
      </c>
      <c r="E133" t="inlineStr">
        <is>
          <t>profitability.average_noa.2024-01-28</t>
        </is>
      </c>
      <c r="F133" t="inlineStr">
        <is>
          <t>profitability_driver</t>
        </is>
      </c>
      <c r="G133" t="inlineStr">
        <is>
          <t>ALT DuPont</t>
        </is>
      </c>
      <c r="H133" t="inlineStr">
        <is>
          <t>C15</t>
        </is>
      </c>
      <c r="I133">
        <f>('Condensed Financials'!B50+'Condensed Financials'!C50)/2</f>
        <v/>
      </c>
      <c r="J133" t="n">
        <v>1991021</v>
      </c>
      <c r="K133" t="n">
        <v>0.01</v>
      </c>
      <c r="L133" t="inlineStr">
        <is>
          <t>noa_agg__20240128,noa_agg__20230129</t>
        </is>
      </c>
      <c r="M133" t="inlineStr">
        <is>
          <t>Average NOA = (Beginning NOA + Ending NOA) / 2.|Use the same Average NOA denominator as direct RNOA.</t>
        </is>
      </c>
      <c r="O133" t="inlineStr">
        <is>
          <t>pending</t>
        </is>
      </c>
      <c r="P133" t="inlineStr">
        <is>
          <t>average_noa</t>
        </is>
      </c>
      <c r="Q133" t="n">
        <v>46</v>
      </c>
      <c r="R133" t="n">
        <v>1</v>
      </c>
      <c r="S133" t="inlineStr">
        <is>
          <t>2024-01-28</t>
        </is>
      </c>
    </row>
    <row r="134">
      <c r="A134" t="inlineStr">
        <is>
          <t>average_noa__20250202</t>
        </is>
      </c>
      <c r="B134" t="n">
        <v>133</v>
      </c>
      <c r="C134" t="inlineStr">
        <is>
          <t>Average Net Operating Assets</t>
        </is>
      </c>
      <c r="D134" t="inlineStr">
        <is>
          <t>Average beginning and ending NOA for the comparable period.</t>
        </is>
      </c>
      <c r="E134" t="inlineStr">
        <is>
          <t>profitability.average_noa.2025-02-02</t>
        </is>
      </c>
      <c r="F134" t="inlineStr">
        <is>
          <t>profitability_driver</t>
        </is>
      </c>
      <c r="G134" t="inlineStr">
        <is>
          <t>ALT DuPont</t>
        </is>
      </c>
      <c r="H134" t="inlineStr">
        <is>
          <t>D15</t>
        </is>
      </c>
      <c r="I134">
        <f>('Condensed Financials'!C50+'Condensed Financials'!D50)/2</f>
        <v/>
      </c>
      <c r="J134" t="n">
        <v>2163910.5</v>
      </c>
      <c r="K134" t="n">
        <v>0.01</v>
      </c>
      <c r="L134" t="inlineStr">
        <is>
          <t>noa_agg__20250202,noa_agg__20240128</t>
        </is>
      </c>
      <c r="M134" t="inlineStr">
        <is>
          <t>Average NOA = (Beginning NOA + Ending NOA) / 2.|Use the same Average NOA denominator as direct RNOA.</t>
        </is>
      </c>
      <c r="O134" t="inlineStr">
        <is>
          <t>pending</t>
        </is>
      </c>
      <c r="P134" t="inlineStr">
        <is>
          <t>average_noa</t>
        </is>
      </c>
      <c r="Q134" t="n">
        <v>46</v>
      </c>
      <c r="R134" t="n">
        <v>2</v>
      </c>
      <c r="S134" t="inlineStr">
        <is>
          <t>2025-02-02</t>
        </is>
      </c>
    </row>
    <row r="135">
      <c r="A135" t="inlineStr">
        <is>
          <t>average_noa__20260201</t>
        </is>
      </c>
      <c r="B135" t="n">
        <v>134</v>
      </c>
      <c r="C135" t="inlineStr">
        <is>
          <t>Average Net Operating Assets</t>
        </is>
      </c>
      <c r="D135" t="inlineStr">
        <is>
          <t>Average beginning and ending NOA for the comparable period.</t>
        </is>
      </c>
      <c r="E135" t="inlineStr">
        <is>
          <t>profitability.average_noa.2026-02-01</t>
        </is>
      </c>
      <c r="F135" t="inlineStr">
        <is>
          <t>profitability_driver</t>
        </is>
      </c>
      <c r="G135" t="inlineStr">
        <is>
          <t>ALT DuPont</t>
        </is>
      </c>
      <c r="H135" t="inlineStr">
        <is>
          <t>E15</t>
        </is>
      </c>
      <c r="I135">
        <f>('Condensed Financials'!D50+'Condensed Financials'!E50)/2</f>
        <v/>
      </c>
      <c r="J135" t="n">
        <v>2747174.5</v>
      </c>
      <c r="K135" t="n">
        <v>0.01</v>
      </c>
      <c r="L135" t="inlineStr">
        <is>
          <t>noa_agg__20260201,noa_agg__20250202</t>
        </is>
      </c>
      <c r="M135" t="inlineStr">
        <is>
          <t>Average NOA = (Beginning NOA + Ending NOA) / 2.|Use the same Average NOA denominator as direct RNOA.</t>
        </is>
      </c>
      <c r="O135" t="inlineStr">
        <is>
          <t>pending</t>
        </is>
      </c>
      <c r="P135" t="inlineStr">
        <is>
          <t>average_noa</t>
        </is>
      </c>
      <c r="Q135" t="n">
        <v>46</v>
      </c>
      <c r="R135" t="n">
        <v>3</v>
      </c>
      <c r="S135" t="inlineStr">
        <is>
          <t>2026-02-01</t>
        </is>
      </c>
    </row>
    <row r="136">
      <c r="A136" t="inlineStr">
        <is>
          <t>noa_turnover__20240128</t>
        </is>
      </c>
      <c r="B136" t="n">
        <v>135</v>
      </c>
      <c r="C136" t="inlineStr">
        <is>
          <t>Net Operating Asset Turnover</t>
        </is>
      </c>
      <c r="D136" t="inlineStr">
        <is>
          <t>Revenue divided by Average NOA.</t>
        </is>
      </c>
      <c r="E136" t="inlineStr">
        <is>
          <t>profitability.noa_turnover.2024-01-28</t>
        </is>
      </c>
      <c r="F136" t="inlineStr">
        <is>
          <t>profitability_driver</t>
        </is>
      </c>
      <c r="G136" t="inlineStr">
        <is>
          <t>ALT DuPont</t>
        </is>
      </c>
      <c r="H136" t="inlineStr">
        <is>
          <t>C16</t>
        </is>
      </c>
      <c r="I136">
        <f>IF(C15=0,NA(),'Condensed Financials'!C34/C15)</f>
        <v/>
      </c>
      <c r="J136" t="n">
        <v>4.831329252679907</v>
      </c>
      <c r="K136" t="n">
        <v>0.01</v>
      </c>
      <c r="L136" t="inlineStr">
        <is>
          <t>revenue_link__20240128,average_noa__20240128</t>
        </is>
      </c>
      <c r="M13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6" t="inlineStr">
        <is>
          <t>pending</t>
        </is>
      </c>
      <c r="P136" t="inlineStr">
        <is>
          <t>noa_turnover</t>
        </is>
      </c>
      <c r="Q136" t="n">
        <v>47</v>
      </c>
      <c r="R136" t="n">
        <v>1</v>
      </c>
      <c r="S136" t="inlineStr">
        <is>
          <t>2024-01-28</t>
        </is>
      </c>
    </row>
    <row r="137">
      <c r="A137" t="inlineStr">
        <is>
          <t>noa_turnover__20250202</t>
        </is>
      </c>
      <c r="B137" t="n">
        <v>136</v>
      </c>
      <c r="C137" t="inlineStr">
        <is>
          <t>Net Operating Asset Turnover</t>
        </is>
      </c>
      <c r="D137" t="inlineStr">
        <is>
          <t>Revenue divided by Average NOA.</t>
        </is>
      </c>
      <c r="E137" t="inlineStr">
        <is>
          <t>profitability.noa_turnover.2025-02-02</t>
        </is>
      </c>
      <c r="F137" t="inlineStr">
        <is>
          <t>profitability_driver</t>
        </is>
      </c>
      <c r="G137" t="inlineStr">
        <is>
          <t>ALT DuPont</t>
        </is>
      </c>
      <c r="H137" t="inlineStr">
        <is>
          <t>D16</t>
        </is>
      </c>
      <c r="I137">
        <f>IF(D15=0,NA(),'Condensed Financials'!D34/D15)</f>
        <v/>
      </c>
      <c r="J137" t="n">
        <v>4.893051722795374</v>
      </c>
      <c r="K137" t="n">
        <v>0.01</v>
      </c>
      <c r="L137" t="inlineStr">
        <is>
          <t>revenue_link__20250202,average_noa__20250202</t>
        </is>
      </c>
      <c r="M13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7" t="inlineStr">
        <is>
          <t>pending</t>
        </is>
      </c>
      <c r="P137" t="inlineStr">
        <is>
          <t>noa_turnover</t>
        </is>
      </c>
      <c r="Q137" t="n">
        <v>47</v>
      </c>
      <c r="R137" t="n">
        <v>2</v>
      </c>
      <c r="S137" t="inlineStr">
        <is>
          <t>2025-02-02</t>
        </is>
      </c>
    </row>
    <row r="138">
      <c r="A138" t="inlineStr">
        <is>
          <t>noa_turnover__20260201</t>
        </is>
      </c>
      <c r="B138" t="n">
        <v>137</v>
      </c>
      <c r="C138" t="inlineStr">
        <is>
          <t>Net Operating Asset Turnover</t>
        </is>
      </c>
      <c r="D138" t="inlineStr">
        <is>
          <t>Revenue divided by Average NOA.</t>
        </is>
      </c>
      <c r="E138" t="inlineStr">
        <is>
          <t>profitability.noa_turnover.2026-02-01</t>
        </is>
      </c>
      <c r="F138" t="inlineStr">
        <is>
          <t>profitability_driver</t>
        </is>
      </c>
      <c r="G138" t="inlineStr">
        <is>
          <t>ALT DuPont</t>
        </is>
      </c>
      <c r="H138" t="inlineStr">
        <is>
          <t>E16</t>
        </is>
      </c>
      <c r="I138">
        <f>IF(E15=0,NA(),'Condensed Financials'!E34/E15)</f>
        <v/>
      </c>
      <c r="J138" t="n">
        <v>4.041461508906696</v>
      </c>
      <c r="K138" t="n">
        <v>0.01</v>
      </c>
      <c r="L138" t="inlineStr">
        <is>
          <t>revenue_link__20260201,average_noa__20260201</t>
        </is>
      </c>
      <c r="M138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8" t="inlineStr">
        <is>
          <t>pending</t>
        </is>
      </c>
      <c r="P138" t="inlineStr">
        <is>
          <t>noa_turnover</t>
        </is>
      </c>
      <c r="Q138" t="n">
        <v>47</v>
      </c>
      <c r="R138" t="n">
        <v>3</v>
      </c>
      <c r="S138" t="inlineStr">
        <is>
          <t>2026-02-01</t>
        </is>
      </c>
    </row>
    <row r="139">
      <c r="A139" t="inlineStr">
        <is>
          <t>noa_intensity__20240128</t>
        </is>
      </c>
      <c r="B139" t="n">
        <v>138</v>
      </c>
      <c r="C139" t="inlineStr">
        <is>
          <t>Net Operating Asset Intensity</t>
        </is>
      </c>
      <c r="D139" t="inlineStr">
        <is>
          <t>Average NOA divided by Revenue.</t>
        </is>
      </c>
      <c r="E139" t="inlineStr">
        <is>
          <t>profitability.noa_intensity.2024-01-28</t>
        </is>
      </c>
      <c r="F139" t="inlineStr">
        <is>
          <t>profitability_driver</t>
        </is>
      </c>
      <c r="G139" t="inlineStr">
        <is>
          <t>ALT DuPont</t>
        </is>
      </c>
      <c r="H139" t="inlineStr">
        <is>
          <t>C17</t>
        </is>
      </c>
      <c r="I139">
        <f>IF('Condensed Financials'!C34=0,NA(),C15/'Condensed Financials'!C34)</f>
        <v/>
      </c>
      <c r="J139" t="n">
        <v>0.206982374352836</v>
      </c>
      <c r="K139" t="n">
        <v>0.01</v>
      </c>
      <c r="L139" t="inlineStr">
        <is>
          <t>average_noa__20240128,revenue_link__20240128</t>
        </is>
      </c>
      <c r="M139" t="inlineStr">
        <is>
          <t>NOA Intensity = Average NOA / Revenue.|It expresses how much net operating asset investment supports each unit of Revenue.|A zero Revenue denominator makes the ratio undefined (#N/A).</t>
        </is>
      </c>
      <c r="O139" t="inlineStr">
        <is>
          <t>pending</t>
        </is>
      </c>
      <c r="P139" t="inlineStr">
        <is>
          <t>noa_intensity</t>
        </is>
      </c>
      <c r="Q139" t="n">
        <v>48</v>
      </c>
      <c r="R139" t="n">
        <v>1</v>
      </c>
      <c r="S139" t="inlineStr">
        <is>
          <t>2024-01-28</t>
        </is>
      </c>
    </row>
    <row r="140">
      <c r="A140" t="inlineStr">
        <is>
          <t>noa_intensity__20250202</t>
        </is>
      </c>
      <c r="B140" t="n">
        <v>139</v>
      </c>
      <c r="C140" t="inlineStr">
        <is>
          <t>Net Operating Asset Intensity</t>
        </is>
      </c>
      <c r="D140" t="inlineStr">
        <is>
          <t>Average NOA divided by Revenue.</t>
        </is>
      </c>
      <c r="E140" t="inlineStr">
        <is>
          <t>profitability.noa_intensity.2025-02-02</t>
        </is>
      </c>
      <c r="F140" t="inlineStr">
        <is>
          <t>profitability_driver</t>
        </is>
      </c>
      <c r="G140" t="inlineStr">
        <is>
          <t>ALT DuPont</t>
        </is>
      </c>
      <c r="H140" t="inlineStr">
        <is>
          <t>D17</t>
        </is>
      </c>
      <c r="I140">
        <f>IF('Condensed Financials'!D34=0,NA(),D15/'Condensed Financials'!D34)</f>
        <v/>
      </c>
      <c r="J140" t="n">
        <v>0.2043714345673635</v>
      </c>
      <c r="K140" t="n">
        <v>0.01</v>
      </c>
      <c r="L140" t="inlineStr">
        <is>
          <t>average_noa__20250202,revenue_link__20250202</t>
        </is>
      </c>
      <c r="M140" t="inlineStr">
        <is>
          <t>NOA Intensity = Average NOA / Revenue.|It expresses how much net operating asset investment supports each unit of Revenue.|A zero Revenue denominator makes the ratio undefined (#N/A).</t>
        </is>
      </c>
      <c r="O140" t="inlineStr">
        <is>
          <t>pending</t>
        </is>
      </c>
      <c r="P140" t="inlineStr">
        <is>
          <t>noa_intensity</t>
        </is>
      </c>
      <c r="Q140" t="n">
        <v>48</v>
      </c>
      <c r="R140" t="n">
        <v>2</v>
      </c>
      <c r="S140" t="inlineStr">
        <is>
          <t>2025-02-02</t>
        </is>
      </c>
    </row>
    <row r="141">
      <c r="A141" t="inlineStr">
        <is>
          <t>noa_intensity__20260201</t>
        </is>
      </c>
      <c r="B141" t="n">
        <v>140</v>
      </c>
      <c r="C141" t="inlineStr">
        <is>
          <t>Net Operating Asset Intensity</t>
        </is>
      </c>
      <c r="D141" t="inlineStr">
        <is>
          <t>Average NOA divided by Revenue.</t>
        </is>
      </c>
      <c r="E141" t="inlineStr">
        <is>
          <t>profitability.noa_intensity.2026-02-01</t>
        </is>
      </c>
      <c r="F141" t="inlineStr">
        <is>
          <t>profitability_driver</t>
        </is>
      </c>
      <c r="G141" t="inlineStr">
        <is>
          <t>ALT DuPont</t>
        </is>
      </c>
      <c r="H141" t="inlineStr">
        <is>
          <t>E17</t>
        </is>
      </c>
      <c r="I141">
        <f>IF('Condensed Financials'!E34=0,NA(),E15/'Condensed Financials'!E34)</f>
        <v/>
      </c>
      <c r="J141" t="n">
        <v>0.2474352403941419</v>
      </c>
      <c r="K141" t="n">
        <v>0.01</v>
      </c>
      <c r="L141" t="inlineStr">
        <is>
          <t>average_noa__20260201,revenue_link__20260201</t>
        </is>
      </c>
      <c r="M141" t="inlineStr">
        <is>
          <t>NOA Intensity = Average NOA / Revenue.|It expresses how much net operating asset investment supports each unit of Revenue.|A zero Revenue denominator makes the ratio undefined (#N/A).</t>
        </is>
      </c>
      <c r="O141" t="inlineStr">
        <is>
          <t>pending</t>
        </is>
      </c>
      <c r="P141" t="inlineStr">
        <is>
          <t>noa_intensity</t>
        </is>
      </c>
      <c r="Q141" t="n">
        <v>48</v>
      </c>
      <c r="R141" t="n">
        <v>3</v>
      </c>
      <c r="S141" t="inlineStr">
        <is>
          <t>2026-02-01</t>
        </is>
      </c>
    </row>
    <row r="142">
      <c r="A142" t="inlineStr">
        <is>
          <t>noa_turnover_change__20250202</t>
        </is>
      </c>
      <c r="B142" t="n">
        <v>143</v>
      </c>
      <c r="C142" t="inlineStr">
        <is>
          <t>Change in NOA Turnover</t>
        </is>
      </c>
      <c r="D142" t="inlineStr">
        <is>
          <t>Current NOA Turnover minus prior comparable NOA Turnover.</t>
        </is>
      </c>
      <c r="E142" t="inlineStr">
        <is>
          <t>profitability_change.noa_turnover_change.2025-02-02</t>
        </is>
      </c>
      <c r="F142" t="inlineStr">
        <is>
          <t>profitability_change</t>
        </is>
      </c>
      <c r="G142" t="inlineStr">
        <is>
          <t>ALT DuPont</t>
        </is>
      </c>
      <c r="H142" t="inlineStr">
        <is>
          <t>D23</t>
        </is>
      </c>
      <c r="I142">
        <f>D16-C16</f>
        <v/>
      </c>
      <c r="J142" t="n">
        <v>0.06172247011546794</v>
      </c>
      <c r="K142" t="n">
        <v>0.01</v>
      </c>
      <c r="L142" t="inlineStr">
        <is>
          <t>noa_turnover__20250202,noa_turnover__20240128</t>
        </is>
      </c>
      <c r="M14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2" t="inlineStr">
        <is>
          <t>pending</t>
        </is>
      </c>
      <c r="P142" t="inlineStr">
        <is>
          <t>noa_turnover_change</t>
        </is>
      </c>
      <c r="Q142" t="n">
        <v>51</v>
      </c>
      <c r="R142" t="n">
        <v>2</v>
      </c>
      <c r="S142" t="inlineStr">
        <is>
          <t>2025-02-02</t>
        </is>
      </c>
    </row>
    <row r="143">
      <c r="A143" t="inlineStr">
        <is>
          <t>operating_cash_flow_change__20240128</t>
        </is>
      </c>
      <c r="B143" t="n">
        <v>143</v>
      </c>
      <c r="C143" t="inlineStr">
        <is>
          <t>Change in Operating Cash Flow</t>
        </is>
      </c>
      <c r="D143" t="inlineStr">
        <is>
          <t>Current CFO minus prior CFO.</t>
        </is>
      </c>
      <c r="E143" t="inlineStr">
        <is>
          <t>quality_change.operating_cash_flow_change.2024-01-28</t>
        </is>
      </c>
      <c r="F143" t="inlineStr">
        <is>
          <t>earnings_quality_change</t>
        </is>
      </c>
      <c r="G143" t="inlineStr">
        <is>
          <t>Earnings Quality</t>
        </is>
      </c>
      <c r="H143" t="inlineStr">
        <is>
          <t>C15</t>
        </is>
      </c>
      <c r="I143">
        <f>C5-B5</f>
        <v/>
      </c>
      <c r="J143" t="n">
        <v>1329701</v>
      </c>
      <c r="K143" t="n">
        <v>0.01</v>
      </c>
      <c r="L143" t="inlineStr">
        <is>
          <t>operating_cash_flow_link__20240128,operating_cash_flow_link__20230129</t>
        </is>
      </c>
      <c r="M14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3" t="inlineStr">
        <is>
          <t>pending</t>
        </is>
      </c>
      <c r="P143" t="inlineStr">
        <is>
          <t>operating_cash_flow_change</t>
        </is>
      </c>
      <c r="Q143" t="n">
        <v>63</v>
      </c>
      <c r="R143" t="n">
        <v>1</v>
      </c>
      <c r="S143" t="inlineStr">
        <is>
          <t>2024-01-28</t>
        </is>
      </c>
    </row>
    <row r="144">
      <c r="A144" t="inlineStr">
        <is>
          <t>noa_turnover_change__20260201</t>
        </is>
      </c>
      <c r="B144" t="n">
        <v>144</v>
      </c>
      <c r="C144" t="inlineStr">
        <is>
          <t>Change in NOA Turnover</t>
        </is>
      </c>
      <c r="D144" t="inlineStr">
        <is>
          <t>Current NOA Turnover minus prior comparable NOA Turnover.</t>
        </is>
      </c>
      <c r="E144" t="inlineStr">
        <is>
          <t>profitability_change.noa_turnover_change.2026-02-01</t>
        </is>
      </c>
      <c r="F144" t="inlineStr">
        <is>
          <t>profitability_change</t>
        </is>
      </c>
      <c r="G144" t="inlineStr">
        <is>
          <t>ALT DuPont</t>
        </is>
      </c>
      <c r="H144" t="inlineStr">
        <is>
          <t>E23</t>
        </is>
      </c>
      <c r="I144">
        <f>E16-D16</f>
        <v/>
      </c>
      <c r="J144" t="n">
        <v>-0.8515902138886782</v>
      </c>
      <c r="K144" t="n">
        <v>0.01</v>
      </c>
      <c r="L144" t="inlineStr">
        <is>
          <t>noa_turnover__20260201,noa_turnover__20250202</t>
        </is>
      </c>
      <c r="M144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4" t="inlineStr">
        <is>
          <t>pending</t>
        </is>
      </c>
      <c r="P144" t="inlineStr">
        <is>
          <t>noa_turnover_change</t>
        </is>
      </c>
      <c r="Q144" t="n">
        <v>51</v>
      </c>
      <c r="R144" t="n">
        <v>3</v>
      </c>
      <c r="S144" t="inlineStr">
        <is>
          <t>2026-02-01</t>
        </is>
      </c>
    </row>
    <row r="145">
      <c r="A145" t="inlineStr">
        <is>
          <t>operating_cash_flow_change__20250202</t>
        </is>
      </c>
      <c r="B145" t="n">
        <v>144</v>
      </c>
      <c r="C145" t="inlineStr">
        <is>
          <t>Change in Operating Cash Flow</t>
        </is>
      </c>
      <c r="D145" t="inlineStr">
        <is>
          <t>Current CFO minus prior CFO.</t>
        </is>
      </c>
      <c r="E145" t="inlineStr">
        <is>
          <t>quality_change.operating_cash_flow_change.2025-02-02</t>
        </is>
      </c>
      <c r="F145" t="inlineStr">
        <is>
          <t>earnings_quality_change</t>
        </is>
      </c>
      <c r="G145" t="inlineStr">
        <is>
          <t>Earnings Quality</t>
        </is>
      </c>
      <c r="H145" t="inlineStr">
        <is>
          <t>D15</t>
        </is>
      </c>
      <c r="I145">
        <f>D5-C5</f>
        <v/>
      </c>
      <c r="J145" t="n">
        <v>-23451</v>
      </c>
      <c r="K145" t="n">
        <v>0.01</v>
      </c>
      <c r="L145" t="inlineStr">
        <is>
          <t>operating_cash_flow_link__20250202,operating_cash_flow_link__20240128</t>
        </is>
      </c>
      <c r="M145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5" t="inlineStr">
        <is>
          <t>pending</t>
        </is>
      </c>
      <c r="P145" t="inlineStr">
        <is>
          <t>operating_cash_flow_change</t>
        </is>
      </c>
      <c r="Q145" t="n">
        <v>63</v>
      </c>
      <c r="R145" t="n">
        <v>2</v>
      </c>
      <c r="S145" t="inlineStr">
        <is>
          <t>2025-02-02</t>
        </is>
      </c>
    </row>
    <row r="146">
      <c r="A146" t="inlineStr">
        <is>
          <t>operating_cash_flow_change__20260201</t>
        </is>
      </c>
      <c r="B146" t="n">
        <v>145</v>
      </c>
      <c r="C146" t="inlineStr">
        <is>
          <t>Change in Operating Cash Flow</t>
        </is>
      </c>
      <c r="D146" t="inlineStr">
        <is>
          <t>Current CFO minus prior CFO.</t>
        </is>
      </c>
      <c r="E146" t="inlineStr">
        <is>
          <t>quality_change.operating_cash_flow_change.2026-02-01</t>
        </is>
      </c>
      <c r="F146" t="inlineStr">
        <is>
          <t>earnings_quality_change</t>
        </is>
      </c>
      <c r="G146" t="inlineStr">
        <is>
          <t>Earnings Quality</t>
        </is>
      </c>
      <c r="H146" t="inlineStr">
        <is>
          <t>E15</t>
        </is>
      </c>
      <c r="I146">
        <f>E5-D5</f>
        <v/>
      </c>
      <c r="J146" t="n">
        <v>-670236</v>
      </c>
      <c r="K146" t="n">
        <v>0.01</v>
      </c>
      <c r="L146" t="inlineStr">
        <is>
          <t>operating_cash_flow_link__20260201,operating_cash_flow_link__20250202</t>
        </is>
      </c>
      <c r="M1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6" t="inlineStr">
        <is>
          <t>pending</t>
        </is>
      </c>
      <c r="P146" t="inlineStr">
        <is>
          <t>operating_cash_flow_change</t>
        </is>
      </c>
      <c r="Q146" t="n">
        <v>63</v>
      </c>
      <c r="R146" t="n">
        <v>3</v>
      </c>
      <c r="S146" t="inlineStr">
        <is>
          <t>2026-02-01</t>
        </is>
      </c>
    </row>
    <row r="147">
      <c r="A147" t="inlineStr">
        <is>
          <t>cash_conversion_ratio_change__20240128</t>
        </is>
      </c>
      <c r="B147" t="n">
        <v>146</v>
      </c>
      <c r="C147" t="inlineStr">
        <is>
          <t>Change in Cash Conversion Ratio</t>
        </is>
      </c>
      <c r="D147" t="inlineStr">
        <is>
          <t>Current cash conversion ratio minus prior ratio.</t>
        </is>
      </c>
      <c r="E147" t="inlineStr">
        <is>
          <t>quality_change.cash_conversion_ratio_change.2024-01-28</t>
        </is>
      </c>
      <c r="F147" t="inlineStr">
        <is>
          <t>earnings_quality_change</t>
        </is>
      </c>
      <c r="G147" t="inlineStr">
        <is>
          <t>Earnings Quality</t>
        </is>
      </c>
      <c r="H147" t="inlineStr">
        <is>
          <t>C16</t>
        </is>
      </c>
      <c r="I147">
        <f>C7-B7</f>
        <v/>
      </c>
      <c r="J147" t="n">
        <v>0.3505840039403687</v>
      </c>
      <c r="K147" t="n">
        <v>0.01</v>
      </c>
      <c r="L147" t="inlineStr">
        <is>
          <t>cash_conversion_ratio__20240128,cash_conversion_ratio__20230129</t>
        </is>
      </c>
      <c r="M14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7" t="inlineStr">
        <is>
          <t>pending</t>
        </is>
      </c>
      <c r="P147" t="inlineStr">
        <is>
          <t>cash_conversion_ratio_change</t>
        </is>
      </c>
      <c r="Q147" t="n">
        <v>64</v>
      </c>
      <c r="R147" t="n">
        <v>1</v>
      </c>
      <c r="S147" t="inlineStr">
        <is>
          <t>2024-01-28</t>
        </is>
      </c>
    </row>
    <row r="148">
      <c r="A148" t="inlineStr">
        <is>
          <t>cash_conversion_ratio_change__20250202</t>
        </is>
      </c>
      <c r="B148" t="n">
        <v>147</v>
      </c>
      <c r="C148" t="inlineStr">
        <is>
          <t>Change in Cash Conversion Ratio</t>
        </is>
      </c>
      <c r="D148" t="inlineStr">
        <is>
          <t>Current cash conversion ratio minus prior ratio.</t>
        </is>
      </c>
      <c r="E148" t="inlineStr">
        <is>
          <t>quality_change.cash_conversion_ratio_change.2025-02-02</t>
        </is>
      </c>
      <c r="F148" t="inlineStr">
        <is>
          <t>earnings_quality_change</t>
        </is>
      </c>
      <c r="G148" t="inlineStr">
        <is>
          <t>Earnings Quality</t>
        </is>
      </c>
      <c r="H148" t="inlineStr">
        <is>
          <t>D16</t>
        </is>
      </c>
      <c r="I148">
        <f>D7-C7</f>
        <v/>
      </c>
      <c r="J148" t="n">
        <v>-0.2287661088918995</v>
      </c>
      <c r="K148" t="n">
        <v>0.01</v>
      </c>
      <c r="L148" t="inlineStr">
        <is>
          <t>cash_conversion_ratio__20250202,cash_conversion_ratio__20240128</t>
        </is>
      </c>
      <c r="M148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8" t="inlineStr">
        <is>
          <t>pending</t>
        </is>
      </c>
      <c r="P148" t="inlineStr">
        <is>
          <t>cash_conversion_ratio_change</t>
        </is>
      </c>
      <c r="Q148" t="n">
        <v>64</v>
      </c>
      <c r="R148" t="n">
        <v>2</v>
      </c>
      <c r="S148" t="inlineStr">
        <is>
          <t>2025-02-02</t>
        </is>
      </c>
    </row>
    <row r="149">
      <c r="A149" t="inlineStr">
        <is>
          <t>cash_conversion_ratio_change__20260201</t>
        </is>
      </c>
      <c r="B149" t="n">
        <v>148</v>
      </c>
      <c r="C149" t="inlineStr">
        <is>
          <t>Change in Cash Conversion Ratio</t>
        </is>
      </c>
      <c r="D149" t="inlineStr">
        <is>
          <t>Current cash conversion ratio minus prior ratio.</t>
        </is>
      </c>
      <c r="E149" t="inlineStr">
        <is>
          <t>quality_change.cash_conversion_ratio_change.2026-02-01</t>
        </is>
      </c>
      <c r="F149" t="inlineStr">
        <is>
          <t>earnings_quality_change</t>
        </is>
      </c>
      <c r="G149" t="inlineStr">
        <is>
          <t>Earnings Quality</t>
        </is>
      </c>
      <c r="H149" t="inlineStr">
        <is>
          <t>E16</t>
        </is>
      </c>
      <c r="I149">
        <f>E7-D7</f>
        <v/>
      </c>
      <c r="J149" t="n">
        <v>-0.2376977865281702</v>
      </c>
      <c r="K149" t="n">
        <v>0.01</v>
      </c>
      <c r="L149" t="inlineStr">
        <is>
          <t>cash_conversion_ratio__20260201,cash_conversion_ratio__20250202</t>
        </is>
      </c>
      <c r="M149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9" t="inlineStr">
        <is>
          <t>pending</t>
        </is>
      </c>
      <c r="P149" t="inlineStr">
        <is>
          <t>cash_conversion_ratio_change</t>
        </is>
      </c>
      <c r="Q149" t="n">
        <v>64</v>
      </c>
      <c r="R149" t="n">
        <v>3</v>
      </c>
      <c r="S149" t="inlineStr">
        <is>
          <t>2026-02-01</t>
        </is>
      </c>
    </row>
    <row r="150">
      <c r="A150" t="inlineStr">
        <is>
          <t>total_accruals_change__20240128</t>
        </is>
      </c>
      <c r="B150" t="n">
        <v>149</v>
      </c>
      <c r="C150" t="inlineStr">
        <is>
          <t>Change in Total Accruals</t>
        </is>
      </c>
      <c r="D150" t="inlineStr">
        <is>
          <t>Current Total Accruals minus prior Total Accruals.</t>
        </is>
      </c>
      <c r="E150" t="inlineStr">
        <is>
          <t>quality_change.total_accruals_change.2024-01-28</t>
        </is>
      </c>
      <c r="F150" t="inlineStr">
        <is>
          <t>earnings_quality_change</t>
        </is>
      </c>
      <c r="G150" t="inlineStr">
        <is>
          <t>Earnings Quality</t>
        </is>
      </c>
      <c r="H150" t="inlineStr">
        <is>
          <t>C17</t>
        </is>
      </c>
      <c r="I150">
        <f>C8-B8</f>
        <v/>
      </c>
      <c r="J150" t="n">
        <v>-634311</v>
      </c>
      <c r="K150" t="n">
        <v>0.01</v>
      </c>
      <c r="L150" t="inlineStr">
        <is>
          <t>total_accruals__20240128,total_accruals__20230129</t>
        </is>
      </c>
      <c r="M15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0" t="inlineStr">
        <is>
          <t>pending</t>
        </is>
      </c>
      <c r="P150" t="inlineStr">
        <is>
          <t>total_accruals_change</t>
        </is>
      </c>
      <c r="Q150" t="n">
        <v>65</v>
      </c>
      <c r="R150" t="n">
        <v>1</v>
      </c>
      <c r="S150" t="inlineStr">
        <is>
          <t>2024-01-28</t>
        </is>
      </c>
    </row>
    <row r="151">
      <c r="A151" t="inlineStr">
        <is>
          <t>total_accruals_change__20250202</t>
        </is>
      </c>
      <c r="B151" t="n">
        <v>150</v>
      </c>
      <c r="C151" t="inlineStr">
        <is>
          <t>Change in Total Accruals</t>
        </is>
      </c>
      <c r="D151" t="inlineStr">
        <is>
          <t>Current Total Accruals minus prior Total Accruals.</t>
        </is>
      </c>
      <c r="E151" t="inlineStr">
        <is>
          <t>quality_change.total_accruals_change.2025-02-02</t>
        </is>
      </c>
      <c r="F151" t="inlineStr">
        <is>
          <t>earnings_quality_change</t>
        </is>
      </c>
      <c r="G151" t="inlineStr">
        <is>
          <t>Earnings Quality</t>
        </is>
      </c>
      <c r="H151" t="inlineStr">
        <is>
          <t>D17</t>
        </is>
      </c>
      <c r="I151">
        <f>D8-C8</f>
        <v/>
      </c>
      <c r="J151" t="n">
        <v>287877</v>
      </c>
      <c r="K151" t="n">
        <v>0.01</v>
      </c>
      <c r="L151" t="inlineStr">
        <is>
          <t>total_accruals__20250202,total_accruals__20240128</t>
        </is>
      </c>
      <c r="M151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1" t="inlineStr">
        <is>
          <t>pending</t>
        </is>
      </c>
      <c r="P151" t="inlineStr">
        <is>
          <t>total_accruals_change</t>
        </is>
      </c>
      <c r="Q151" t="n">
        <v>65</v>
      </c>
      <c r="R151" t="n">
        <v>2</v>
      </c>
      <c r="S151" t="inlineStr">
        <is>
          <t>2025-02-02</t>
        </is>
      </c>
    </row>
    <row r="152">
      <c r="A152" t="inlineStr">
        <is>
          <t>total_accruals_change__20260201</t>
        </is>
      </c>
      <c r="B152" t="n">
        <v>151</v>
      </c>
      <c r="C152" t="inlineStr">
        <is>
          <t>Change in Total Accruals</t>
        </is>
      </c>
      <c r="D152" t="inlineStr">
        <is>
          <t>Current Total Accruals minus prior Total Accruals.</t>
        </is>
      </c>
      <c r="E152" t="inlineStr">
        <is>
          <t>quality_change.total_accruals_change.2026-02-01</t>
        </is>
      </c>
      <c r="F152" t="inlineStr">
        <is>
          <t>earnings_quality_change</t>
        </is>
      </c>
      <c r="G152" t="inlineStr">
        <is>
          <t>Earnings Quality</t>
        </is>
      </c>
      <c r="H152" t="inlineStr">
        <is>
          <t>E17</t>
        </is>
      </c>
      <c r="I152">
        <f>E8-D8</f>
        <v/>
      </c>
      <c r="J152" t="n">
        <v>434803</v>
      </c>
      <c r="K152" t="n">
        <v>0.01</v>
      </c>
      <c r="L152" t="inlineStr">
        <is>
          <t>total_accruals__20260201,total_accruals__20250202</t>
        </is>
      </c>
      <c r="M152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2" t="inlineStr">
        <is>
          <t>pending</t>
        </is>
      </c>
      <c r="P152" t="inlineStr">
        <is>
          <t>total_accruals_change</t>
        </is>
      </c>
      <c r="Q152" t="n">
        <v>65</v>
      </c>
      <c r="R152" t="n">
        <v>3</v>
      </c>
      <c r="S152" t="inlineStr">
        <is>
          <t>2026-02-01</t>
        </is>
      </c>
    </row>
    <row r="153">
      <c r="A153" t="inlineStr">
        <is>
          <t>accrual_ratio_change__20250202</t>
        </is>
      </c>
      <c r="B153" t="n">
        <v>152</v>
      </c>
      <c r="C153" t="inlineStr">
        <is>
          <t>Change in Accrual Ratio</t>
        </is>
      </c>
      <c r="D153" t="inlineStr">
        <is>
          <t>Current accrual ratio minus prior comparable accrual ratio.</t>
        </is>
      </c>
      <c r="E153" t="inlineStr">
        <is>
          <t>quality_change.accrual_ratio_change.2025-02-02</t>
        </is>
      </c>
      <c r="F153" t="inlineStr">
        <is>
          <t>earnings_quality_change</t>
        </is>
      </c>
      <c r="G153" t="inlineStr">
        <is>
          <t>Earnings Quality</t>
        </is>
      </c>
      <c r="H153" t="inlineStr">
        <is>
          <t>D18</t>
        </is>
      </c>
      <c r="I153">
        <f>D12-C12</f>
        <v/>
      </c>
      <c r="J153" t="n">
        <v>0.05513932510335225</v>
      </c>
      <c r="K153" t="n">
        <v>0.01</v>
      </c>
      <c r="L153" t="inlineStr">
        <is>
          <t>accrual_ratio__20250202,accrual_ratio__20240128</t>
        </is>
      </c>
      <c r="M153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3" t="inlineStr">
        <is>
          <t>pending</t>
        </is>
      </c>
      <c r="P153" t="inlineStr">
        <is>
          <t>accrual_ratio_change</t>
        </is>
      </c>
      <c r="Q153" t="n">
        <v>66</v>
      </c>
      <c r="R153" t="n">
        <v>2</v>
      </c>
      <c r="S153" t="inlineStr">
        <is>
          <t>2025-02-02</t>
        </is>
      </c>
    </row>
    <row r="154">
      <c r="A154" t="inlineStr">
        <is>
          <t>accrual_ratio_change__20260201</t>
        </is>
      </c>
      <c r="B154" t="n">
        <v>153</v>
      </c>
      <c r="C154" t="inlineStr">
        <is>
          <t>Change in Accrual Ratio</t>
        </is>
      </c>
      <c r="D154" t="inlineStr">
        <is>
          <t>Current accrual ratio minus prior comparable accrual ratio.</t>
        </is>
      </c>
      <c r="E154" t="inlineStr">
        <is>
          <t>quality_change.accrual_ratio_change.2026-02-01</t>
        </is>
      </c>
      <c r="F154" t="inlineStr">
        <is>
          <t>earnings_quality_change</t>
        </is>
      </c>
      <c r="G154" t="inlineStr">
        <is>
          <t>Earnings Quality</t>
        </is>
      </c>
      <c r="H154" t="inlineStr">
        <is>
          <t>E18</t>
        </is>
      </c>
      <c r="I154">
        <f>E12-D12</f>
        <v/>
      </c>
      <c r="J154" t="n">
        <v>0.05944547506746123</v>
      </c>
      <c r="K154" t="n">
        <v>0.01</v>
      </c>
      <c r="L154" t="inlineStr">
        <is>
          <t>accrual_ratio__20260201,accrual_ratio__20250202</t>
        </is>
      </c>
      <c r="M154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4" t="inlineStr">
        <is>
          <t>pending</t>
        </is>
      </c>
      <c r="P154" t="inlineStr">
        <is>
          <t>accrual_ratio_change</t>
        </is>
      </c>
      <c r="Q154" t="n">
        <v>66</v>
      </c>
      <c r="R154" t="n">
        <v>3</v>
      </c>
      <c r="S154" t="inlineStr">
        <is>
          <t>2026-02-01</t>
        </is>
      </c>
    </row>
    <row r="155">
      <c r="A155" t="inlineStr">
        <is>
          <t>reported_diluted_eps__20230129</t>
        </is>
      </c>
      <c r="B155" t="n">
        <v>154</v>
      </c>
      <c r="C155" t="inlineStr">
        <is>
          <t>Diluted EPS (Comparable Basis)</t>
        </is>
      </c>
      <c r="D155" t="inlineStr">
        <is>
          <t>Earnings numerator / diluted weighted-average shares on the supplied comparable share basis.</t>
        </is>
      </c>
      <c r="E155" t="inlineStr">
        <is>
          <t>per_share.reported_diluted_eps.2023-01-29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B9</t>
        </is>
      </c>
      <c r="I155">
        <f>IF(B7&lt;=0,NA(),B5/B7)</f>
        <v/>
      </c>
      <c r="J155" t="n">
        <v>6.677238179304311</v>
      </c>
      <c r="K155" t="n">
        <v>0.01</v>
      </c>
      <c r="L155" t="inlineStr">
        <is>
          <t>net_income_link__20230129</t>
        </is>
      </c>
      <c r="M15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5" t="inlineStr">
        <is>
          <t>pending</t>
        </is>
      </c>
      <c r="P155" t="inlineStr">
        <is>
          <t>reported_diluted_eps</t>
        </is>
      </c>
      <c r="Q155" t="n">
        <v>67</v>
      </c>
      <c r="R155" t="n">
        <v>0</v>
      </c>
      <c r="S155" t="inlineStr">
        <is>
          <t>2023-01-29</t>
        </is>
      </c>
    </row>
    <row r="156">
      <c r="A156" t="inlineStr">
        <is>
          <t>reported_diluted_eps__20240128</t>
        </is>
      </c>
      <c r="B156" t="n">
        <v>155</v>
      </c>
      <c r="C156" t="inlineStr">
        <is>
          <t>Diluted EPS (Comparable Basis)</t>
        </is>
      </c>
      <c r="D156" t="inlineStr">
        <is>
          <t>Earnings numerator / diluted weighted-average shares on the supplied comparable share basis.</t>
        </is>
      </c>
      <c r="E156" t="inlineStr">
        <is>
          <t>per_share.reported_diluted_eps.2024-01-28</t>
        </is>
      </c>
      <c r="F156" t="inlineStr">
        <is>
          <t>per_share</t>
        </is>
      </c>
      <c r="G156" t="inlineStr">
        <is>
          <t>Per Share Analysis</t>
        </is>
      </c>
      <c r="H156" t="inlineStr">
        <is>
          <t>C9</t>
        </is>
      </c>
      <c r="I156">
        <f>IF(C7&lt;=0,NA(),C5/C7)</f>
        <v/>
      </c>
      <c r="J156" t="n">
        <v>12.20045647725484</v>
      </c>
      <c r="K156" t="n">
        <v>0.01</v>
      </c>
      <c r="L156" t="inlineStr">
        <is>
          <t>net_income_link__20240128</t>
        </is>
      </c>
      <c r="M15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6" t="inlineStr">
        <is>
          <t>pending</t>
        </is>
      </c>
      <c r="P156" t="inlineStr">
        <is>
          <t>reported_diluted_eps</t>
        </is>
      </c>
      <c r="Q156" t="n">
        <v>67</v>
      </c>
      <c r="R156" t="n">
        <v>1</v>
      </c>
      <c r="S156" t="inlineStr">
        <is>
          <t>2024-01-28</t>
        </is>
      </c>
    </row>
    <row r="157">
      <c r="A157" t="inlineStr">
        <is>
          <t>reported_diluted_eps__20250202</t>
        </is>
      </c>
      <c r="B157" t="n">
        <v>156</v>
      </c>
      <c r="C157" t="inlineStr">
        <is>
          <t>Diluted EPS (Comparable Basis)</t>
        </is>
      </c>
      <c r="D157" t="inlineStr">
        <is>
          <t>Earnings numerator / diluted weighted-average shares on the supplied comparable share basis.</t>
        </is>
      </c>
      <c r="E157" t="inlineStr">
        <is>
          <t>per_share.reported_diluted_eps.2025-02-02</t>
        </is>
      </c>
      <c r="F157" t="inlineStr">
        <is>
          <t>per_share</t>
        </is>
      </c>
      <c r="G157" t="inlineStr">
        <is>
          <t>Per Share Analysis</t>
        </is>
      </c>
      <c r="H157" t="inlineStr">
        <is>
          <t>D9</t>
        </is>
      </c>
      <c r="I157">
        <f>IF(D7&lt;=0,NA(),D5/D7)</f>
        <v/>
      </c>
      <c r="J157" t="n">
        <v>14.64167507161012</v>
      </c>
      <c r="K157" t="n">
        <v>0.01</v>
      </c>
      <c r="L157" t="inlineStr">
        <is>
          <t>net_income_link__20250202</t>
        </is>
      </c>
      <c r="M157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7" t="inlineStr">
        <is>
          <t>pending</t>
        </is>
      </c>
      <c r="P157" t="inlineStr">
        <is>
          <t>reported_diluted_eps</t>
        </is>
      </c>
      <c r="Q157" t="n">
        <v>67</v>
      </c>
      <c r="R157" t="n">
        <v>2</v>
      </c>
      <c r="S157" t="inlineStr">
        <is>
          <t>2025-02-02</t>
        </is>
      </c>
    </row>
    <row r="158">
      <c r="A158" t="inlineStr">
        <is>
          <t>reported_diluted_eps__20260201</t>
        </is>
      </c>
      <c r="B158" t="n">
        <v>157</v>
      </c>
      <c r="C158" t="inlineStr">
        <is>
          <t>Diluted EPS (Comparable Basis)</t>
        </is>
      </c>
      <c r="D158" t="inlineStr">
        <is>
          <t>Earnings numerator / diluted weighted-average shares on the supplied comparable share basis.</t>
        </is>
      </c>
      <c r="E158" t="inlineStr">
        <is>
          <t>per_share.reported_diluted_eps.2026-02-01</t>
        </is>
      </c>
      <c r="F158" t="inlineStr">
        <is>
          <t>per_share</t>
        </is>
      </c>
      <c r="G158" t="inlineStr">
        <is>
          <t>Per Share Analysis</t>
        </is>
      </c>
      <c r="H158" t="inlineStr">
        <is>
          <t>E9</t>
        </is>
      </c>
      <c r="I158">
        <f>IF(E7&lt;=0,NA(),E5/E7)</f>
        <v/>
      </c>
      <c r="J158" t="n">
        <v>13.26286659723855</v>
      </c>
      <c r="K158" t="n">
        <v>0.01</v>
      </c>
      <c r="L158" t="inlineStr">
        <is>
          <t>net_income_link__20260201</t>
        </is>
      </c>
      <c r="M158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8" t="inlineStr">
        <is>
          <t>pending</t>
        </is>
      </c>
      <c r="P158" t="inlineStr">
        <is>
          <t>reported_diluted_eps</t>
        </is>
      </c>
      <c r="Q158" t="n">
        <v>67</v>
      </c>
      <c r="R158" t="n">
        <v>3</v>
      </c>
      <c r="S158" t="inlineStr">
        <is>
          <t>2026-02-01</t>
        </is>
      </c>
    </row>
    <row r="159">
      <c r="A159" t="inlineStr">
        <is>
          <t>diluted_eps_change__20240128</t>
        </is>
      </c>
      <c r="B159" t="n">
        <v>162</v>
      </c>
      <c r="C159" t="inlineStr">
        <is>
          <t>Change in Diluted EPS</t>
        </is>
      </c>
      <c r="D159" t="inlineStr">
        <is>
          <t>Current comparable-basis Diluted EPS minus prior EPS.</t>
        </is>
      </c>
      <c r="E159" t="inlineStr">
        <is>
          <t>per_share.diluted_eps_change.2024-01-28</t>
        </is>
      </c>
      <c r="F159" t="inlineStr">
        <is>
          <t>per_share</t>
        </is>
      </c>
      <c r="G159" t="inlineStr">
        <is>
          <t>Per Share Analysis</t>
        </is>
      </c>
      <c r="H159" t="inlineStr">
        <is>
          <t>C12</t>
        </is>
      </c>
      <c r="I159">
        <f>C9-B9</f>
        <v/>
      </c>
      <c r="J159" t="n">
        <v>5.52321829795053</v>
      </c>
      <c r="K159" t="n">
        <v>0.01</v>
      </c>
      <c r="L159" t="inlineStr">
        <is>
          <t>reported_diluted_eps__20240128,reported_diluted_eps__20230129</t>
        </is>
      </c>
      <c r="M159" t="inlineStr">
        <is>
          <t>Change in Diluted EPS = Current EPS - Prior EPS.|Use an absolute per-share change here rather than a growth rate that can become misleading around zero or negative EPS.</t>
        </is>
      </c>
      <c r="O159" t="inlineStr">
        <is>
          <t>pending</t>
        </is>
      </c>
      <c r="P159" t="inlineStr">
        <is>
          <t>diluted_eps_change</t>
        </is>
      </c>
      <c r="Q159" t="n">
        <v>69</v>
      </c>
      <c r="R159" t="n">
        <v>1</v>
      </c>
      <c r="S159" t="inlineStr">
        <is>
          <t>2024-01-28</t>
        </is>
      </c>
    </row>
    <row r="160">
      <c r="A160" t="inlineStr">
        <is>
          <t>diluted_eps_change__20250202</t>
        </is>
      </c>
      <c r="B160" t="n">
        <v>163</v>
      </c>
      <c r="C160" t="inlineStr">
        <is>
          <t>Change in Diluted EPS</t>
        </is>
      </c>
      <c r="D160" t="inlineStr">
        <is>
          <t>Current comparable-basis Diluted EPS minus prior EPS.</t>
        </is>
      </c>
      <c r="E160" t="inlineStr">
        <is>
          <t>per_share.diluted_eps_change.2025-02-02</t>
        </is>
      </c>
      <c r="F160" t="inlineStr">
        <is>
          <t>per_share</t>
        </is>
      </c>
      <c r="G160" t="inlineStr">
        <is>
          <t>Per Share Analysis</t>
        </is>
      </c>
      <c r="H160" t="inlineStr">
        <is>
          <t>D12</t>
        </is>
      </c>
      <c r="I160">
        <f>D9-C9</f>
        <v/>
      </c>
      <c r="J160" t="n">
        <v>2.441218594355277</v>
      </c>
      <c r="K160" t="n">
        <v>0.01</v>
      </c>
      <c r="L160" t="inlineStr">
        <is>
          <t>reported_diluted_eps__20250202,reported_diluted_eps__20240128</t>
        </is>
      </c>
      <c r="M160" t="inlineStr">
        <is>
          <t>Change in Diluted EPS = Current EPS - Prior EPS.|Use an absolute per-share change here rather than a growth rate that can become misleading around zero or negative EPS.</t>
        </is>
      </c>
      <c r="O160" t="inlineStr">
        <is>
          <t>pending</t>
        </is>
      </c>
      <c r="P160" t="inlineStr">
        <is>
          <t>diluted_eps_change</t>
        </is>
      </c>
      <c r="Q160" t="n">
        <v>69</v>
      </c>
      <c r="R160" t="n">
        <v>2</v>
      </c>
      <c r="S160" t="inlineStr">
        <is>
          <t>2025-02-02</t>
        </is>
      </c>
    </row>
    <row r="161">
      <c r="A161" t="inlineStr">
        <is>
          <t>diluted_eps_change__20260201</t>
        </is>
      </c>
      <c r="B161" t="n">
        <v>164</v>
      </c>
      <c r="C161" t="inlineStr">
        <is>
          <t>Change in Diluted EPS</t>
        </is>
      </c>
      <c r="D161" t="inlineStr">
        <is>
          <t>Current comparable-basis Diluted EPS minus prior EPS.</t>
        </is>
      </c>
      <c r="E161" t="inlineStr">
        <is>
          <t>per_share.diluted_eps_change.2026-02-01</t>
        </is>
      </c>
      <c r="F161" t="inlineStr">
        <is>
          <t>per_share</t>
        </is>
      </c>
      <c r="G161" t="inlineStr">
        <is>
          <t>Per Share Analysis</t>
        </is>
      </c>
      <c r="H161" t="inlineStr">
        <is>
          <t>E12</t>
        </is>
      </c>
      <c r="I161">
        <f>E9-D9</f>
        <v/>
      </c>
      <c r="J161" t="n">
        <v>-1.378808474371565</v>
      </c>
      <c r="K161" t="n">
        <v>0.01</v>
      </c>
      <c r="L161" t="inlineStr">
        <is>
          <t>reported_diluted_eps__20260201,reported_diluted_eps__20250202</t>
        </is>
      </c>
      <c r="M161" t="inlineStr">
        <is>
          <t>Change in Diluted EPS = Current EPS - Prior EPS.|Use an absolute per-share change here rather than a growth rate that can become misleading around zero or negative EPS.</t>
        </is>
      </c>
      <c r="O161" t="inlineStr">
        <is>
          <t>pending</t>
        </is>
      </c>
      <c r="P161" t="inlineStr">
        <is>
          <t>diluted_eps_change</t>
        </is>
      </c>
      <c r="Q161" t="n">
        <v>69</v>
      </c>
      <c r="R161" t="n">
        <v>3</v>
      </c>
      <c r="S161" t="inlineStr">
        <is>
          <t>2026-02-01</t>
        </is>
      </c>
    </row>
    <row r="162">
      <c r="A162" t="inlineStr">
        <is>
          <t>reported_net_income_change__20240128</t>
        </is>
      </c>
      <c r="B162" t="n">
        <v>164</v>
      </c>
      <c r="C162" t="inlineStr">
        <is>
          <t>Change in Per-Share Earnings Numerator</t>
        </is>
      </c>
      <c r="D162" t="inlineStr">
        <is>
          <t>Current per-share earnings numerator minus prior per-share earnings numerator.</t>
        </is>
      </c>
      <c r="E162" t="inlineStr">
        <is>
          <t>per_share_attribution.reported_net_income_change.2024-01-28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C16</t>
        </is>
      </c>
      <c r="I162">
        <f>C5-B5</f>
        <v/>
      </c>
      <c r="J162" t="n">
        <v>695390</v>
      </c>
      <c r="K162" t="n">
        <v>0.01</v>
      </c>
      <c r="L162" t="inlineStr">
        <is>
          <t>net_income_link__20240128,net_income_link__20230129</t>
        </is>
      </c>
      <c r="M162" t="inlineStr">
        <is>
          <t>Change in Per-Share Earnings Numerator = Current Numerator - Prior Numerator.|This is the earnings-numerator movement used in diluted-EPS attribution.</t>
        </is>
      </c>
      <c r="O162" t="inlineStr">
        <is>
          <t>pending</t>
        </is>
      </c>
      <c r="P162" t="inlineStr">
        <is>
          <t>reported_net_income_change</t>
        </is>
      </c>
      <c r="Q162" t="n">
        <v>71</v>
      </c>
      <c r="R162" t="n">
        <v>1</v>
      </c>
      <c r="S162" t="inlineStr">
        <is>
          <t>2024-01-28</t>
        </is>
      </c>
    </row>
    <row r="163">
      <c r="A163" t="inlineStr">
        <is>
          <t>diluted_share_count_change__20240128</t>
        </is>
      </c>
      <c r="B163" t="n">
        <v>165</v>
      </c>
      <c r="C163" t="inlineStr">
        <is>
          <t>Change in Diluted Weighted-Average Shares</t>
        </is>
      </c>
      <c r="D163" t="inlineStr">
        <is>
          <t>Current diluted weighted-average shares minus prior shares.</t>
        </is>
      </c>
      <c r="E163" t="inlineStr">
        <is>
          <t>per_share.diluted_share_count_change.2024-01-28</t>
        </is>
      </c>
      <c r="F163" t="inlineStr">
        <is>
          <t>per_share</t>
        </is>
      </c>
      <c r="G163" t="inlineStr">
        <is>
          <t>Per Share Analysis</t>
        </is>
      </c>
      <c r="H163" t="inlineStr">
        <is>
          <t>C13</t>
        </is>
      </c>
      <c r="I163">
        <f>C7-B7</f>
        <v/>
      </c>
      <c r="J163" t="n">
        <v>-957</v>
      </c>
      <c r="K163" t="n">
        <v>0.01</v>
      </c>
      <c r="M16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3" t="inlineStr">
        <is>
          <t>pending</t>
        </is>
      </c>
      <c r="P163" t="inlineStr">
        <is>
          <t>diluted_share_count_change</t>
        </is>
      </c>
      <c r="Q163" t="n">
        <v>70</v>
      </c>
      <c r="R163" t="n">
        <v>1</v>
      </c>
      <c r="S163" t="inlineStr">
        <is>
          <t>2024-01-28</t>
        </is>
      </c>
    </row>
    <row r="164">
      <c r="A164" t="inlineStr">
        <is>
          <t>reported_net_income_change__20250202</t>
        </is>
      </c>
      <c r="B164" t="n">
        <v>165</v>
      </c>
      <c r="C164" t="inlineStr">
        <is>
          <t>Change in Per-Share Earnings Numerator</t>
        </is>
      </c>
      <c r="D164" t="inlineStr">
        <is>
          <t>Current per-share earnings numerator minus prior per-share earnings numerator.</t>
        </is>
      </c>
      <c r="E164" t="inlineStr">
        <is>
          <t>per_share_attribution.reported_net_income_change.2025-02-02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D16</t>
        </is>
      </c>
      <c r="I164">
        <f>D5-C5</f>
        <v/>
      </c>
      <c r="J164" t="n">
        <v>264426</v>
      </c>
      <c r="K164" t="n">
        <v>0.01</v>
      </c>
      <c r="L164" t="inlineStr">
        <is>
          <t>net_income_link__20250202,net_income_link__20240128</t>
        </is>
      </c>
      <c r="M164" t="inlineStr">
        <is>
          <t>Change in Per-Share Earnings Numerator = Current Numerator - Prior Numerator.|This is the earnings-numerator movement used in diluted-EPS attribution.</t>
        </is>
      </c>
      <c r="O164" t="inlineStr">
        <is>
          <t>pending</t>
        </is>
      </c>
      <c r="P164" t="inlineStr">
        <is>
          <t>reported_net_income_change</t>
        </is>
      </c>
      <c r="Q164" t="n">
        <v>71</v>
      </c>
      <c r="R164" t="n">
        <v>2</v>
      </c>
      <c r="S164" t="inlineStr">
        <is>
          <t>2025-02-02</t>
        </is>
      </c>
    </row>
    <row r="165">
      <c r="A165" t="inlineStr">
        <is>
          <t>diluted_share_count_change__20250202</t>
        </is>
      </c>
      <c r="B165" t="n">
        <v>166</v>
      </c>
      <c r="C165" t="inlineStr">
        <is>
          <t>Change in Diluted Weighted-Average Shares</t>
        </is>
      </c>
      <c r="D165" t="inlineStr">
        <is>
          <t>Current diluted weighted-average shares minus prior shares.</t>
        </is>
      </c>
      <c r="E165" t="inlineStr">
        <is>
          <t>per_share.diluted_share_count_change.2025-02-02</t>
        </is>
      </c>
      <c r="F165" t="inlineStr">
        <is>
          <t>per_share</t>
        </is>
      </c>
      <c r="G165" t="inlineStr">
        <is>
          <t>Per Share Analysis</t>
        </is>
      </c>
      <c r="H165" t="inlineStr">
        <is>
          <t>D13</t>
        </is>
      </c>
      <c r="I165">
        <f>D7-C7</f>
        <v/>
      </c>
      <c r="J165" t="n">
        <v>-3125</v>
      </c>
      <c r="K165" t="n">
        <v>0.01</v>
      </c>
      <c r="M16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5" t="inlineStr">
        <is>
          <t>pending</t>
        </is>
      </c>
      <c r="P165" t="inlineStr">
        <is>
          <t>diluted_share_count_change</t>
        </is>
      </c>
      <c r="Q165" t="n">
        <v>70</v>
      </c>
      <c r="R165" t="n">
        <v>2</v>
      </c>
      <c r="S165" t="inlineStr">
        <is>
          <t>2025-02-02</t>
        </is>
      </c>
    </row>
    <row r="166">
      <c r="A166" t="inlineStr">
        <is>
          <t>reported_net_income_change__20260201</t>
        </is>
      </c>
      <c r="B166" t="n">
        <v>166</v>
      </c>
      <c r="C166" t="inlineStr">
        <is>
          <t>Change in Per-Share Earnings Numerator</t>
        </is>
      </c>
      <c r="D166" t="inlineStr">
        <is>
          <t>Current per-share earnings numerator minus prior per-share earnings numerator.</t>
        </is>
      </c>
      <c r="E166" t="inlineStr">
        <is>
          <t>per_share_attribution.reported_net_income_change.2026-02-01</t>
        </is>
      </c>
      <c r="F166" t="inlineStr">
        <is>
          <t>per_share_attribution</t>
        </is>
      </c>
      <c r="G166" t="inlineStr">
        <is>
          <t>Per Share Analysis</t>
        </is>
      </c>
      <c r="H166" t="inlineStr">
        <is>
          <t>E16</t>
        </is>
      </c>
      <c r="I166">
        <f>E5-D5</f>
        <v/>
      </c>
      <c r="J166" t="n">
        <v>-235433</v>
      </c>
      <c r="K166" t="n">
        <v>0.01</v>
      </c>
      <c r="L166" t="inlineStr">
        <is>
          <t>net_income_link__20260201,net_income_link__20250202</t>
        </is>
      </c>
      <c r="M166" t="inlineStr">
        <is>
          <t>Change in Per-Share Earnings Numerator = Current Numerator - Prior Numerator.|This is the earnings-numerator movement used in diluted-EPS attribution.</t>
        </is>
      </c>
      <c r="O166" t="inlineStr">
        <is>
          <t>pending</t>
        </is>
      </c>
      <c r="P166" t="inlineStr">
        <is>
          <t>reported_net_income_change</t>
        </is>
      </c>
      <c r="Q166" t="n">
        <v>71</v>
      </c>
      <c r="R166" t="n">
        <v>3</v>
      </c>
      <c r="S166" t="inlineStr">
        <is>
          <t>2026-02-01</t>
        </is>
      </c>
    </row>
    <row r="167">
      <c r="A167" t="inlineStr">
        <is>
          <t>diluted_share_count_change__20260201</t>
        </is>
      </c>
      <c r="B167" t="n">
        <v>167</v>
      </c>
      <c r="C167" t="inlineStr">
        <is>
          <t>Change in Diluted Weighted-Average Shares</t>
        </is>
      </c>
      <c r="D167" t="inlineStr">
        <is>
          <t>Current diluted weighted-average shares minus prior shares.</t>
        </is>
      </c>
      <c r="E167" t="inlineStr">
        <is>
          <t>per_share.diluted_share_count_change.2026-02-01</t>
        </is>
      </c>
      <c r="F167" t="inlineStr">
        <is>
          <t>per_share</t>
        </is>
      </c>
      <c r="G167" t="inlineStr">
        <is>
          <t>Per Share Analysis</t>
        </is>
      </c>
      <c r="H167" t="inlineStr">
        <is>
          <t>E13</t>
        </is>
      </c>
      <c r="I167">
        <f>E7-D7</f>
        <v/>
      </c>
      <c r="J167" t="n">
        <v>-4867</v>
      </c>
      <c r="K167" t="n">
        <v>0.01</v>
      </c>
      <c r="M167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7" t="inlineStr">
        <is>
          <t>pending</t>
        </is>
      </c>
      <c r="P167" t="inlineStr">
        <is>
          <t>diluted_share_count_change</t>
        </is>
      </c>
      <c r="Q167" t="n">
        <v>70</v>
      </c>
      <c r="R167" t="n">
        <v>3</v>
      </c>
      <c r="S167" t="inlineStr">
        <is>
          <t>2026-02-01</t>
        </is>
      </c>
    </row>
    <row r="168">
      <c r="A168" t="inlineStr">
        <is>
          <t>earnings_effect_on_diluted_eps_change__20240128</t>
        </is>
      </c>
      <c r="B168" t="n">
        <v>167</v>
      </c>
      <c r="C168" t="inlineStr">
        <is>
          <t>Earnings Effect on Change in Diluted EPS</t>
        </is>
      </c>
      <c r="D168" t="inlineStr">
        <is>
          <t>Change in per-share earnings numerator multiplied by midpoint inverse diluted shares.</t>
        </is>
      </c>
      <c r="E168" t="inlineStr">
        <is>
          <t>per_share_attribution.earnings_effect.2024-01-28</t>
        </is>
      </c>
      <c r="F168" t="inlineStr">
        <is>
          <t>per_share_attribution</t>
        </is>
      </c>
      <c r="G168" t="inlineStr">
        <is>
          <t>Per Share Analysis</t>
        </is>
      </c>
      <c r="H168" t="inlineStr">
        <is>
          <t>C17</t>
        </is>
      </c>
      <c r="I168">
        <f>C16*((1/C7+1/B7)/2)</f>
        <v/>
      </c>
      <c r="J168" t="n">
        <v>5.452469556195721</v>
      </c>
      <c r="K168" t="n">
        <v>0.01</v>
      </c>
      <c r="L168" t="inlineStr">
        <is>
          <t>reported_net_income_change__20240128</t>
        </is>
      </c>
      <c r="M16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8" t="inlineStr">
        <is>
          <t>pending</t>
        </is>
      </c>
      <c r="P168" t="inlineStr">
        <is>
          <t>earnings_effect_on_diluted_eps_change</t>
        </is>
      </c>
      <c r="Q168" t="n">
        <v>72</v>
      </c>
      <c r="R168" t="n">
        <v>1</v>
      </c>
      <c r="S168" t="inlineStr">
        <is>
          <t>2024-01-28</t>
        </is>
      </c>
    </row>
    <row r="169">
      <c r="A169" t="inlineStr">
        <is>
          <t>earnings_effect_on_diluted_eps_change__20250202</t>
        </is>
      </c>
      <c r="B169" t="n">
        <v>168</v>
      </c>
      <c r="C169" t="inlineStr">
        <is>
          <t>Earnings Effect on Change in Diluted EPS</t>
        </is>
      </c>
      <c r="D169" t="inlineStr">
        <is>
          <t>Change in per-share earnings numerator multiplied by midpoint inverse diluted shares.</t>
        </is>
      </c>
      <c r="E169" t="inlineStr">
        <is>
          <t>per_share_attribution.earnings_effect.2025-02-02</t>
        </is>
      </c>
      <c r="F169" t="inlineStr">
        <is>
          <t>per_share_attribution</t>
        </is>
      </c>
      <c r="G169" t="inlineStr">
        <is>
          <t>Per Share Analysis</t>
        </is>
      </c>
      <c r="H169" t="inlineStr">
        <is>
          <t>D17</t>
        </is>
      </c>
      <c r="I169">
        <f>D16*((1/D7+1/C7)/2)</f>
        <v/>
      </c>
      <c r="J169" t="n">
        <v>2.107348720019483</v>
      </c>
      <c r="K169" t="n">
        <v>0.01</v>
      </c>
      <c r="L169" t="inlineStr">
        <is>
          <t>reported_net_income_change__20250202</t>
        </is>
      </c>
      <c r="M169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9" t="inlineStr">
        <is>
          <t>pending</t>
        </is>
      </c>
      <c r="P169" t="inlineStr">
        <is>
          <t>earnings_effect_on_diluted_eps_change</t>
        </is>
      </c>
      <c r="Q169" t="n">
        <v>72</v>
      </c>
      <c r="R169" t="n">
        <v>2</v>
      </c>
      <c r="S169" t="inlineStr">
        <is>
          <t>2025-02-02</t>
        </is>
      </c>
    </row>
    <row r="170">
      <c r="A170" t="inlineStr">
        <is>
          <t>earnings_effect_on_diluted_eps_change__20260201</t>
        </is>
      </c>
      <c r="B170" t="n">
        <v>169</v>
      </c>
      <c r="C170" t="inlineStr">
        <is>
          <t>Earnings Effect on Change in Diluted EPS</t>
        </is>
      </c>
      <c r="D170" t="inlineStr">
        <is>
          <t>Change in per-share earnings numerator multiplied by midpoint inverse diluted shares.</t>
        </is>
      </c>
      <c r="E170" t="inlineStr">
        <is>
          <t>per_share_attribution.earnings_effect.2026-02-01</t>
        </is>
      </c>
      <c r="F170" t="inlineStr">
        <is>
          <t>per_share_attribution</t>
        </is>
      </c>
      <c r="G170" t="inlineStr">
        <is>
          <t>Per Share Analysis</t>
        </is>
      </c>
      <c r="H170" t="inlineStr">
        <is>
          <t>E17</t>
        </is>
      </c>
      <c r="I170">
        <f>E16*((1/E7+1/D7)/2)</f>
        <v/>
      </c>
      <c r="J170" t="n">
        <v>-1.93847384801317</v>
      </c>
      <c r="K170" t="n">
        <v>0.01</v>
      </c>
      <c r="L170" t="inlineStr">
        <is>
          <t>reported_net_income_change__20260201</t>
        </is>
      </c>
      <c r="M170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70" t="inlineStr">
        <is>
          <t>pending</t>
        </is>
      </c>
      <c r="P170" t="inlineStr">
        <is>
          <t>earnings_effect_on_diluted_eps_change</t>
        </is>
      </c>
      <c r="Q170" t="n">
        <v>72</v>
      </c>
      <c r="R170" t="n">
        <v>3</v>
      </c>
      <c r="S170" t="inlineStr">
        <is>
          <t>2026-02-01</t>
        </is>
      </c>
    </row>
    <row r="171">
      <c r="A171" t="inlineStr">
        <is>
          <t>share_count_effect_on_diluted_eps_change__20240128</t>
        </is>
      </c>
      <c r="B171" t="n">
        <v>170</v>
      </c>
      <c r="C171" t="inlineStr">
        <is>
          <t>Share-Count Effect on Change in Diluted EPS</t>
        </is>
      </c>
      <c r="D171" t="inlineStr">
        <is>
          <t>Change in inverse diluted shares multiplied by midpoint per-share earnings numerator.</t>
        </is>
      </c>
      <c r="E171" t="inlineStr">
        <is>
          <t>per_share_attribution.share_count_effect.2024-01-28</t>
        </is>
      </c>
      <c r="F171" t="inlineStr">
        <is>
          <t>per_share_attribution</t>
        </is>
      </c>
      <c r="G171" t="inlineStr">
        <is>
          <t>Per Share Analysis</t>
        </is>
      </c>
      <c r="H171" t="inlineStr">
        <is>
          <t>C18</t>
        </is>
      </c>
      <c r="I171">
        <f>((1/C7)-(1/B7))*((C5+B5)/2)</f>
        <v/>
      </c>
      <c r="J171" t="n">
        <v>0.07074874175480896</v>
      </c>
      <c r="K171" t="n">
        <v>0.01</v>
      </c>
      <c r="L171" t="inlineStr">
        <is>
          <t>diluted_share_count_change__20240128,net_income_link__20240128,net_income_link__20230129</t>
        </is>
      </c>
      <c r="M17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1" t="inlineStr">
        <is>
          <t>pending</t>
        </is>
      </c>
      <c r="P171" t="inlineStr">
        <is>
          <t>share_count_effect_on_diluted_eps_change</t>
        </is>
      </c>
      <c r="Q171" t="n">
        <v>73</v>
      </c>
      <c r="R171" t="n">
        <v>1</v>
      </c>
      <c r="S171" t="inlineStr">
        <is>
          <t>2024-01-28</t>
        </is>
      </c>
    </row>
    <row r="172">
      <c r="A172" t="inlineStr">
        <is>
          <t>share_count_effect_on_diluted_eps_change__20250202</t>
        </is>
      </c>
      <c r="B172" t="n">
        <v>171</v>
      </c>
      <c r="C172" t="inlineStr">
        <is>
          <t>Share-Count Effect on Change in Diluted EPS</t>
        </is>
      </c>
      <c r="D172" t="inlineStr">
        <is>
          <t>Change in inverse diluted shares multiplied by midpoint per-share earnings numerator.</t>
        </is>
      </c>
      <c r="E172" t="inlineStr">
        <is>
          <t>per_share_attribution.share_count_effect.2025-02-02</t>
        </is>
      </c>
      <c r="F172" t="inlineStr">
        <is>
          <t>per_share_attribution</t>
        </is>
      </c>
      <c r="G172" t="inlineStr">
        <is>
          <t>Per Share Analysis</t>
        </is>
      </c>
      <c r="H172" t="inlineStr">
        <is>
          <t>D18</t>
        </is>
      </c>
      <c r="I172">
        <f>((1/D7)-(1/C7))*((D5+C5)/2)</f>
        <v/>
      </c>
      <c r="J172" t="n">
        <v>0.3338698743357935</v>
      </c>
      <c r="K172" t="n">
        <v>0.01</v>
      </c>
      <c r="L172" t="inlineStr">
        <is>
          <t>diluted_share_count_change__20250202,net_income_link__20250202,net_income_link__20240128</t>
        </is>
      </c>
      <c r="M172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2" t="inlineStr">
        <is>
          <t>pending</t>
        </is>
      </c>
      <c r="P172" t="inlineStr">
        <is>
          <t>share_count_effect_on_diluted_eps_change</t>
        </is>
      </c>
      <c r="Q172" t="n">
        <v>73</v>
      </c>
      <c r="R172" t="n">
        <v>2</v>
      </c>
      <c r="S172" t="inlineStr">
        <is>
          <t>2025-02-02</t>
        </is>
      </c>
    </row>
    <row r="173">
      <c r="A173" t="inlineStr">
        <is>
          <t>share_count_effect_on_diluted_eps_change__20260201</t>
        </is>
      </c>
      <c r="B173" t="n">
        <v>172</v>
      </c>
      <c r="C173" t="inlineStr">
        <is>
          <t>Share-Count Effect on Change in Diluted EPS</t>
        </is>
      </c>
      <c r="D173" t="inlineStr">
        <is>
          <t>Change in inverse diluted shares multiplied by midpoint per-share earnings numerator.</t>
        </is>
      </c>
      <c r="E173" t="inlineStr">
        <is>
          <t>per_share_attribution.share_count_effect.2026-02-01</t>
        </is>
      </c>
      <c r="F173" t="inlineStr">
        <is>
          <t>per_share_attribution</t>
        </is>
      </c>
      <c r="G173" t="inlineStr">
        <is>
          <t>Per Share Analysis</t>
        </is>
      </c>
      <c r="H173" t="inlineStr">
        <is>
          <t>E18</t>
        </is>
      </c>
      <c r="I173">
        <f>((1/E7)-(1/D7))*((E5+D5)/2)</f>
        <v/>
      </c>
      <c r="J173" t="n">
        <v>0.5596653736416045</v>
      </c>
      <c r="K173" t="n">
        <v>0.01</v>
      </c>
      <c r="L173" t="inlineStr">
        <is>
          <t>diluted_share_count_change__20260201,net_income_link__20260201,net_income_link__20250202</t>
        </is>
      </c>
      <c r="M173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3" t="inlineStr">
        <is>
          <t>pending</t>
        </is>
      </c>
      <c r="P173" t="inlineStr">
        <is>
          <t>share_count_effect_on_diluted_eps_change</t>
        </is>
      </c>
      <c r="Q173" t="n">
        <v>73</v>
      </c>
      <c r="R173" t="n">
        <v>3</v>
      </c>
      <c r="S173" t="inlineStr">
        <is>
          <t>2026-02-01</t>
        </is>
      </c>
    </row>
    <row r="174">
      <c r="A174" t="inlineStr">
        <is>
          <t>diluted_eps_change_from_drivers__20240128</t>
        </is>
      </c>
      <c r="B174" t="n">
        <v>173</v>
      </c>
      <c r="C174" t="inlineStr">
        <is>
          <t>Change in Diluted EPS from Earnings + Share-Count Effects</t>
        </is>
      </c>
      <c r="D174" t="inlineStr">
        <is>
          <t>Earnings Effect plus Share-Count Effect.</t>
        </is>
      </c>
      <c r="E174" t="inlineStr">
        <is>
          <t>per_share_attribution.diluted_eps_change_from_drivers.2024-01-28</t>
        </is>
      </c>
      <c r="F174" t="inlineStr">
        <is>
          <t>per_share_attribution</t>
        </is>
      </c>
      <c r="G174" t="inlineStr">
        <is>
          <t>Per Share Analysis</t>
        </is>
      </c>
      <c r="H174" t="inlineStr">
        <is>
          <t>C19</t>
        </is>
      </c>
      <c r="I174">
        <f>C17+C18</f>
        <v/>
      </c>
      <c r="J174" t="n">
        <v>5.52321829795053</v>
      </c>
      <c r="K174" t="n">
        <v>0.01</v>
      </c>
      <c r="L174" t="inlineStr">
        <is>
          <t>earnings_effect_on_diluted_eps_change__20240128,share_count_effect_on_diluted_eps_change__20240128</t>
        </is>
      </c>
      <c r="M174" t="inlineStr">
        <is>
          <t>Change in Diluted EPS from Drivers = Earnings Effect + Share-Count Effect.|The driver total must reconcile exactly to the direct Change in Diluted EPS.</t>
        </is>
      </c>
      <c r="O174" t="inlineStr">
        <is>
          <t>pending</t>
        </is>
      </c>
      <c r="P174" t="inlineStr">
        <is>
          <t>diluted_eps_change_from_drivers</t>
        </is>
      </c>
      <c r="Q174" t="n">
        <v>74</v>
      </c>
      <c r="R174" t="n">
        <v>1</v>
      </c>
      <c r="S174" t="inlineStr">
        <is>
          <t>2024-01-28</t>
        </is>
      </c>
    </row>
    <row r="175">
      <c r="A175" t="inlineStr">
        <is>
          <t>diluted_eps_change_from_drivers__20250202</t>
        </is>
      </c>
      <c r="B175" t="n">
        <v>174</v>
      </c>
      <c r="C175" t="inlineStr">
        <is>
          <t>Change in Diluted EPS from Earnings + Share-Count Effects</t>
        </is>
      </c>
      <c r="D175" t="inlineStr">
        <is>
          <t>Earnings Effect plus Share-Count Effect.</t>
        </is>
      </c>
      <c r="E175" t="inlineStr">
        <is>
          <t>per_share_attribution.diluted_eps_change_from_drivers.2025-02-02</t>
        </is>
      </c>
      <c r="F175" t="inlineStr">
        <is>
          <t>per_share_attribution</t>
        </is>
      </c>
      <c r="G175" t="inlineStr">
        <is>
          <t>Per Share Analysis</t>
        </is>
      </c>
      <c r="H175" t="inlineStr">
        <is>
          <t>D19</t>
        </is>
      </c>
      <c r="I175">
        <f>D17+D18</f>
        <v/>
      </c>
      <c r="J175" t="n">
        <v>2.441218594355277</v>
      </c>
      <c r="K175" t="n">
        <v>0.01</v>
      </c>
      <c r="L175" t="inlineStr">
        <is>
          <t>earnings_effect_on_diluted_eps_change__20250202,share_count_effect_on_diluted_eps_change__20250202</t>
        </is>
      </c>
      <c r="M175" t="inlineStr">
        <is>
          <t>Change in Diluted EPS from Drivers = Earnings Effect + Share-Count Effect.|The driver total must reconcile exactly to the direct Change in Diluted EPS.</t>
        </is>
      </c>
      <c r="O175" t="inlineStr">
        <is>
          <t>pending</t>
        </is>
      </c>
      <c r="P175" t="inlineStr">
        <is>
          <t>diluted_eps_change_from_drivers</t>
        </is>
      </c>
      <c r="Q175" t="n">
        <v>74</v>
      </c>
      <c r="R175" t="n">
        <v>2</v>
      </c>
      <c r="S175" t="inlineStr">
        <is>
          <t>2025-02-02</t>
        </is>
      </c>
    </row>
    <row r="176">
      <c r="A176" t="inlineStr">
        <is>
          <t>diluted_eps_change_from_drivers__20260201</t>
        </is>
      </c>
      <c r="B176" t="n">
        <v>175</v>
      </c>
      <c r="C176" t="inlineStr">
        <is>
          <t>Change in Diluted EPS from Earnings + Share-Count Effects</t>
        </is>
      </c>
      <c r="D176" t="inlineStr">
        <is>
          <t>Earnings Effect plus Share-Count Effect.</t>
        </is>
      </c>
      <c r="E176" t="inlineStr">
        <is>
          <t>per_share_attribution.diluted_eps_change_from_drivers.2026-02-01</t>
        </is>
      </c>
      <c r="F176" t="inlineStr">
        <is>
          <t>per_share_attribution</t>
        </is>
      </c>
      <c r="G176" t="inlineStr">
        <is>
          <t>Per Share Analysis</t>
        </is>
      </c>
      <c r="H176" t="inlineStr">
        <is>
          <t>E19</t>
        </is>
      </c>
      <c r="I176">
        <f>E17+E18</f>
        <v/>
      </c>
      <c r="J176" t="n">
        <v>-1.378808474371566</v>
      </c>
      <c r="K176" t="n">
        <v>0.01</v>
      </c>
      <c r="L176" t="inlineStr">
        <is>
          <t>earnings_effect_on_diluted_eps_change__20260201,share_count_effect_on_diluted_eps_change__20260201</t>
        </is>
      </c>
      <c r="M176" t="inlineStr">
        <is>
          <t>Change in Diluted EPS from Drivers = Earnings Effect + Share-Count Effect.|The driver total must reconcile exactly to the direct Change in Diluted EPS.</t>
        </is>
      </c>
      <c r="O176" t="inlineStr">
        <is>
          <t>pending</t>
        </is>
      </c>
      <c r="P176" t="inlineStr">
        <is>
          <t>diluted_eps_change_from_drivers</t>
        </is>
      </c>
      <c r="Q176" t="n">
        <v>74</v>
      </c>
      <c r="R176" t="n">
        <v>3</v>
      </c>
      <c r="S176" t="inlineStr">
        <is>
          <t>2026-02-01</t>
        </is>
      </c>
    </row>
    <row r="177">
      <c r="A177" t="inlineStr">
        <is>
          <t>ppe_source_link__20230129</t>
        </is>
      </c>
      <c r="B177" t="n">
        <v>176</v>
      </c>
      <c r="C177" t="inlineStr">
        <is>
          <t>Property, Plant &amp; Equipment</t>
        </is>
      </c>
      <c r="D177" t="inlineStr">
        <is>
          <t>Link reported PP&amp;E for the same fiscal period.</t>
        </is>
      </c>
      <c r="E177" t="inlineStr">
        <is>
          <t>fixed_asset.ppe.2023-01-29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B44</t>
        </is>
      </c>
      <c r="I177">
        <f>'Balance Sheet'!B25</f>
        <v/>
      </c>
      <c r="J177" t="n">
        <v>1269614</v>
      </c>
      <c r="K177" t="n">
        <v>0.01</v>
      </c>
      <c r="M177" t="inlineStr">
        <is>
          <t>Pull ending Property, Plant &amp; Equipment for the same fiscal period.|This is a source link, not an investment conclusion.</t>
        </is>
      </c>
      <c r="O177" t="inlineStr">
        <is>
          <t>pending</t>
        </is>
      </c>
      <c r="P177" t="inlineStr">
        <is>
          <t>ppe_source_link</t>
        </is>
      </c>
      <c r="Q177" t="n">
        <v>79</v>
      </c>
      <c r="R177" t="n">
        <v>0</v>
      </c>
      <c r="S177" t="inlineStr">
        <is>
          <t>2023-01-29</t>
        </is>
      </c>
    </row>
    <row r="178">
      <c r="A178" t="inlineStr">
        <is>
          <t>ppe_source_link__20240128</t>
        </is>
      </c>
      <c r="B178" t="n">
        <v>177</v>
      </c>
      <c r="C178" t="inlineStr">
        <is>
          <t>Property, Plant &amp; Equipment</t>
        </is>
      </c>
      <c r="D178" t="inlineStr">
        <is>
          <t>Link reported PP&amp;E for the same fiscal period.</t>
        </is>
      </c>
      <c r="E178" t="inlineStr">
        <is>
          <t>fixed_asset.ppe.2024-01-28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C44</t>
        </is>
      </c>
      <c r="I178">
        <f>'Balance Sheet'!C25</f>
        <v/>
      </c>
      <c r="J178" t="n">
        <v>1545811</v>
      </c>
      <c r="K178" t="n">
        <v>0.01</v>
      </c>
      <c r="M178" t="inlineStr">
        <is>
          <t>Pull ending Property, Plant &amp; Equipment for the same fiscal period.|This is a source link, not an investment conclusion.</t>
        </is>
      </c>
      <c r="O178" t="inlineStr">
        <is>
          <t>pending</t>
        </is>
      </c>
      <c r="P178" t="inlineStr">
        <is>
          <t>ppe_source_link</t>
        </is>
      </c>
      <c r="Q178" t="n">
        <v>79</v>
      </c>
      <c r="R178" t="n">
        <v>1</v>
      </c>
      <c r="S178" t="inlineStr">
        <is>
          <t>2024-01-28</t>
        </is>
      </c>
    </row>
    <row r="179">
      <c r="A179" t="inlineStr">
        <is>
          <t>ppe_source_link__20250202</t>
        </is>
      </c>
      <c r="B179" t="n">
        <v>178</v>
      </c>
      <c r="C179" t="inlineStr">
        <is>
          <t>Property, Plant &amp; Equipment</t>
        </is>
      </c>
      <c r="D179" t="inlineStr">
        <is>
          <t>Link reported PP&amp;E for the same fiscal period.</t>
        </is>
      </c>
      <c r="E179" t="inlineStr">
        <is>
          <t>fixed_asset.ppe.2025-02-02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D44</t>
        </is>
      </c>
      <c r="I179">
        <f>'Balance Sheet'!D25</f>
        <v/>
      </c>
      <c r="J179" t="n">
        <v>1780617</v>
      </c>
      <c r="K179" t="n">
        <v>0.01</v>
      </c>
      <c r="M179" t="inlineStr">
        <is>
          <t>Pull ending Property, Plant &amp; Equipment for the same fiscal period.|This is a source link, not an investment conclusion.</t>
        </is>
      </c>
      <c r="O179" t="inlineStr">
        <is>
          <t>pending</t>
        </is>
      </c>
      <c r="P179" t="inlineStr">
        <is>
          <t>ppe_source_link</t>
        </is>
      </c>
      <c r="Q179" t="n">
        <v>79</v>
      </c>
      <c r="R179" t="n">
        <v>2</v>
      </c>
      <c r="S179" t="inlineStr">
        <is>
          <t>2025-02-02</t>
        </is>
      </c>
    </row>
    <row r="180">
      <c r="A180" t="inlineStr">
        <is>
          <t>ppe_source_link__20260201</t>
        </is>
      </c>
      <c r="B180" t="n">
        <v>179</v>
      </c>
      <c r="C180" t="inlineStr">
        <is>
          <t>Property, Plant &amp; Equipment</t>
        </is>
      </c>
      <c r="D180" t="inlineStr">
        <is>
          <t>Link reported PP&amp;E for the same fiscal period.</t>
        </is>
      </c>
      <c r="E180" t="inlineStr">
        <is>
          <t>fixed_asset.ppe.2026-02-01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E44</t>
        </is>
      </c>
      <c r="I180">
        <f>'Balance Sheet'!E25</f>
        <v/>
      </c>
      <c r="J180" t="n">
        <v>2033720</v>
      </c>
      <c r="K180" t="n">
        <v>0.01</v>
      </c>
      <c r="M180" t="inlineStr">
        <is>
          <t>Pull ending Property, Plant &amp; Equipment for the same fiscal period.|This is a source link, not an investment conclusion.</t>
        </is>
      </c>
      <c r="O180" t="inlineStr">
        <is>
          <t>pending</t>
        </is>
      </c>
      <c r="P180" t="inlineStr">
        <is>
          <t>ppe_source_link</t>
        </is>
      </c>
      <c r="Q180" t="n">
        <v>79</v>
      </c>
      <c r="R180" t="n">
        <v>3</v>
      </c>
      <c r="S180" t="inlineStr">
        <is>
          <t>2026-02-01</t>
        </is>
      </c>
    </row>
    <row r="181">
      <c r="A181" t="inlineStr">
        <is>
          <t>da_source_link__20230129</t>
        </is>
      </c>
      <c r="B181" t="n">
        <v>180</v>
      </c>
      <c r="C181" t="inlineStr">
        <is>
          <t>Depreciation &amp; Amortisation</t>
        </is>
      </c>
      <c r="D181" t="inlineStr">
        <is>
          <t>Link reported combined D&amp;A for the same fiscal period.</t>
        </is>
      </c>
      <c r="E181" t="inlineStr">
        <is>
          <t>fixed_asset.depreciation_amortization.2023-01-29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B45</t>
        </is>
      </c>
      <c r="I181">
        <f>'Cash Flow Statement'!B23</f>
        <v/>
      </c>
      <c r="J181" t="n">
        <v>291791</v>
      </c>
      <c r="K181" t="n">
        <v>0.01</v>
      </c>
      <c r="M181" t="inlineStr">
        <is>
          <t>Pull Depreciation &amp; Amortisation for the same fiscal period.|Combined D&amp;A may include intangible amortisation; do not treat it as a pure PP&amp;E depreciation charge.</t>
        </is>
      </c>
      <c r="O181" t="inlineStr">
        <is>
          <t>pending</t>
        </is>
      </c>
      <c r="P181" t="inlineStr">
        <is>
          <t>da_source_link</t>
        </is>
      </c>
      <c r="Q181" t="n">
        <v>80</v>
      </c>
      <c r="R181" t="n">
        <v>0</v>
      </c>
      <c r="S181" t="inlineStr">
        <is>
          <t>2023-01-29</t>
        </is>
      </c>
    </row>
    <row r="182">
      <c r="A182" t="inlineStr">
        <is>
          <t>da_source_link__20240128</t>
        </is>
      </c>
      <c r="B182" t="n">
        <v>181</v>
      </c>
      <c r="C182" t="inlineStr">
        <is>
          <t>Depreciation &amp; Amortisation</t>
        </is>
      </c>
      <c r="D182" t="inlineStr">
        <is>
          <t>Link reported combined D&amp;A for the same fiscal period.</t>
        </is>
      </c>
      <c r="E182" t="inlineStr">
        <is>
          <t>fixed_asset.depreciation_amortization.2024-01-28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C45</t>
        </is>
      </c>
      <c r="I182">
        <f>'Cash Flow Statement'!C23</f>
        <v/>
      </c>
      <c r="J182" t="n">
        <v>379384</v>
      </c>
      <c r="K182" t="n">
        <v>0.01</v>
      </c>
      <c r="M182" t="inlineStr">
        <is>
          <t>Pull Depreciation &amp; Amortisation for the same fiscal period.|Combined D&amp;A may include intangible amortisation; do not treat it as a pure PP&amp;E depreciation charge.</t>
        </is>
      </c>
      <c r="O182" t="inlineStr">
        <is>
          <t>pending</t>
        </is>
      </c>
      <c r="P182" t="inlineStr">
        <is>
          <t>da_source_link</t>
        </is>
      </c>
      <c r="Q182" t="n">
        <v>80</v>
      </c>
      <c r="R182" t="n">
        <v>1</v>
      </c>
      <c r="S182" t="inlineStr">
        <is>
          <t>2024-01-28</t>
        </is>
      </c>
    </row>
    <row r="183">
      <c r="A183" t="inlineStr">
        <is>
          <t>da_source_link__20250202</t>
        </is>
      </c>
      <c r="B183" t="n">
        <v>182</v>
      </c>
      <c r="C183" t="inlineStr">
        <is>
          <t>Depreciation &amp; Amortisation</t>
        </is>
      </c>
      <c r="D183" t="inlineStr">
        <is>
          <t>Link reported combined D&amp;A for the same fiscal period.</t>
        </is>
      </c>
      <c r="E183" t="inlineStr">
        <is>
          <t>fixed_asset.depreciation_amortization.2025-02-02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D45</t>
        </is>
      </c>
      <c r="I183">
        <f>'Cash Flow Statement'!D23</f>
        <v/>
      </c>
      <c r="J183" t="n">
        <v>446524</v>
      </c>
      <c r="K183" t="n">
        <v>0.01</v>
      </c>
      <c r="M183" t="inlineStr">
        <is>
          <t>Pull Depreciation &amp; Amortisation for the same fiscal period.|Combined D&amp;A may include intangible amortisation; do not treat it as a pure PP&amp;E depreciation charge.</t>
        </is>
      </c>
      <c r="O183" t="inlineStr">
        <is>
          <t>pending</t>
        </is>
      </c>
      <c r="P183" t="inlineStr">
        <is>
          <t>da_source_link</t>
        </is>
      </c>
      <c r="Q183" t="n">
        <v>80</v>
      </c>
      <c r="R183" t="n">
        <v>2</v>
      </c>
      <c r="S183" t="inlineStr">
        <is>
          <t>2025-02-02</t>
        </is>
      </c>
    </row>
    <row r="184">
      <c r="A184" t="inlineStr">
        <is>
          <t>da_source_link__20260201</t>
        </is>
      </c>
      <c r="B184" t="n">
        <v>183</v>
      </c>
      <c r="C184" t="inlineStr">
        <is>
          <t>Depreciation &amp; Amortisation</t>
        </is>
      </c>
      <c r="D184" t="inlineStr">
        <is>
          <t>Link reported combined D&amp;A for the same fiscal period.</t>
        </is>
      </c>
      <c r="E184" t="inlineStr">
        <is>
          <t>fixed_asset.depreciation_amortization.2026-02-01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E45</t>
        </is>
      </c>
      <c r="I184">
        <f>'Cash Flow Statement'!E23</f>
        <v/>
      </c>
      <c r="J184" t="n">
        <v>496228</v>
      </c>
      <c r="K184" t="n">
        <v>0.01</v>
      </c>
      <c r="M184" t="inlineStr">
        <is>
          <t>Pull Depreciation &amp; Amortisation for the same fiscal period.|Combined D&amp;A may include intangible amortisation; do not treat it as a pure PP&amp;E depreciation charge.</t>
        </is>
      </c>
      <c r="O184" t="inlineStr">
        <is>
          <t>pending</t>
        </is>
      </c>
      <c r="P184" t="inlineStr">
        <is>
          <t>da_source_link</t>
        </is>
      </c>
      <c r="Q184" t="n">
        <v>80</v>
      </c>
      <c r="R184" t="n">
        <v>3</v>
      </c>
      <c r="S184" t="inlineStr">
        <is>
          <t>2026-02-01</t>
        </is>
      </c>
    </row>
    <row r="185">
      <c r="A185" t="inlineStr">
        <is>
          <t>average_ppe__20240128</t>
        </is>
      </c>
      <c r="B185" t="n">
        <v>184</v>
      </c>
      <c r="C185" t="inlineStr">
        <is>
          <t>Average PP&amp;E</t>
        </is>
      </c>
      <c r="D185" t="inlineStr">
        <is>
          <t>Average beginning and ending PP&amp;E.</t>
        </is>
      </c>
      <c r="E185" t="inlineStr">
        <is>
          <t>fixed_asset.average_ppe.2024-01-28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C46</t>
        </is>
      </c>
      <c r="I185">
        <f>(B44+C44)/2</f>
        <v/>
      </c>
      <c r="J185" t="n">
        <v>1407712.5</v>
      </c>
      <c r="K185" t="n">
        <v>0.01</v>
      </c>
      <c r="L185" t="inlineStr">
        <is>
          <t>ppe_source_link__20240128,ppe_source_link__20230129</t>
        </is>
      </c>
      <c r="M185" t="inlineStr">
        <is>
          <t>Average PP&amp;E = (Prior PP&amp;E + Current PP&amp;E) / 2.</t>
        </is>
      </c>
      <c r="O185" t="inlineStr">
        <is>
          <t>pending</t>
        </is>
      </c>
      <c r="P185" t="inlineStr">
        <is>
          <t>average_ppe</t>
        </is>
      </c>
      <c r="Q185" t="n">
        <v>81</v>
      </c>
      <c r="R185" t="n">
        <v>1</v>
      </c>
      <c r="S185" t="inlineStr">
        <is>
          <t>2024-01-28</t>
        </is>
      </c>
    </row>
    <row r="186">
      <c r="A186" t="inlineStr">
        <is>
          <t>average_ppe__20250202</t>
        </is>
      </c>
      <c r="B186" t="n">
        <v>185</v>
      </c>
      <c r="C186" t="inlineStr">
        <is>
          <t>Average PP&amp;E</t>
        </is>
      </c>
      <c r="D186" t="inlineStr">
        <is>
          <t>Average beginning and ending PP&amp;E.</t>
        </is>
      </c>
      <c r="E186" t="inlineStr">
        <is>
          <t>fixed_asset.average_ppe.2025-02-02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D46</t>
        </is>
      </c>
      <c r="I186">
        <f>(C44+D44)/2</f>
        <v/>
      </c>
      <c r="J186" t="n">
        <v>1663214</v>
      </c>
      <c r="K186" t="n">
        <v>0.01</v>
      </c>
      <c r="L186" t="inlineStr">
        <is>
          <t>ppe_source_link__20250202,ppe_source_link__20240128</t>
        </is>
      </c>
      <c r="M186" t="inlineStr">
        <is>
          <t>Average PP&amp;E = (Prior PP&amp;E + Current PP&amp;E) / 2.</t>
        </is>
      </c>
      <c r="O186" t="inlineStr">
        <is>
          <t>pending</t>
        </is>
      </c>
      <c r="P186" t="inlineStr">
        <is>
          <t>average_ppe</t>
        </is>
      </c>
      <c r="Q186" t="n">
        <v>81</v>
      </c>
      <c r="R186" t="n">
        <v>2</v>
      </c>
      <c r="S186" t="inlineStr">
        <is>
          <t>2025-02-02</t>
        </is>
      </c>
    </row>
    <row r="187">
      <c r="A187" t="inlineStr">
        <is>
          <t>average_ppe__20260201</t>
        </is>
      </c>
      <c r="B187" t="n">
        <v>186</v>
      </c>
      <c r="C187" t="inlineStr">
        <is>
          <t>Average PP&amp;E</t>
        </is>
      </c>
      <c r="D187" t="inlineStr">
        <is>
          <t>Average beginning and ending PP&amp;E.</t>
        </is>
      </c>
      <c r="E187" t="inlineStr">
        <is>
          <t>fixed_asset.average_ppe.2026-02-01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E46</t>
        </is>
      </c>
      <c r="I187">
        <f>(D44+E44)/2</f>
        <v/>
      </c>
      <c r="J187" t="n">
        <v>1907168.5</v>
      </c>
      <c r="K187" t="n">
        <v>0.01</v>
      </c>
      <c r="L187" t="inlineStr">
        <is>
          <t>ppe_source_link__20260201,ppe_source_link__20250202</t>
        </is>
      </c>
      <c r="M187" t="inlineStr">
        <is>
          <t>Average PP&amp;E = (Prior PP&amp;E + Current PP&amp;E) / 2.</t>
        </is>
      </c>
      <c r="O187" t="inlineStr">
        <is>
          <t>pending</t>
        </is>
      </c>
      <c r="P187" t="inlineStr">
        <is>
          <t>average_ppe</t>
        </is>
      </c>
      <c r="Q187" t="n">
        <v>81</v>
      </c>
      <c r="R187" t="n">
        <v>3</v>
      </c>
      <c r="S187" t="inlineStr">
        <is>
          <t>2026-02-01</t>
        </is>
      </c>
    </row>
    <row r="188">
      <c r="A188" t="inlineStr">
        <is>
          <t>ppe_turnover__20240128</t>
        </is>
      </c>
      <c r="B188" t="n">
        <v>187</v>
      </c>
      <c r="C188" t="inlineStr">
        <is>
          <t>PP&amp;E Turnover</t>
        </is>
      </c>
      <c r="D188" t="inlineStr">
        <is>
          <t>Revenue divided by Average PP&amp;E.</t>
        </is>
      </c>
      <c r="E188" t="inlineStr">
        <is>
          <t>fixed_asset.ppe_turnover.2024-01-28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C47</t>
        </is>
      </c>
      <c r="I188">
        <f>IF(C46=0,NA(),'Condensed Financials'!C34/C46)</f>
        <v/>
      </c>
      <c r="J188" t="n">
        <v>6.83326886704494</v>
      </c>
      <c r="K188" t="n">
        <v>0.01</v>
      </c>
      <c r="L188" t="inlineStr">
        <is>
          <t>revenue_link__20240128,average_ppe__20240128</t>
        </is>
      </c>
      <c r="M188" t="inlineStr">
        <is>
          <t>PP&amp;E Turnover = Revenue / Average PP&amp;E.|A zero Average PP&amp;E denominator makes the ratio undefined (#N/A).|The ratio alone does not imply under- or over-investment.</t>
        </is>
      </c>
      <c r="O188" t="inlineStr">
        <is>
          <t>pending</t>
        </is>
      </c>
      <c r="P188" t="inlineStr">
        <is>
          <t>ppe_turnover</t>
        </is>
      </c>
      <c r="Q188" t="n">
        <v>82</v>
      </c>
      <c r="R188" t="n">
        <v>1</v>
      </c>
      <c r="S188" t="inlineStr">
        <is>
          <t>2024-01-28</t>
        </is>
      </c>
    </row>
    <row r="189">
      <c r="A189" t="inlineStr">
        <is>
          <t>ppe_turnover__20250202</t>
        </is>
      </c>
      <c r="B189" t="n">
        <v>188</v>
      </c>
      <c r="C189" t="inlineStr">
        <is>
          <t>PP&amp;E Turnover</t>
        </is>
      </c>
      <c r="D189" t="inlineStr">
        <is>
          <t>Revenue divided by Average PP&amp;E.</t>
        </is>
      </c>
      <c r="E189" t="inlineStr">
        <is>
          <t>fixed_asset.ppe_turnover.2025-02-02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D47</t>
        </is>
      </c>
      <c r="I189">
        <f>IF(D46=0,NA(),'Condensed Financials'!D34/D46)</f>
        <v/>
      </c>
      <c r="J189" t="n">
        <v>6.366063537223712</v>
      </c>
      <c r="K189" t="n">
        <v>0.01</v>
      </c>
      <c r="L189" t="inlineStr">
        <is>
          <t>revenue_link__20250202,average_ppe__20250202</t>
        </is>
      </c>
      <c r="M189" t="inlineStr">
        <is>
          <t>PP&amp;E Turnover = Revenue / Average PP&amp;E.|A zero Average PP&amp;E denominator makes the ratio undefined (#N/A).|The ratio alone does not imply under- or over-investment.</t>
        </is>
      </c>
      <c r="O189" t="inlineStr">
        <is>
          <t>pending</t>
        </is>
      </c>
      <c r="P189" t="inlineStr">
        <is>
          <t>ppe_turnover</t>
        </is>
      </c>
      <c r="Q189" t="n">
        <v>82</v>
      </c>
      <c r="R189" t="n">
        <v>2</v>
      </c>
      <c r="S189" t="inlineStr">
        <is>
          <t>2025-02-02</t>
        </is>
      </c>
    </row>
    <row r="190">
      <c r="A190" t="inlineStr">
        <is>
          <t>ppe_turnover__20260201</t>
        </is>
      </c>
      <c r="B190" t="n">
        <v>189</v>
      </c>
      <c r="C190" t="inlineStr">
        <is>
          <t>PP&amp;E Turnover</t>
        </is>
      </c>
      <c r="D190" t="inlineStr">
        <is>
          <t>Revenue divided by Average PP&amp;E.</t>
        </is>
      </c>
      <c r="E190" t="inlineStr">
        <is>
          <t>fixed_asset.ppe_turnover.2026-02-01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E47</t>
        </is>
      </c>
      <c r="I190">
        <f>IF(E46=0,NA(),'Condensed Financials'!E34/E46)</f>
        <v/>
      </c>
      <c r="J190" t="n">
        <v>5.821509740749178</v>
      </c>
      <c r="K190" t="n">
        <v>0.01</v>
      </c>
      <c r="L190" t="inlineStr">
        <is>
          <t>revenue_link__20260201,average_ppe__20260201</t>
        </is>
      </c>
      <c r="M190" t="inlineStr">
        <is>
          <t>PP&amp;E Turnover = Revenue / Average PP&amp;E.|A zero Average PP&amp;E denominator makes the ratio undefined (#N/A).|The ratio alone does not imply under- or over-investment.</t>
        </is>
      </c>
      <c r="O190" t="inlineStr">
        <is>
          <t>pending</t>
        </is>
      </c>
      <c r="P190" t="inlineStr">
        <is>
          <t>ppe_turnover</t>
        </is>
      </c>
      <c r="Q190" t="n">
        <v>82</v>
      </c>
      <c r="R190" t="n">
        <v>3</v>
      </c>
      <c r="S190" t="inlineStr">
        <is>
          <t>2026-02-01</t>
        </is>
      </c>
    </row>
    <row r="191">
      <c r="A191" t="inlineStr">
        <is>
          <t>ppe_intensity__20240128</t>
        </is>
      </c>
      <c r="B191" t="n">
        <v>190</v>
      </c>
      <c r="C191" t="inlineStr">
        <is>
          <t>PP&amp;E Intensity</t>
        </is>
      </c>
      <c r="D191" t="inlineStr">
        <is>
          <t>Average PP&amp;E divided by Revenue.</t>
        </is>
      </c>
      <c r="E191" t="inlineStr">
        <is>
          <t>fixed_asset.ppe_intensity.2024-01-28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C48</t>
        </is>
      </c>
      <c r="I191">
        <f>IF('Condensed Financials'!C34=0,NA(),C46/'Condensed Financials'!C34)</f>
        <v/>
      </c>
      <c r="J191" t="n">
        <v>0.1463428440263396</v>
      </c>
      <c r="K191" t="n">
        <v>0.01</v>
      </c>
      <c r="L191" t="inlineStr">
        <is>
          <t>revenue_link__20240128,average_ppe__20240128</t>
        </is>
      </c>
      <c r="M191" t="inlineStr">
        <is>
          <t>PP&amp;E Intensity = Average PP&amp;E / Revenue.|When defined, PP&amp;E Turnover × PP&amp;E Intensity = 1.|A higher intensity is not automatically bad; diagnose the asset mix first.</t>
        </is>
      </c>
      <c r="O191" t="inlineStr">
        <is>
          <t>pending</t>
        </is>
      </c>
      <c r="P191" t="inlineStr">
        <is>
          <t>ppe_intensity</t>
        </is>
      </c>
      <c r="Q191" t="n">
        <v>83</v>
      </c>
      <c r="R191" t="n">
        <v>1</v>
      </c>
      <c r="S191" t="inlineStr">
        <is>
          <t>2024-01-28</t>
        </is>
      </c>
    </row>
    <row r="192">
      <c r="A192" t="inlineStr">
        <is>
          <t>ppe_intensity__20250202</t>
        </is>
      </c>
      <c r="B192" t="n">
        <v>191</v>
      </c>
      <c r="C192" t="inlineStr">
        <is>
          <t>PP&amp;E Intensity</t>
        </is>
      </c>
      <c r="D192" t="inlineStr">
        <is>
          <t>Average PP&amp;E divided by Revenue.</t>
        </is>
      </c>
      <c r="E192" t="inlineStr">
        <is>
          <t>fixed_asset.ppe_intensity.2025-02-02</t>
        </is>
      </c>
      <c r="F192" t="inlineStr">
        <is>
          <t>fixed_asset</t>
        </is>
      </c>
      <c r="G192" t="inlineStr">
        <is>
          <t>ALT DuPont</t>
        </is>
      </c>
      <c r="H192" t="inlineStr">
        <is>
          <t>D48</t>
        </is>
      </c>
      <c r="I192">
        <f>IF('Condensed Financials'!D34=0,NA(),D46/'Condensed Financials'!D34)</f>
        <v/>
      </c>
      <c r="J192" t="n">
        <v>0.1570829436672741</v>
      </c>
      <c r="K192" t="n">
        <v>0.01</v>
      </c>
      <c r="L192" t="inlineStr">
        <is>
          <t>revenue_link__20250202,average_ppe__20250202</t>
        </is>
      </c>
      <c r="M192" t="inlineStr">
        <is>
          <t>PP&amp;E Intensity = Average PP&amp;E / Revenue.|When defined, PP&amp;E Turnover × PP&amp;E Intensity = 1.|A higher intensity is not automatically bad; diagnose the asset mix first.</t>
        </is>
      </c>
      <c r="O192" t="inlineStr">
        <is>
          <t>pending</t>
        </is>
      </c>
      <c r="P192" t="inlineStr">
        <is>
          <t>ppe_intensity</t>
        </is>
      </c>
      <c r="Q192" t="n">
        <v>83</v>
      </c>
      <c r="R192" t="n">
        <v>2</v>
      </c>
      <c r="S192" t="inlineStr">
        <is>
          <t>2025-02-02</t>
        </is>
      </c>
    </row>
    <row r="193">
      <c r="A193" t="inlineStr">
        <is>
          <t>ppe_intensity__20260201</t>
        </is>
      </c>
      <c r="B193" t="n">
        <v>192</v>
      </c>
      <c r="C193" t="inlineStr">
        <is>
          <t>PP&amp;E Intensity</t>
        </is>
      </c>
      <c r="D193" t="inlineStr">
        <is>
          <t>Average PP&amp;E divided by Revenue.</t>
        </is>
      </c>
      <c r="E193" t="inlineStr">
        <is>
          <t>fixed_asset.ppe_intensity.2026-02-01</t>
        </is>
      </c>
      <c r="F193" t="inlineStr">
        <is>
          <t>fixed_asset</t>
        </is>
      </c>
      <c r="G193" t="inlineStr">
        <is>
          <t>ALT DuPont</t>
        </is>
      </c>
      <c r="H193" t="inlineStr">
        <is>
          <t>E48</t>
        </is>
      </c>
      <c r="I193">
        <f>IF('Condensed Financials'!E34=0,NA(),E46/'Condensed Financials'!E34)</f>
        <v/>
      </c>
      <c r="J193" t="n">
        <v>0.1717767459874264</v>
      </c>
      <c r="K193" t="n">
        <v>0.01</v>
      </c>
      <c r="L193" t="inlineStr">
        <is>
          <t>revenue_link__20260201,average_ppe__20260201</t>
        </is>
      </c>
      <c r="M193" t="inlineStr">
        <is>
          <t>PP&amp;E Intensity = Average PP&amp;E / Revenue.|When defined, PP&amp;E Turnover × PP&amp;E Intensity = 1.|A higher intensity is not automatically bad; diagnose the asset mix first.</t>
        </is>
      </c>
      <c r="O193" t="inlineStr">
        <is>
          <t>pending</t>
        </is>
      </c>
      <c r="P193" t="inlineStr">
        <is>
          <t>ppe_intensity</t>
        </is>
      </c>
      <c r="Q193" t="n">
        <v>83</v>
      </c>
      <c r="R193" t="n">
        <v>3</v>
      </c>
      <c r="S193" t="inlineStr">
        <is>
          <t>2026-02-01</t>
        </is>
      </c>
    </row>
    <row r="194">
      <c r="A194" t="inlineStr">
        <is>
          <t>ppe_change__20240128</t>
        </is>
      </c>
      <c r="B194" t="n">
        <v>193</v>
      </c>
      <c r="C194" t="inlineStr">
        <is>
          <t>Change in PP&amp;E</t>
        </is>
      </c>
      <c r="D194" t="inlineStr">
        <is>
          <t>Current PP&amp;E minus prior PP&amp;E.</t>
        </is>
      </c>
      <c r="E194" t="inlineStr">
        <is>
          <t>fixed_asset.ppe_change.2024-01-28</t>
        </is>
      </c>
      <c r="F194" t="inlineStr">
        <is>
          <t>fixed_asset</t>
        </is>
      </c>
      <c r="G194" t="inlineStr">
        <is>
          <t>ALT DuPont</t>
        </is>
      </c>
      <c r="H194" t="inlineStr">
        <is>
          <t>C49</t>
        </is>
      </c>
      <c r="I194">
        <f>C44-B44</f>
        <v/>
      </c>
      <c r="J194" t="n">
        <v>276197</v>
      </c>
      <c r="K194" t="n">
        <v>0.01</v>
      </c>
      <c r="L194" t="inlineStr">
        <is>
          <t>ppe_source_link__20240128,ppe_source_link__20230129</t>
        </is>
      </c>
      <c r="M194" t="inlineStr">
        <is>
          <t>Change in PP&amp;E = Current PP&amp;E − Prior PP&amp;E.|This is not a capex amount; do not infer purchases of PP&amp;E from the change alone.</t>
        </is>
      </c>
      <c r="O194" t="inlineStr">
        <is>
          <t>pending</t>
        </is>
      </c>
      <c r="P194" t="inlineStr">
        <is>
          <t>ppe_change</t>
        </is>
      </c>
      <c r="Q194" t="n">
        <v>84</v>
      </c>
      <c r="R194" t="n">
        <v>1</v>
      </c>
      <c r="S194" t="inlineStr">
        <is>
          <t>2024-01-28</t>
        </is>
      </c>
    </row>
    <row r="195">
      <c r="A195" t="inlineStr">
        <is>
          <t>ppe_change__20250202</t>
        </is>
      </c>
      <c r="B195" t="n">
        <v>194</v>
      </c>
      <c r="C195" t="inlineStr">
        <is>
          <t>Change in PP&amp;E</t>
        </is>
      </c>
      <c r="D195" t="inlineStr">
        <is>
          <t>Current PP&amp;E minus prior PP&amp;E.</t>
        </is>
      </c>
      <c r="E195" t="inlineStr">
        <is>
          <t>fixed_asset.ppe_change.2025-02-02</t>
        </is>
      </c>
      <c r="F195" t="inlineStr">
        <is>
          <t>fixed_asset</t>
        </is>
      </c>
      <c r="G195" t="inlineStr">
        <is>
          <t>ALT DuPont</t>
        </is>
      </c>
      <c r="H195" t="inlineStr">
        <is>
          <t>D49</t>
        </is>
      </c>
      <c r="I195">
        <f>D44-C44</f>
        <v/>
      </c>
      <c r="J195" t="n">
        <v>234806</v>
      </c>
      <c r="K195" t="n">
        <v>0.01</v>
      </c>
      <c r="L195" t="inlineStr">
        <is>
          <t>ppe_source_link__20250202,ppe_source_link__20240128</t>
        </is>
      </c>
      <c r="M195" t="inlineStr">
        <is>
          <t>Change in PP&amp;E = Current PP&amp;E − Prior PP&amp;E.|This is not a capex amount; do not infer purchases of PP&amp;E from the change alone.</t>
        </is>
      </c>
      <c r="O195" t="inlineStr">
        <is>
          <t>pending</t>
        </is>
      </c>
      <c r="P195" t="inlineStr">
        <is>
          <t>ppe_change</t>
        </is>
      </c>
      <c r="Q195" t="n">
        <v>84</v>
      </c>
      <c r="R195" t="n">
        <v>2</v>
      </c>
      <c r="S195" t="inlineStr">
        <is>
          <t>2025-02-02</t>
        </is>
      </c>
    </row>
    <row r="196">
      <c r="A196" t="inlineStr">
        <is>
          <t>ppe_change__20260201</t>
        </is>
      </c>
      <c r="B196" t="n">
        <v>195</v>
      </c>
      <c r="C196" t="inlineStr">
        <is>
          <t>Change in PP&amp;E</t>
        </is>
      </c>
      <c r="D196" t="inlineStr">
        <is>
          <t>Current PP&amp;E minus prior PP&amp;E.</t>
        </is>
      </c>
      <c r="E196" t="inlineStr">
        <is>
          <t>fixed_asset.ppe_change.2026-02-01</t>
        </is>
      </c>
      <c r="F196" t="inlineStr">
        <is>
          <t>fixed_asset</t>
        </is>
      </c>
      <c r="G196" t="inlineStr">
        <is>
          <t>ALT DuPont</t>
        </is>
      </c>
      <c r="H196" t="inlineStr">
        <is>
          <t>E49</t>
        </is>
      </c>
      <c r="I196">
        <f>E44-D44</f>
        <v/>
      </c>
      <c r="J196" t="n">
        <v>253103</v>
      </c>
      <c r="K196" t="n">
        <v>0.01</v>
      </c>
      <c r="L196" t="inlineStr">
        <is>
          <t>ppe_source_link__20260201,ppe_source_link__20250202</t>
        </is>
      </c>
      <c r="M196" t="inlineStr">
        <is>
          <t>Change in PP&amp;E = Current PP&amp;E − Prior PP&amp;E.|This is not a capex amount; do not infer purchases of PP&amp;E from the change alone.</t>
        </is>
      </c>
      <c r="O196" t="inlineStr">
        <is>
          <t>pending</t>
        </is>
      </c>
      <c r="P196" t="inlineStr">
        <is>
          <t>ppe_change</t>
        </is>
      </c>
      <c r="Q196" t="n">
        <v>84</v>
      </c>
      <c r="R196" t="n">
        <v>3</v>
      </c>
      <c r="S196" t="inlineStr">
        <is>
          <t>2026-02-01</t>
        </is>
      </c>
    </row>
    <row r="197">
      <c r="A197" t="inlineStr">
        <is>
          <t>da_to_revenue__20230129</t>
        </is>
      </c>
      <c r="B197" t="n">
        <v>196</v>
      </c>
      <c r="C197" t="inlineStr">
        <is>
          <t>D&amp;A / Revenue</t>
        </is>
      </c>
      <c r="D197" t="inlineStr">
        <is>
          <t>Combined D&amp;A divided by Revenue.</t>
        </is>
      </c>
      <c r="E197" t="inlineStr">
        <is>
          <t>fixed_asset.da_to_revenue.2023-01-29</t>
        </is>
      </c>
      <c r="F197" t="inlineStr">
        <is>
          <t>fixed_asset</t>
        </is>
      </c>
      <c r="G197" t="inlineStr">
        <is>
          <t>ALT DuPont</t>
        </is>
      </c>
      <c r="H197" t="inlineStr">
        <is>
          <t>B50</t>
        </is>
      </c>
      <c r="I197">
        <f>IF('Condensed Financials'!B34=0,NA(),B45/'Condensed Financials'!B34)</f>
        <v/>
      </c>
      <c r="J197" t="n">
        <v>0.03597686362326056</v>
      </c>
      <c r="K197" t="n">
        <v>0.01</v>
      </c>
      <c r="L197" t="inlineStr">
        <is>
          <t>da_source_link__20230129,revenue_link__20230129</t>
        </is>
      </c>
      <c r="M197" t="inlineStr">
        <is>
          <t>D&amp;A / Revenue = Depreciation &amp; Amortisation / Revenue.|A zero Revenue denominator makes the ratio undefined (#N/A).</t>
        </is>
      </c>
      <c r="O197" t="inlineStr">
        <is>
          <t>pending</t>
        </is>
      </c>
      <c r="P197" t="inlineStr">
        <is>
          <t>da_to_revenue</t>
        </is>
      </c>
      <c r="Q197" t="n">
        <v>85</v>
      </c>
      <c r="R197" t="n">
        <v>0</v>
      </c>
      <c r="S197" t="inlineStr">
        <is>
          <t>2023-01-29</t>
        </is>
      </c>
    </row>
    <row r="198">
      <c r="A198" t="inlineStr">
        <is>
          <t>da_to_revenue__20240128</t>
        </is>
      </c>
      <c r="B198" t="n">
        <v>197</v>
      </c>
      <c r="C198" t="inlineStr">
        <is>
          <t>D&amp;A / Revenue</t>
        </is>
      </c>
      <c r="D198" t="inlineStr">
        <is>
          <t>Combined D&amp;A divided by Revenue.</t>
        </is>
      </c>
      <c r="E198" t="inlineStr">
        <is>
          <t>fixed_asset.da_to_revenue.2024-01-28</t>
        </is>
      </c>
      <c r="F198" t="inlineStr">
        <is>
          <t>fixed_asset</t>
        </is>
      </c>
      <c r="G198" t="inlineStr">
        <is>
          <t>ALT DuPont</t>
        </is>
      </c>
      <c r="H198" t="inlineStr">
        <is>
          <t>C50</t>
        </is>
      </c>
      <c r="I198">
        <f>IF('Condensed Financials'!C34=0,NA(),C45/'Condensed Financials'!C34)</f>
        <v/>
      </c>
      <c r="J198" t="n">
        <v>0.03943996628437186</v>
      </c>
      <c r="K198" t="n">
        <v>0.01</v>
      </c>
      <c r="L198" t="inlineStr">
        <is>
          <t>da_source_link__20240128,revenue_link__20240128</t>
        </is>
      </c>
      <c r="M198" t="inlineStr">
        <is>
          <t>D&amp;A / Revenue = Depreciation &amp; Amortisation / Revenue.|A zero Revenue denominator makes the ratio undefined (#N/A).</t>
        </is>
      </c>
      <c r="O198" t="inlineStr">
        <is>
          <t>pending</t>
        </is>
      </c>
      <c r="P198" t="inlineStr">
        <is>
          <t>da_to_revenue</t>
        </is>
      </c>
      <c r="Q198" t="n">
        <v>85</v>
      </c>
      <c r="R198" t="n">
        <v>1</v>
      </c>
      <c r="S198" t="inlineStr">
        <is>
          <t>2024-01-28</t>
        </is>
      </c>
    </row>
    <row r="199">
      <c r="A199" t="inlineStr">
        <is>
          <t>da_to_revenue__20250202</t>
        </is>
      </c>
      <c r="B199" t="n">
        <v>198</v>
      </c>
      <c r="C199" t="inlineStr">
        <is>
          <t>D&amp;A / Revenue</t>
        </is>
      </c>
      <c r="D199" t="inlineStr">
        <is>
          <t>Combined D&amp;A divided by Revenue.</t>
        </is>
      </c>
      <c r="E199" t="inlineStr">
        <is>
          <t>fixed_asset.da_to_revenue.2025-02-02</t>
        </is>
      </c>
      <c r="F199" t="inlineStr">
        <is>
          <t>fixed_asset</t>
        </is>
      </c>
      <c r="G199" t="inlineStr">
        <is>
          <t>ALT DuPont</t>
        </is>
      </c>
      <c r="H199" t="inlineStr">
        <is>
          <t>D50</t>
        </is>
      </c>
      <c r="I199">
        <f>IF('Condensed Financials'!D34=0,NA(),D45/'Condensed Financials'!D34)</f>
        <v/>
      </c>
      <c r="J199" t="n">
        <v>0.04217214642137806</v>
      </c>
      <c r="K199" t="n">
        <v>0.01</v>
      </c>
      <c r="L199" t="inlineStr">
        <is>
          <t>da_source_link__20250202,revenue_link__20250202</t>
        </is>
      </c>
      <c r="M199" t="inlineStr">
        <is>
          <t>D&amp;A / Revenue = Depreciation &amp; Amortisation / Revenue.|A zero Revenue denominator makes the ratio undefined (#N/A).</t>
        </is>
      </c>
      <c r="O199" t="inlineStr">
        <is>
          <t>pending</t>
        </is>
      </c>
      <c r="P199" t="inlineStr">
        <is>
          <t>da_to_revenue</t>
        </is>
      </c>
      <c r="Q199" t="n">
        <v>85</v>
      </c>
      <c r="R199" t="n">
        <v>2</v>
      </c>
      <c r="S199" t="inlineStr">
        <is>
          <t>2025-02-02</t>
        </is>
      </c>
    </row>
    <row r="200">
      <c r="A200" t="inlineStr">
        <is>
          <t>da_to_revenue__20260201</t>
        </is>
      </c>
      <c r="B200" t="n">
        <v>199</v>
      </c>
      <c r="C200" t="inlineStr">
        <is>
          <t>D&amp;A / Revenue</t>
        </is>
      </c>
      <c r="D200" t="inlineStr">
        <is>
          <t>Combined D&amp;A divided by Revenue.</t>
        </is>
      </c>
      <c r="E200" t="inlineStr">
        <is>
          <t>fixed_asset.da_to_revenue.2026-02-01</t>
        </is>
      </c>
      <c r="F200" t="inlineStr">
        <is>
          <t>fixed_asset</t>
        </is>
      </c>
      <c r="G200" t="inlineStr">
        <is>
          <t>ALT DuPont</t>
        </is>
      </c>
      <c r="H200" t="inlineStr">
        <is>
          <t>E50</t>
        </is>
      </c>
      <c r="I200">
        <f>IF('Condensed Financials'!E34=0,NA(),E45/'Condensed Financials'!E34)</f>
        <v/>
      </c>
      <c r="J200" t="n">
        <v>0.04469475618323636</v>
      </c>
      <c r="K200" t="n">
        <v>0.01</v>
      </c>
      <c r="L200" t="inlineStr">
        <is>
          <t>da_source_link__20260201,revenue_link__20260201</t>
        </is>
      </c>
      <c r="M200" t="inlineStr">
        <is>
          <t>D&amp;A / Revenue = Depreciation &amp; Amortisation / Revenue.|A zero Revenue denominator makes the ratio undefined (#N/A).</t>
        </is>
      </c>
      <c r="O200" t="inlineStr">
        <is>
          <t>pending</t>
        </is>
      </c>
      <c r="P200" t="inlineStr">
        <is>
          <t>da_to_revenue</t>
        </is>
      </c>
      <c r="Q200" t="n">
        <v>85</v>
      </c>
      <c r="R200" t="n">
        <v>3</v>
      </c>
      <c r="S200" t="inlineStr">
        <is>
          <t>2026-02-01</t>
        </is>
      </c>
    </row>
    <row r="201">
      <c r="A201" t="inlineStr">
        <is>
          <t>da_to_average_ppe__20240128</t>
        </is>
      </c>
      <c r="B201" t="n">
        <v>200</v>
      </c>
      <c r="C201" t="inlineStr">
        <is>
          <t>D&amp;A / Average PP&amp;E</t>
        </is>
      </c>
      <c r="D201" t="inlineStr">
        <is>
          <t>Combined D&amp;A divided by Average PP&amp;E (context ratio only).</t>
        </is>
      </c>
      <c r="E201" t="inlineStr">
        <is>
          <t>fixed_asset.da_to_average_ppe.2024-01-28</t>
        </is>
      </c>
      <c r="F201" t="inlineStr">
        <is>
          <t>fixed_asset</t>
        </is>
      </c>
      <c r="G201" t="inlineStr">
        <is>
          <t>ALT DuPont</t>
        </is>
      </c>
      <c r="H201" t="inlineStr">
        <is>
          <t>C51</t>
        </is>
      </c>
      <c r="I201">
        <f>IF(C46=0,NA(),C45/C46)</f>
        <v/>
      </c>
      <c r="J201" t="n">
        <v>0.2695038937283004</v>
      </c>
      <c r="K201" t="n">
        <v>0.01</v>
      </c>
      <c r="L201" t="inlineStr">
        <is>
          <t>da_source_link__20240128,average_ppe__20240128</t>
        </is>
      </c>
      <c r="M20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1" t="inlineStr">
        <is>
          <t>pending</t>
        </is>
      </c>
      <c r="P201" t="inlineStr">
        <is>
          <t>da_to_average_ppe</t>
        </is>
      </c>
      <c r="Q201" t="n">
        <v>86</v>
      </c>
      <c r="R201" t="n">
        <v>1</v>
      </c>
      <c r="S201" t="inlineStr">
        <is>
          <t>2024-01-28</t>
        </is>
      </c>
    </row>
    <row r="202">
      <c r="A202" t="inlineStr">
        <is>
          <t>da_to_average_ppe__20250202</t>
        </is>
      </c>
      <c r="B202" t="n">
        <v>201</v>
      </c>
      <c r="C202" t="inlineStr">
        <is>
          <t>D&amp;A / Average PP&amp;E</t>
        </is>
      </c>
      <c r="D202" t="inlineStr">
        <is>
          <t>Combined D&amp;A divided by Average PP&amp;E (context ratio only).</t>
        </is>
      </c>
      <c r="E202" t="inlineStr">
        <is>
          <t>fixed_asset.da_to_average_ppe.2025-02-02</t>
        </is>
      </c>
      <c r="F202" t="inlineStr">
        <is>
          <t>fixed_asset</t>
        </is>
      </c>
      <c r="G202" t="inlineStr">
        <is>
          <t>ALT DuPont</t>
        </is>
      </c>
      <c r="H202" t="inlineStr">
        <is>
          <t>D51</t>
        </is>
      </c>
      <c r="I202">
        <f>IF(D46=0,NA(),D45/D46)</f>
        <v/>
      </c>
      <c r="J202" t="n">
        <v>0.2684705636195944</v>
      </c>
      <c r="K202" t="n">
        <v>0.01</v>
      </c>
      <c r="L202" t="inlineStr">
        <is>
          <t>da_source_link__20250202,average_ppe__20250202</t>
        </is>
      </c>
      <c r="M20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2" t="inlineStr">
        <is>
          <t>pending</t>
        </is>
      </c>
      <c r="P202" t="inlineStr">
        <is>
          <t>da_to_average_ppe</t>
        </is>
      </c>
      <c r="Q202" t="n">
        <v>86</v>
      </c>
      <c r="R202" t="n">
        <v>2</v>
      </c>
      <c r="S202" t="inlineStr">
        <is>
          <t>2025-02-02</t>
        </is>
      </c>
    </row>
    <row r="203">
      <c r="A203" t="inlineStr">
        <is>
          <t>da_to_average_ppe__20260201</t>
        </is>
      </c>
      <c r="B203" t="n">
        <v>202</v>
      </c>
      <c r="C203" t="inlineStr">
        <is>
          <t>D&amp;A / Average PP&amp;E</t>
        </is>
      </c>
      <c r="D203" t="inlineStr">
        <is>
          <t>Combined D&amp;A divided by Average PP&amp;E (context ratio only).</t>
        </is>
      </c>
      <c r="E203" t="inlineStr">
        <is>
          <t>fixed_asset.da_to_average_ppe.2026-02-01</t>
        </is>
      </c>
      <c r="F203" t="inlineStr">
        <is>
          <t>fixed_asset</t>
        </is>
      </c>
      <c r="G203" t="inlineStr">
        <is>
          <t>ALT DuPont</t>
        </is>
      </c>
      <c r="H203" t="inlineStr">
        <is>
          <t>E51</t>
        </is>
      </c>
      <c r="I203">
        <f>IF(E46=0,NA(),E45/E46)</f>
        <v/>
      </c>
      <c r="J203" t="n">
        <v>0.2601909584811201</v>
      </c>
      <c r="K203" t="n">
        <v>0.01</v>
      </c>
      <c r="L203" t="inlineStr">
        <is>
          <t>da_source_link__20260201,average_ppe__20260201</t>
        </is>
      </c>
      <c r="M20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3" t="inlineStr">
        <is>
          <t>pending</t>
        </is>
      </c>
      <c r="P203" t="inlineStr">
        <is>
          <t>da_to_average_ppe</t>
        </is>
      </c>
      <c r="Q203" t="n">
        <v>86</v>
      </c>
      <c r="R203" t="n">
        <v>3</v>
      </c>
      <c r="S203" t="inlineStr">
        <is>
          <t>2026-02-01</t>
        </is>
      </c>
    </row>
    <row r="204">
      <c r="A204" t="inlineStr">
        <is>
          <t>lease_liability_source_link__20230129</t>
        </is>
      </c>
      <c r="B204" t="n">
        <v>203</v>
      </c>
      <c r="C204" t="inlineStr">
        <is>
          <t>Lease Liability</t>
        </is>
      </c>
      <c r="D204" t="inlineStr">
        <is>
          <t>Link the reported aggregate lease-liability balance.</t>
        </is>
      </c>
      <c r="E204" t="inlineStr">
        <is>
          <t>lease_liability.lease_liability.2023-01-29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B55</t>
        </is>
      </c>
      <c r="I204">
        <f>'Balance Sheet'!B17+'Balance Sheet'!B29</f>
        <v/>
      </c>
      <c r="J204" t="n">
        <v>1070334</v>
      </c>
      <c r="K204" t="n">
        <v>0.01</v>
      </c>
      <c r="M20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4" t="inlineStr">
        <is>
          <t>pending</t>
        </is>
      </c>
      <c r="P204" t="inlineStr">
        <is>
          <t>lease_liability_source_link</t>
        </is>
      </c>
      <c r="Q204" t="n">
        <v>87</v>
      </c>
      <c r="R204" t="n">
        <v>0</v>
      </c>
      <c r="S204" t="inlineStr">
        <is>
          <t>2023-01-29</t>
        </is>
      </c>
    </row>
    <row r="205">
      <c r="A205" t="inlineStr">
        <is>
          <t>lease_liability_source_link__20240128</t>
        </is>
      </c>
      <c r="B205" t="n">
        <v>204</v>
      </c>
      <c r="C205" t="inlineStr">
        <is>
          <t>Lease Liability</t>
        </is>
      </c>
      <c r="D205" t="inlineStr">
        <is>
          <t>Link the reported aggregate lease-liability balance.</t>
        </is>
      </c>
      <c r="E205" t="inlineStr">
        <is>
          <t>lease_liability.lease_liability.2024-01-28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C55</t>
        </is>
      </c>
      <c r="I205">
        <f>'Balance Sheet'!C17+'Balance Sheet'!C29</f>
        <v/>
      </c>
      <c r="J205" t="n">
        <v>1403282</v>
      </c>
      <c r="K205" t="n">
        <v>0.01</v>
      </c>
      <c r="M20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5" t="inlineStr">
        <is>
          <t>pending</t>
        </is>
      </c>
      <c r="P205" t="inlineStr">
        <is>
          <t>lease_liability_source_link</t>
        </is>
      </c>
      <c r="Q205" t="n">
        <v>87</v>
      </c>
      <c r="R205" t="n">
        <v>1</v>
      </c>
      <c r="S205" t="inlineStr">
        <is>
          <t>2024-01-28</t>
        </is>
      </c>
    </row>
    <row r="206">
      <c r="A206" t="inlineStr">
        <is>
          <t>lease_liability_source_link__20250202</t>
        </is>
      </c>
      <c r="B206" t="n">
        <v>205</v>
      </c>
      <c r="C206" t="inlineStr">
        <is>
          <t>Lease Liability</t>
        </is>
      </c>
      <c r="D206" t="inlineStr">
        <is>
          <t>Link the reported aggregate lease-liability balance.</t>
        </is>
      </c>
      <c r="E206" t="inlineStr">
        <is>
          <t>lease_liability.lease_liability.2025-02-02</t>
        </is>
      </c>
      <c r="F206" t="inlineStr">
        <is>
          <t>lease_liability</t>
        </is>
      </c>
      <c r="G206" t="inlineStr">
        <is>
          <t>ALT DuPont</t>
        </is>
      </c>
      <c r="H206" t="inlineStr">
        <is>
          <t>D55</t>
        </is>
      </c>
      <c r="I206">
        <f>'Balance Sheet'!D17+'Balance Sheet'!D29</f>
        <v/>
      </c>
      <c r="J206" t="n">
        <v>1575791</v>
      </c>
      <c r="K206" t="n">
        <v>0.01</v>
      </c>
      <c r="M20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6" t="inlineStr">
        <is>
          <t>pending</t>
        </is>
      </c>
      <c r="P206" t="inlineStr">
        <is>
          <t>lease_liability_source_link</t>
        </is>
      </c>
      <c r="Q206" t="n">
        <v>87</v>
      </c>
      <c r="R206" t="n">
        <v>2</v>
      </c>
      <c r="S206" t="inlineStr">
        <is>
          <t>2025-02-02</t>
        </is>
      </c>
    </row>
    <row r="207">
      <c r="A207" t="inlineStr">
        <is>
          <t>lease_liability_source_link__20260201</t>
        </is>
      </c>
      <c r="B207" t="n">
        <v>206</v>
      </c>
      <c r="C207" t="inlineStr">
        <is>
          <t>Lease Liability</t>
        </is>
      </c>
      <c r="D207" t="inlineStr">
        <is>
          <t>Link the reported aggregate lease-liability balance.</t>
        </is>
      </c>
      <c r="E207" t="inlineStr">
        <is>
          <t>lease_liability.lease_liability.2026-02-01</t>
        </is>
      </c>
      <c r="F207" t="inlineStr">
        <is>
          <t>lease_liability</t>
        </is>
      </c>
      <c r="G207" t="inlineStr">
        <is>
          <t>ALT DuPont</t>
        </is>
      </c>
      <c r="H207" t="inlineStr">
        <is>
          <t>E55</t>
        </is>
      </c>
      <c r="I207">
        <f>'Balance Sheet'!E17+'Balance Sheet'!E29</f>
        <v/>
      </c>
      <c r="J207" t="n">
        <v>1798441</v>
      </c>
      <c r="K207" t="n">
        <v>0.01</v>
      </c>
      <c r="M20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7" t="inlineStr">
        <is>
          <t>pending</t>
        </is>
      </c>
      <c r="P207" t="inlineStr">
        <is>
          <t>lease_liability_source_link</t>
        </is>
      </c>
      <c r="Q207" t="n">
        <v>87</v>
      </c>
      <c r="R207" t="n">
        <v>3</v>
      </c>
      <c r="S207" t="inlineStr">
        <is>
          <t>2026-02-01</t>
        </is>
      </c>
    </row>
    <row r="208">
      <c r="A208" t="inlineStr">
        <is>
          <t>lease_liability_to_revenue__20230129</t>
        </is>
      </c>
      <c r="B208" t="n">
        <v>207</v>
      </c>
      <c r="C208" t="inlineStr">
        <is>
          <t>Lease Liability / Revenue</t>
        </is>
      </c>
      <c r="D208" t="inlineStr">
        <is>
          <t>Reported lease liability divided by Revenue.</t>
        </is>
      </c>
      <c r="E208" t="inlineStr">
        <is>
          <t>lease_liability.lease_liability_to_revenue.2023-01-29</t>
        </is>
      </c>
      <c r="F208" t="inlineStr">
        <is>
          <t>lease_liability</t>
        </is>
      </c>
      <c r="G208" t="inlineStr">
        <is>
          <t>ALT DuPont</t>
        </is>
      </c>
      <c r="H208" t="inlineStr">
        <is>
          <t>B56</t>
        </is>
      </c>
      <c r="I208">
        <f>IF('Condensed Financials'!B34=0,NA(),B55/'Condensed Financials'!B34)</f>
        <v/>
      </c>
      <c r="J208" t="n">
        <v>0.1319686362819243</v>
      </c>
      <c r="K208" t="n">
        <v>0.01</v>
      </c>
      <c r="L208" t="inlineStr">
        <is>
          <t>lease_liability_source_link__20230129,revenue_link__20230129</t>
        </is>
      </c>
      <c r="M20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8" t="inlineStr">
        <is>
          <t>pending</t>
        </is>
      </c>
      <c r="P208" t="inlineStr">
        <is>
          <t>lease_liability_to_revenue</t>
        </is>
      </c>
      <c r="Q208" t="n">
        <v>88</v>
      </c>
      <c r="R208" t="n">
        <v>0</v>
      </c>
      <c r="S208" t="inlineStr">
        <is>
          <t>2023-01-29</t>
        </is>
      </c>
    </row>
    <row r="209">
      <c r="A209" t="inlineStr">
        <is>
          <t>lease_liability_to_revenue__20240128</t>
        </is>
      </c>
      <c r="B209" t="n">
        <v>208</v>
      </c>
      <c r="C209" t="inlineStr">
        <is>
          <t>Lease Liability / Revenue</t>
        </is>
      </c>
      <c r="D209" t="inlineStr">
        <is>
          <t>Reported lease liability divided by Revenue.</t>
        </is>
      </c>
      <c r="E209" t="inlineStr">
        <is>
          <t>lease_liability.lease_liability_to_revenue.2024-01-28</t>
        </is>
      </c>
      <c r="F209" t="inlineStr">
        <is>
          <t>lease_liability</t>
        </is>
      </c>
      <c r="G209" t="inlineStr">
        <is>
          <t>ALT DuPont</t>
        </is>
      </c>
      <c r="H209" t="inlineStr">
        <is>
          <t>C56</t>
        </is>
      </c>
      <c r="I209">
        <f>IF('Condensed Financials'!C34=0,NA(),C55/'Condensed Financials'!C34)</f>
        <v/>
      </c>
      <c r="J209" t="n">
        <v>0.145882258522937</v>
      </c>
      <c r="K209" t="n">
        <v>0.01</v>
      </c>
      <c r="L209" t="inlineStr">
        <is>
          <t>lease_liability_source_link__20240128,revenue_link__20240128</t>
        </is>
      </c>
      <c r="M20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9" t="inlineStr">
        <is>
          <t>pending</t>
        </is>
      </c>
      <c r="P209" t="inlineStr">
        <is>
          <t>lease_liability_to_revenue</t>
        </is>
      </c>
      <c r="Q209" t="n">
        <v>88</v>
      </c>
      <c r="R209" t="n">
        <v>1</v>
      </c>
      <c r="S209" t="inlineStr">
        <is>
          <t>2024-01-28</t>
        </is>
      </c>
    </row>
    <row r="210">
      <c r="A210" t="inlineStr">
        <is>
          <t>lease_liability_to_revenue__20250202</t>
        </is>
      </c>
      <c r="B210" t="n">
        <v>209</v>
      </c>
      <c r="C210" t="inlineStr">
        <is>
          <t>Lease Liability / Revenue</t>
        </is>
      </c>
      <c r="D210" t="inlineStr">
        <is>
          <t>Reported lease liability divided by Revenue.</t>
        </is>
      </c>
      <c r="E210" t="inlineStr">
        <is>
          <t>lease_liability.lease_liability_to_revenue.2025-02-02</t>
        </is>
      </c>
      <c r="F210" t="inlineStr">
        <is>
          <t>lease_liability</t>
        </is>
      </c>
      <c r="G210" t="inlineStr">
        <is>
          <t>ALT DuPont</t>
        </is>
      </c>
      <c r="H210" t="inlineStr">
        <is>
          <t>D56</t>
        </is>
      </c>
      <c r="I210">
        <f>IF('Condensed Financials'!D34=0,NA(),D55/'Condensed Financials'!D34)</f>
        <v/>
      </c>
      <c r="J210" t="n">
        <v>0.1488262417730956</v>
      </c>
      <c r="K210" t="n">
        <v>0.01</v>
      </c>
      <c r="L210" t="inlineStr">
        <is>
          <t>lease_liability_source_link__20250202,revenue_link__20250202</t>
        </is>
      </c>
      <c r="M210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0" t="inlineStr">
        <is>
          <t>pending</t>
        </is>
      </c>
      <c r="P210" t="inlineStr">
        <is>
          <t>lease_liability_to_revenue</t>
        </is>
      </c>
      <c r="Q210" t="n">
        <v>88</v>
      </c>
      <c r="R210" t="n">
        <v>2</v>
      </c>
      <c r="S210" t="inlineStr">
        <is>
          <t>2025-02-02</t>
        </is>
      </c>
    </row>
    <row r="211">
      <c r="A211" t="inlineStr">
        <is>
          <t>lease_liability_to_revenue__20260201</t>
        </is>
      </c>
      <c r="B211" t="n">
        <v>210</v>
      </c>
      <c r="C211" t="inlineStr">
        <is>
          <t>Lease Liability / Revenue</t>
        </is>
      </c>
      <c r="D211" t="inlineStr">
        <is>
          <t>Reported lease liability divided by Revenue.</t>
        </is>
      </c>
      <c r="E211" t="inlineStr">
        <is>
          <t>lease_liability.lease_liability_to_revenue.2026-02-01</t>
        </is>
      </c>
      <c r="F211" t="inlineStr">
        <is>
          <t>lease_liability</t>
        </is>
      </c>
      <c r="G211" t="inlineStr">
        <is>
          <t>ALT DuPont</t>
        </is>
      </c>
      <c r="H211" t="inlineStr">
        <is>
          <t>E56</t>
        </is>
      </c>
      <c r="I211">
        <f>IF('Condensed Financials'!E34=0,NA(),E55/'Condensed Financials'!E34)</f>
        <v/>
      </c>
      <c r="J211" t="n">
        <v>0.1619837695674887</v>
      </c>
      <c r="K211" t="n">
        <v>0.01</v>
      </c>
      <c r="L211" t="inlineStr">
        <is>
          <t>lease_liability_source_link__20260201,revenue_link__20260201</t>
        </is>
      </c>
      <c r="M21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1" t="inlineStr">
        <is>
          <t>pending</t>
        </is>
      </c>
      <c r="P211" t="inlineStr">
        <is>
          <t>lease_liability_to_revenue</t>
        </is>
      </c>
      <c r="Q211" t="n">
        <v>88</v>
      </c>
      <c r="R211" t="n">
        <v>3</v>
      </c>
      <c r="S211" t="inlineStr">
        <is>
          <t>2026-02-01</t>
        </is>
      </c>
    </row>
    <row r="212">
      <c r="A212" t="inlineStr">
        <is>
          <t>lease_liability_change__20240128</t>
        </is>
      </c>
      <c r="B212" t="n">
        <v>211</v>
      </c>
      <c r="C212" t="inlineStr">
        <is>
          <t>Change in Lease Liability</t>
        </is>
      </c>
      <c r="D212" t="inlineStr">
        <is>
          <t>Current lease liability minus prior lease liability.</t>
        </is>
      </c>
      <c r="E212" t="inlineStr">
        <is>
          <t>lease_liability.lease_liability_change.2024-01-28</t>
        </is>
      </c>
      <c r="F212" t="inlineStr">
        <is>
          <t>lease_liability</t>
        </is>
      </c>
      <c r="G212" t="inlineStr">
        <is>
          <t>ALT DuPont</t>
        </is>
      </c>
      <c r="H212" t="inlineStr">
        <is>
          <t>C57</t>
        </is>
      </c>
      <c r="I212">
        <f>C55-B55</f>
        <v/>
      </c>
      <c r="J212" t="n">
        <v>332948</v>
      </c>
      <c r="K212" t="n">
        <v>0.01</v>
      </c>
      <c r="L212" t="inlineStr">
        <is>
          <t>lease_liability_source_link__20240128,lease_liability_source_link__20230129</t>
        </is>
      </c>
      <c r="M212" t="inlineStr">
        <is>
          <t>Change in Lease Liability = Current − Prior reported lease liability.|Balance change is not rent growth, lease cash payments, or ROU-asset growth.</t>
        </is>
      </c>
      <c r="O212" t="inlineStr">
        <is>
          <t>pending</t>
        </is>
      </c>
      <c r="P212" t="inlineStr">
        <is>
          <t>lease_liability_change</t>
        </is>
      </c>
      <c r="Q212" t="n">
        <v>89</v>
      </c>
      <c r="R212" t="n">
        <v>1</v>
      </c>
      <c r="S212" t="inlineStr">
        <is>
          <t>2024-01-28</t>
        </is>
      </c>
    </row>
    <row r="213">
      <c r="A213" t="inlineStr">
        <is>
          <t>lease_liability_change__20250202</t>
        </is>
      </c>
      <c r="B213" t="n">
        <v>212</v>
      </c>
      <c r="C213" t="inlineStr">
        <is>
          <t>Change in Lease Liability</t>
        </is>
      </c>
      <c r="D213" t="inlineStr">
        <is>
          <t>Current lease liability minus prior lease liability.</t>
        </is>
      </c>
      <c r="E213" t="inlineStr">
        <is>
          <t>lease_liability.lease_liability_change.2025-02-02</t>
        </is>
      </c>
      <c r="F213" t="inlineStr">
        <is>
          <t>lease_liability</t>
        </is>
      </c>
      <c r="G213" t="inlineStr">
        <is>
          <t>ALT DuPont</t>
        </is>
      </c>
      <c r="H213" t="inlineStr">
        <is>
          <t>D57</t>
        </is>
      </c>
      <c r="I213">
        <f>D55-C55</f>
        <v/>
      </c>
      <c r="J213" t="n">
        <v>172509</v>
      </c>
      <c r="K213" t="n">
        <v>0.01</v>
      </c>
      <c r="L213" t="inlineStr">
        <is>
          <t>lease_liability_source_link__20250202,lease_liability_source_link__20240128</t>
        </is>
      </c>
      <c r="M213" t="inlineStr">
        <is>
          <t>Change in Lease Liability = Current − Prior reported lease liability.|Balance change is not rent growth, lease cash payments, or ROU-asset growth.</t>
        </is>
      </c>
      <c r="O213" t="inlineStr">
        <is>
          <t>pending</t>
        </is>
      </c>
      <c r="P213" t="inlineStr">
        <is>
          <t>lease_liability_change</t>
        </is>
      </c>
      <c r="Q213" t="n">
        <v>89</v>
      </c>
      <c r="R213" t="n">
        <v>2</v>
      </c>
      <c r="S213" t="inlineStr">
        <is>
          <t>2025-02-02</t>
        </is>
      </c>
    </row>
    <row r="214">
      <c r="A214" t="inlineStr">
        <is>
          <t>lease_liability_change__20260201</t>
        </is>
      </c>
      <c r="B214" t="n">
        <v>213</v>
      </c>
      <c r="C214" t="inlineStr">
        <is>
          <t>Change in Lease Liability</t>
        </is>
      </c>
      <c r="D214" t="inlineStr">
        <is>
          <t>Current lease liability minus prior lease liability.</t>
        </is>
      </c>
      <c r="E214" t="inlineStr">
        <is>
          <t>lease_liability.lease_liability_change.2026-02-01</t>
        </is>
      </c>
      <c r="F214" t="inlineStr">
        <is>
          <t>lease_liability</t>
        </is>
      </c>
      <c r="G214" t="inlineStr">
        <is>
          <t>ALT DuPont</t>
        </is>
      </c>
      <c r="H214" t="inlineStr">
        <is>
          <t>E57</t>
        </is>
      </c>
      <c r="I214">
        <f>E55-D55</f>
        <v/>
      </c>
      <c r="J214" t="n">
        <v>222650</v>
      </c>
      <c r="K214" t="n">
        <v>0.01</v>
      </c>
      <c r="L214" t="inlineStr">
        <is>
          <t>lease_liability_source_link__20260201,lease_liability_source_link__20250202</t>
        </is>
      </c>
      <c r="M214" t="inlineStr">
        <is>
          <t>Change in Lease Liability = Current − Prior reported lease liability.|Balance change is not rent growth, lease cash payments, or ROU-asset growth.</t>
        </is>
      </c>
      <c r="O214" t="inlineStr">
        <is>
          <t>pending</t>
        </is>
      </c>
      <c r="P214" t="inlineStr">
        <is>
          <t>lease_liability_change</t>
        </is>
      </c>
      <c r="Q214" t="n">
        <v>89</v>
      </c>
      <c r="R214" t="n">
        <v>3</v>
      </c>
      <c r="S214" t="inlineStr">
        <is>
          <t>2026-02-01</t>
        </is>
      </c>
    </row>
    <row r="215">
      <c r="A215" t="inlineStr">
        <is>
          <t>lease_liability_growth__20240128</t>
        </is>
      </c>
      <c r="B215" t="n">
        <v>214</v>
      </c>
      <c r="C215" t="inlineStr">
        <is>
          <t>Lease Liability Growth</t>
        </is>
      </c>
      <c r="D215" t="inlineStr">
        <is>
          <t>Percentage change in reported lease liability.</t>
        </is>
      </c>
      <c r="E215" t="inlineStr">
        <is>
          <t>lease_liability.lease_liability_growth.2024-01-28</t>
        </is>
      </c>
      <c r="F215" t="inlineStr">
        <is>
          <t>lease_liability</t>
        </is>
      </c>
      <c r="G215" t="inlineStr">
        <is>
          <t>ALT DuPont</t>
        </is>
      </c>
      <c r="H215" t="inlineStr">
        <is>
          <t>C58</t>
        </is>
      </c>
      <c r="I215">
        <f>IF(B55=0,NA(),C55/B55-1)</f>
        <v/>
      </c>
      <c r="J215" t="n">
        <v>0.3110692550175926</v>
      </c>
      <c r="K215" t="n">
        <v>0.01</v>
      </c>
      <c r="L215" t="inlineStr">
        <is>
          <t>lease_liability_source_link__20240128,lease_liability_source_link__20230129</t>
        </is>
      </c>
      <c r="M21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5" t="inlineStr">
        <is>
          <t>pending</t>
        </is>
      </c>
      <c r="P215" t="inlineStr">
        <is>
          <t>lease_liability_growth</t>
        </is>
      </c>
      <c r="Q215" t="n">
        <v>90</v>
      </c>
      <c r="R215" t="n">
        <v>1</v>
      </c>
      <c r="S215" t="inlineStr">
        <is>
          <t>2024-01-28</t>
        </is>
      </c>
    </row>
    <row r="216">
      <c r="A216" t="inlineStr">
        <is>
          <t>lease_liability_growth__20250202</t>
        </is>
      </c>
      <c r="B216" t="n">
        <v>215</v>
      </c>
      <c r="C216" t="inlineStr">
        <is>
          <t>Lease Liability Growth</t>
        </is>
      </c>
      <c r="D216" t="inlineStr">
        <is>
          <t>Percentage change in reported lease liability.</t>
        </is>
      </c>
      <c r="E216" t="inlineStr">
        <is>
          <t>lease_liability.lease_liability_growth.2025-02-02</t>
        </is>
      </c>
      <c r="F216" t="inlineStr">
        <is>
          <t>lease_liability</t>
        </is>
      </c>
      <c r="G216" t="inlineStr">
        <is>
          <t>ALT DuPont</t>
        </is>
      </c>
      <c r="H216" t="inlineStr">
        <is>
          <t>D58</t>
        </is>
      </c>
      <c r="I216">
        <f>IF(C55=0,NA(),D55/C55-1)</f>
        <v/>
      </c>
      <c r="J216" t="n">
        <v>0.122932525322779</v>
      </c>
      <c r="K216" t="n">
        <v>0.01</v>
      </c>
      <c r="L216" t="inlineStr">
        <is>
          <t>lease_liability_source_link__20250202,lease_liability_source_link__20240128</t>
        </is>
      </c>
      <c r="M21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6" t="inlineStr">
        <is>
          <t>pending</t>
        </is>
      </c>
      <c r="P216" t="inlineStr">
        <is>
          <t>lease_liability_growth</t>
        </is>
      </c>
      <c r="Q216" t="n">
        <v>90</v>
      </c>
      <c r="R216" t="n">
        <v>2</v>
      </c>
      <c r="S216" t="inlineStr">
        <is>
          <t>2025-02-02</t>
        </is>
      </c>
    </row>
    <row r="217">
      <c r="A217" t="inlineStr">
        <is>
          <t>lease_liability_growth__20260201</t>
        </is>
      </c>
      <c r="B217" t="n">
        <v>216</v>
      </c>
      <c r="C217" t="inlineStr">
        <is>
          <t>Lease Liability Growth</t>
        </is>
      </c>
      <c r="D217" t="inlineStr">
        <is>
          <t>Percentage change in reported lease liability.</t>
        </is>
      </c>
      <c r="E217" t="inlineStr">
        <is>
          <t>lease_liability.lease_liability_growth.2026-02-01</t>
        </is>
      </c>
      <c r="F217" t="inlineStr">
        <is>
          <t>lease_liability</t>
        </is>
      </c>
      <c r="G217" t="inlineStr">
        <is>
          <t>ALT DuPont</t>
        </is>
      </c>
      <c r="H217" t="inlineStr">
        <is>
          <t>E58</t>
        </is>
      </c>
      <c r="I217">
        <f>IF(D55=0,NA(),E55/D55-1)</f>
        <v/>
      </c>
      <c r="J217" t="n">
        <v>0.1412941183189903</v>
      </c>
      <c r="K217" t="n">
        <v>0.01</v>
      </c>
      <c r="L217" t="inlineStr">
        <is>
          <t>lease_liability_source_link__20260201,lease_liability_source_link__20250202</t>
        </is>
      </c>
      <c r="M21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7" t="inlineStr">
        <is>
          <t>pending</t>
        </is>
      </c>
      <c r="P217" t="inlineStr">
        <is>
          <t>lease_liability_growth</t>
        </is>
      </c>
      <c r="Q217" t="n">
        <v>90</v>
      </c>
      <c r="R217" t="n">
        <v>3</v>
      </c>
      <c r="S217" t="inlineStr">
        <is>
          <t>2026-02-01</t>
        </is>
      </c>
    </row>
    <row r="218">
      <c r="A218" t="inlineStr">
        <is>
          <t>goodwill_change__20240128</t>
        </is>
      </c>
      <c r="B218" t="n">
        <v>217</v>
      </c>
      <c r="C218" t="inlineStr">
        <is>
          <t>Change in Goodwill</t>
        </is>
      </c>
      <c r="D218" t="inlineStr">
        <is>
          <t>Current goodwill − prior goodwill. Flat goodwill does not establish absence of impairment disclosed elsewhere.</t>
        </is>
      </c>
      <c r="E218" t="inlineStr">
        <is>
          <t>goodwill_intangibles.goodwill_change.2024-01-28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C116</t>
        </is>
      </c>
      <c r="I218">
        <f>C115-B115</f>
        <v/>
      </c>
      <c r="J218" t="n">
        <v>-61</v>
      </c>
      <c r="K218" t="n">
        <v>0.01</v>
      </c>
      <c r="M218" t="inlineStr">
        <is>
          <t>Change in Goodwill = Current Goodwill − Prior Goodwill.|Flat goodwill does not establish absence of impairment disclosed elsewhere.</t>
        </is>
      </c>
      <c r="O218" t="inlineStr">
        <is>
          <t>pending</t>
        </is>
      </c>
      <c r="P218" t="inlineStr">
        <is>
          <t>goodwill_change</t>
        </is>
      </c>
      <c r="Q218" t="n">
        <v>98</v>
      </c>
      <c r="R218" t="n">
        <v>1</v>
      </c>
      <c r="S218" t="inlineStr">
        <is>
          <t>2024-01-28</t>
        </is>
      </c>
    </row>
    <row r="219">
      <c r="A219" t="inlineStr">
        <is>
          <t>goodwill_change__20250202</t>
        </is>
      </c>
      <c r="B219" t="n">
        <v>218</v>
      </c>
      <c r="C219" t="inlineStr">
        <is>
          <t>Change in Goodwill</t>
        </is>
      </c>
      <c r="D219" t="inlineStr">
        <is>
          <t>Current goodwill − prior goodwill. Flat goodwill does not establish absence of impairment disclosed elsewhere.</t>
        </is>
      </c>
      <c r="E219" t="inlineStr">
        <is>
          <t>goodwill_intangibles.goodwill_change.2025-02-02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D116</t>
        </is>
      </c>
      <c r="I219">
        <f>D115-C115</f>
        <v/>
      </c>
      <c r="J219" t="n">
        <v>135435</v>
      </c>
      <c r="K219" t="n">
        <v>0.01</v>
      </c>
      <c r="M219" t="inlineStr">
        <is>
          <t>Change in Goodwill = Current Goodwill − Prior Goodwill.|Flat goodwill does not establish absence of impairment disclosed elsewhere.</t>
        </is>
      </c>
      <c r="O219" t="inlineStr">
        <is>
          <t>pending</t>
        </is>
      </c>
      <c r="P219" t="inlineStr">
        <is>
          <t>goodwill_change</t>
        </is>
      </c>
      <c r="Q219" t="n">
        <v>98</v>
      </c>
      <c r="R219" t="n">
        <v>2</v>
      </c>
      <c r="S219" t="inlineStr">
        <is>
          <t>2025-02-02</t>
        </is>
      </c>
    </row>
    <row r="220">
      <c r="A220" t="inlineStr">
        <is>
          <t>goodwill_change__20260201</t>
        </is>
      </c>
      <c r="B220" t="n">
        <v>219</v>
      </c>
      <c r="C220" t="inlineStr">
        <is>
          <t>Change in Goodwill</t>
        </is>
      </c>
      <c r="D220" t="inlineStr">
        <is>
          <t>Current goodwill − prior goodwill. Flat goodwill does not establish absence of impairment disclosed elsewhere.</t>
        </is>
      </c>
      <c r="E220" t="inlineStr">
        <is>
          <t>goodwill_intangibles.goodwill_change.2026-02-01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E116</t>
        </is>
      </c>
      <c r="I220">
        <f>E115-D115</f>
        <v/>
      </c>
      <c r="J220" t="n">
        <v>25393</v>
      </c>
      <c r="K220" t="n">
        <v>0.01</v>
      </c>
      <c r="M220" t="inlineStr">
        <is>
          <t>Change in Goodwill = Current Goodwill − Prior Goodwill.|Flat goodwill does not establish absence of impairment disclosed elsewhere.</t>
        </is>
      </c>
      <c r="O220" t="inlineStr">
        <is>
          <t>pending</t>
        </is>
      </c>
      <c r="P220" t="inlineStr">
        <is>
          <t>goodwill_change</t>
        </is>
      </c>
      <c r="Q220" t="n">
        <v>98</v>
      </c>
      <c r="R220" t="n">
        <v>3</v>
      </c>
      <c r="S220" t="inlineStr">
        <is>
          <t>2026-02-01</t>
        </is>
      </c>
    </row>
    <row r="221">
      <c r="A221" t="inlineStr">
        <is>
          <t>goodwill_growth__20240128</t>
        </is>
      </c>
      <c r="B221" t="n">
        <v>220</v>
      </c>
      <c r="C221" t="inlineStr">
        <is>
          <t>Goodwill Growth</t>
        </is>
      </c>
      <c r="D221" t="inlineStr">
        <is>
          <t>Percentage change in reported goodwill.</t>
        </is>
      </c>
      <c r="E221" t="inlineStr">
        <is>
          <t>goodwill_intangibles.goodwill_growth.2024-01-28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C117</t>
        </is>
      </c>
      <c r="I221">
        <f>IF(B115=0,NA(),C115/B115-1)</f>
        <v/>
      </c>
      <c r="J221" t="n">
        <v>-0.002526507620941021</v>
      </c>
      <c r="K221" t="n">
        <v>0.01</v>
      </c>
      <c r="L221" t="inlineStr">
        <is>
          <t>goodwill_change__20240128</t>
        </is>
      </c>
      <c r="M22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1" t="inlineStr">
        <is>
          <t>pending</t>
        </is>
      </c>
      <c r="P221" t="inlineStr">
        <is>
          <t>goodwill_growth</t>
        </is>
      </c>
      <c r="Q221" t="n">
        <v>99</v>
      </c>
      <c r="R221" t="n">
        <v>1</v>
      </c>
      <c r="S221" t="inlineStr">
        <is>
          <t>2024-01-28</t>
        </is>
      </c>
    </row>
    <row r="222">
      <c r="A222" t="inlineStr">
        <is>
          <t>goodwill_growth__20250202</t>
        </is>
      </c>
      <c r="B222" t="n">
        <v>221</v>
      </c>
      <c r="C222" t="inlineStr">
        <is>
          <t>Goodwill Growth</t>
        </is>
      </c>
      <c r="D222" t="inlineStr">
        <is>
          <t>Percentage change in reported goodwill.</t>
        </is>
      </c>
      <c r="E222" t="inlineStr">
        <is>
          <t>goodwill_intangibles.goodwill_growth.2025-02-02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D117</t>
        </is>
      </c>
      <c r="I222">
        <f>IF(C115=0,NA(),D115/C115-1)</f>
        <v/>
      </c>
      <c r="J222" t="n">
        <v>5.623676452269236</v>
      </c>
      <c r="K222" t="n">
        <v>0.01</v>
      </c>
      <c r="L222" t="inlineStr">
        <is>
          <t>goodwill_change__20250202</t>
        </is>
      </c>
      <c r="M222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2" t="inlineStr">
        <is>
          <t>pending</t>
        </is>
      </c>
      <c r="P222" t="inlineStr">
        <is>
          <t>goodwill_growth</t>
        </is>
      </c>
      <c r="Q222" t="n">
        <v>99</v>
      </c>
      <c r="R222" t="n">
        <v>2</v>
      </c>
      <c r="S222" t="inlineStr">
        <is>
          <t>2025-02-02</t>
        </is>
      </c>
    </row>
    <row r="223">
      <c r="A223" t="inlineStr">
        <is>
          <t>goodwill_growth__20260201</t>
        </is>
      </c>
      <c r="B223" t="n">
        <v>222</v>
      </c>
      <c r="C223" t="inlineStr">
        <is>
          <t>Goodwill Growth</t>
        </is>
      </c>
      <c r="D223" t="inlineStr">
        <is>
          <t>Percentage change in reported goodwill.</t>
        </is>
      </c>
      <c r="E223" t="inlineStr">
        <is>
          <t>goodwill_intangibles.goodwill_growth.2026-02-01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E117</t>
        </is>
      </c>
      <c r="I223">
        <f>IF(D115=0,NA(),E115/D115-1)</f>
        <v/>
      </c>
      <c r="J223" t="n">
        <v>0.1591857972141075</v>
      </c>
      <c r="K223" t="n">
        <v>0.01</v>
      </c>
      <c r="L223" t="inlineStr">
        <is>
          <t>goodwill_change__20260201</t>
        </is>
      </c>
      <c r="M223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3" t="inlineStr">
        <is>
          <t>pending</t>
        </is>
      </c>
      <c r="P223" t="inlineStr">
        <is>
          <t>goodwill_growth</t>
        </is>
      </c>
      <c r="Q223" t="n">
        <v>99</v>
      </c>
      <c r="R223" t="n">
        <v>3</v>
      </c>
      <c r="S223" t="inlineStr">
        <is>
          <t>2026-02-01</t>
        </is>
      </c>
    </row>
    <row r="224">
      <c r="A224" t="inlineStr">
        <is>
          <t>average_goodwill__20240128</t>
        </is>
      </c>
      <c r="B224" t="n">
        <v>223</v>
      </c>
      <c r="C224" t="inlineStr">
        <is>
          <t>Average Goodwill</t>
        </is>
      </c>
      <c r="D224" t="inlineStr">
        <is>
          <t>Average beginning and ending goodwill.</t>
        </is>
      </c>
      <c r="E224" t="inlineStr">
        <is>
          <t>goodwill_intangibles.average_goodwill.2024-01-28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C118</t>
        </is>
      </c>
      <c r="I224">
        <f>(B115+C115)/2</f>
        <v/>
      </c>
      <c r="J224" t="n">
        <v>24113.5</v>
      </c>
      <c r="K224" t="n">
        <v>0.01</v>
      </c>
      <c r="M224" t="inlineStr">
        <is>
          <t>Average Goodwill = (Prior Goodwill + Current Goodwill) / 2.</t>
        </is>
      </c>
      <c r="O224" t="inlineStr">
        <is>
          <t>pending</t>
        </is>
      </c>
      <c r="P224" t="inlineStr">
        <is>
          <t>average_goodwill</t>
        </is>
      </c>
      <c r="Q224" t="n">
        <v>100</v>
      </c>
      <c r="R224" t="n">
        <v>1</v>
      </c>
      <c r="S224" t="inlineStr">
        <is>
          <t>2024-01-28</t>
        </is>
      </c>
    </row>
    <row r="225">
      <c r="A225" t="inlineStr">
        <is>
          <t>average_goodwill__20250202</t>
        </is>
      </c>
      <c r="B225" t="n">
        <v>224</v>
      </c>
      <c r="C225" t="inlineStr">
        <is>
          <t>Average Goodwill</t>
        </is>
      </c>
      <c r="D225" t="inlineStr">
        <is>
          <t>Average beginning and ending goodwill.</t>
        </is>
      </c>
      <c r="E225" t="inlineStr">
        <is>
          <t>goodwill_intangibles.average_goodwill.2025-02-02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D118</t>
        </is>
      </c>
      <c r="I225">
        <f>(C115+D115)/2</f>
        <v/>
      </c>
      <c r="J225" t="n">
        <v>91800.5</v>
      </c>
      <c r="K225" t="n">
        <v>0.01</v>
      </c>
      <c r="M225" t="inlineStr">
        <is>
          <t>Average Goodwill = (Prior Goodwill + Current Goodwill) / 2.</t>
        </is>
      </c>
      <c r="O225" t="inlineStr">
        <is>
          <t>pending</t>
        </is>
      </c>
      <c r="P225" t="inlineStr">
        <is>
          <t>average_goodwill</t>
        </is>
      </c>
      <c r="Q225" t="n">
        <v>100</v>
      </c>
      <c r="R225" t="n">
        <v>2</v>
      </c>
      <c r="S225" t="inlineStr">
        <is>
          <t>2025-02-02</t>
        </is>
      </c>
    </row>
    <row r="226">
      <c r="A226" t="inlineStr">
        <is>
          <t>average_goodwill__20260201</t>
        </is>
      </c>
      <c r="B226" t="n">
        <v>225</v>
      </c>
      <c r="C226" t="inlineStr">
        <is>
          <t>Average Goodwill</t>
        </is>
      </c>
      <c r="D226" t="inlineStr">
        <is>
          <t>Average beginning and ending goodwill.</t>
        </is>
      </c>
      <c r="E226" t="inlineStr">
        <is>
          <t>goodwill_intangibles.average_goodwill.2026-02-01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E118</t>
        </is>
      </c>
      <c r="I226">
        <f>(D115+E115)/2</f>
        <v/>
      </c>
      <c r="J226" t="n">
        <v>172214.5</v>
      </c>
      <c r="K226" t="n">
        <v>0.01</v>
      </c>
      <c r="M226" t="inlineStr">
        <is>
          <t>Average Goodwill = (Prior Goodwill + Current Goodwill) / 2.</t>
        </is>
      </c>
      <c r="O226" t="inlineStr">
        <is>
          <t>pending</t>
        </is>
      </c>
      <c r="P226" t="inlineStr">
        <is>
          <t>average_goodwill</t>
        </is>
      </c>
      <c r="Q226" t="n">
        <v>100</v>
      </c>
      <c r="R226" t="n">
        <v>3</v>
      </c>
      <c r="S226" t="inlineStr">
        <is>
          <t>2026-02-01</t>
        </is>
      </c>
    </row>
    <row r="227">
      <c r="A227" t="inlineStr">
        <is>
          <t>goodwill_to_revenue__20240128</t>
        </is>
      </c>
      <c r="B227" t="n">
        <v>226</v>
      </c>
      <c r="C227" t="inlineStr">
        <is>
          <t>Average Goodwill / Revenue</t>
        </is>
      </c>
      <c r="D227" t="inlineStr">
        <is>
          <t>Average goodwill divided by Revenue (average-balance intensity).</t>
        </is>
      </c>
      <c r="E227" t="inlineStr">
        <is>
          <t>goodwill_intangibles.goodwill_to_revenue.2024-01-28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C119</t>
        </is>
      </c>
      <c r="I227">
        <f>IF('Condensed Financials'!C34=0,NA(),C118/'Condensed Financials'!C34)</f>
        <v/>
      </c>
      <c r="J227" t="n">
        <v>0.002506788971064149</v>
      </c>
      <c r="K227" t="n">
        <v>0.01</v>
      </c>
      <c r="L227" t="inlineStr">
        <is>
          <t>average_goodwill__20240128,revenue_link__20240128</t>
        </is>
      </c>
      <c r="M227" t="inlineStr">
        <is>
          <t>Average Goodwill / Revenue uses the average balance, not the ending level alone.|A zero Revenue denominator makes the ratio undefined (#N/A).</t>
        </is>
      </c>
      <c r="O227" t="inlineStr">
        <is>
          <t>pending</t>
        </is>
      </c>
      <c r="P227" t="inlineStr">
        <is>
          <t>goodwill_to_revenue</t>
        </is>
      </c>
      <c r="Q227" t="n">
        <v>101</v>
      </c>
      <c r="R227" t="n">
        <v>1</v>
      </c>
      <c r="S227" t="inlineStr">
        <is>
          <t>2024-01-28</t>
        </is>
      </c>
    </row>
    <row r="228">
      <c r="A228" t="inlineStr">
        <is>
          <t>goodwill_to_revenue__20250202</t>
        </is>
      </c>
      <c r="B228" t="n">
        <v>227</v>
      </c>
      <c r="C228" t="inlineStr">
        <is>
          <t>Average Goodwill / Revenue</t>
        </is>
      </c>
      <c r="D228" t="inlineStr">
        <is>
          <t>Average goodwill divided by Revenue (average-balance intensity).</t>
        </is>
      </c>
      <c r="E228" t="inlineStr">
        <is>
          <t>goodwill_intangibles.goodwill_to_revenue.2025-02-02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D119</t>
        </is>
      </c>
      <c r="I228">
        <f>IF('Condensed Financials'!D34=0,NA(),D118/'Condensed Financials'!D34)</f>
        <v/>
      </c>
      <c r="J228" t="n">
        <v>0.008670136717300115</v>
      </c>
      <c r="K228" t="n">
        <v>0.01</v>
      </c>
      <c r="L228" t="inlineStr">
        <is>
          <t>average_goodwill__20250202,revenue_link__20250202</t>
        </is>
      </c>
      <c r="M228" t="inlineStr">
        <is>
          <t>Average Goodwill / Revenue uses the average balance, not the ending level alone.|A zero Revenue denominator makes the ratio undefined (#N/A).</t>
        </is>
      </c>
      <c r="O228" t="inlineStr">
        <is>
          <t>pending</t>
        </is>
      </c>
      <c r="P228" t="inlineStr">
        <is>
          <t>goodwill_to_revenue</t>
        </is>
      </c>
      <c r="Q228" t="n">
        <v>101</v>
      </c>
      <c r="R228" t="n">
        <v>2</v>
      </c>
      <c r="S228" t="inlineStr">
        <is>
          <t>2025-02-02</t>
        </is>
      </c>
    </row>
    <row r="229">
      <c r="A229" t="inlineStr">
        <is>
          <t>goodwill_to_revenue__20260201</t>
        </is>
      </c>
      <c r="B229" t="n">
        <v>228</v>
      </c>
      <c r="C229" t="inlineStr">
        <is>
          <t>Average Goodwill / Revenue</t>
        </is>
      </c>
      <c r="D229" t="inlineStr">
        <is>
          <t>Average goodwill divided by Revenue (average-balance intensity).</t>
        </is>
      </c>
      <c r="E229" t="inlineStr">
        <is>
          <t>goodwill_intangibles.goodwill_to_revenue.2026-02-01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E119</t>
        </is>
      </c>
      <c r="I229">
        <f>IF('Condensed Financials'!E34=0,NA(),E118/'Condensed Financials'!E34)</f>
        <v/>
      </c>
      <c r="J229" t="n">
        <v>0.01551118656891179</v>
      </c>
      <c r="K229" t="n">
        <v>0.01</v>
      </c>
      <c r="L229" t="inlineStr">
        <is>
          <t>average_goodwill__20260201,revenue_link__20260201</t>
        </is>
      </c>
      <c r="M229" t="inlineStr">
        <is>
          <t>Average Goodwill / Revenue uses the average balance, not the ending level alone.|A zero Revenue denominator makes the ratio undefined (#N/A).</t>
        </is>
      </c>
      <c r="O229" t="inlineStr">
        <is>
          <t>pending</t>
        </is>
      </c>
      <c r="P229" t="inlineStr">
        <is>
          <t>goodwill_to_revenue</t>
        </is>
      </c>
      <c r="Q229" t="n">
        <v>101</v>
      </c>
      <c r="R229" t="n">
        <v>3</v>
      </c>
      <c r="S229" t="inlineStr">
        <is>
          <t>2026-02-01</t>
        </is>
      </c>
    </row>
    <row r="230">
      <c r="A230" t="inlineStr">
        <is>
          <t>intangible_assets_change__20240128</t>
        </is>
      </c>
      <c r="B230" t="n">
        <v>229</v>
      </c>
      <c r="C230" t="inlineStr">
        <is>
          <t>Change in Intangible Assets</t>
        </is>
      </c>
      <c r="D230" t="inlineStr">
        <is>
          <t>Current intangible assets − prior intangible assets.</t>
        </is>
      </c>
      <c r="E230" t="inlineStr">
        <is>
          <t>goodwill_intangibles.intangible_assets_change.2024-01-28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C121</t>
        </is>
      </c>
      <c r="I230">
        <f>C120-B120</f>
        <v/>
      </c>
      <c r="J230" t="n">
        <v>-21961</v>
      </c>
      <c r="K230" t="n">
        <v>0.01</v>
      </c>
      <c r="M230" t="inlineStr">
        <is>
          <t>Change in Intangible Assets = Current − Prior reported intangible assets.</t>
        </is>
      </c>
      <c r="O230" t="inlineStr">
        <is>
          <t>pending</t>
        </is>
      </c>
      <c r="P230" t="inlineStr">
        <is>
          <t>intangible_assets_change</t>
        </is>
      </c>
      <c r="Q230" t="n">
        <v>102</v>
      </c>
      <c r="R230" t="n">
        <v>1</v>
      </c>
      <c r="S230" t="inlineStr">
        <is>
          <t>2024-01-28</t>
        </is>
      </c>
    </row>
    <row r="231">
      <c r="A231" t="inlineStr">
        <is>
          <t>intangible_assets_change__20250202</t>
        </is>
      </c>
      <c r="B231" t="n">
        <v>230</v>
      </c>
      <c r="C231" t="inlineStr">
        <is>
          <t>Change in Intangible Assets</t>
        </is>
      </c>
      <c r="D231" t="inlineStr">
        <is>
          <t>Current intangible assets − prior intangible assets.</t>
        </is>
      </c>
      <c r="E231" t="inlineStr">
        <is>
          <t>goodwill_intangibles.intangible_assets_change.2025-02-02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D121</t>
        </is>
      </c>
      <c r="I231">
        <f>D120-C120</f>
        <v/>
      </c>
      <c r="J231" t="n">
        <v>11673</v>
      </c>
      <c r="K231" t="n">
        <v>0.01</v>
      </c>
      <c r="M231" t="inlineStr">
        <is>
          <t>Change in Intangible Assets = Current − Prior reported intangible assets.</t>
        </is>
      </c>
      <c r="O231" t="inlineStr">
        <is>
          <t>pending</t>
        </is>
      </c>
      <c r="P231" t="inlineStr">
        <is>
          <t>intangible_assets_change</t>
        </is>
      </c>
      <c r="Q231" t="n">
        <v>102</v>
      </c>
      <c r="R231" t="n">
        <v>2</v>
      </c>
      <c r="S231" t="inlineStr">
        <is>
          <t>2025-02-02</t>
        </is>
      </c>
    </row>
    <row r="232">
      <c r="A232" t="inlineStr">
        <is>
          <t>intangible_assets_change__20260201</t>
        </is>
      </c>
      <c r="B232" t="n">
        <v>231</v>
      </c>
      <c r="C232" t="inlineStr">
        <is>
          <t>Change in Intangible Assets</t>
        </is>
      </c>
      <c r="D232" t="inlineStr">
        <is>
          <t>Current intangible assets − prior intangible assets.</t>
        </is>
      </c>
      <c r="E232" t="inlineStr">
        <is>
          <t>goodwill_intangibles.intangible_assets_change.2026-02-01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E121</t>
        </is>
      </c>
      <c r="I232">
        <f>E120-D120</f>
        <v/>
      </c>
      <c r="J232" t="n">
        <v>-5390</v>
      </c>
      <c r="K232" t="n">
        <v>0.01</v>
      </c>
      <c r="M232" t="inlineStr">
        <is>
          <t>Change in Intangible Assets = Current − Prior reported intangible assets.</t>
        </is>
      </c>
      <c r="O232" t="inlineStr">
        <is>
          <t>pending</t>
        </is>
      </c>
      <c r="P232" t="inlineStr">
        <is>
          <t>intangible_assets_change</t>
        </is>
      </c>
      <c r="Q232" t="n">
        <v>102</v>
      </c>
      <c r="R232" t="n">
        <v>3</v>
      </c>
      <c r="S232" t="inlineStr">
        <is>
          <t>2026-02-01</t>
        </is>
      </c>
    </row>
    <row r="233">
      <c r="A233" t="inlineStr">
        <is>
          <t>intangible_assets_growth__20240128</t>
        </is>
      </c>
      <c r="B233" t="n">
        <v>232</v>
      </c>
      <c r="C233" t="inlineStr">
        <is>
          <t>Intangible Assets Growth</t>
        </is>
      </c>
      <c r="D233" t="inlineStr">
        <is>
          <t>Percentage change in reported intangible assets.</t>
        </is>
      </c>
      <c r="E233" t="inlineStr">
        <is>
          <t>goodwill_intangibles.intangible_assets_growth.2024-01-28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C122</t>
        </is>
      </c>
      <c r="I233">
        <f>IF(B120=0,NA(),C120/B120-1)</f>
        <v/>
      </c>
      <c r="J233" t="n">
        <v>-1</v>
      </c>
      <c r="K233" t="n">
        <v>0.01</v>
      </c>
      <c r="L233" t="inlineStr">
        <is>
          <t>intangible_assets_change__20240128</t>
        </is>
      </c>
      <c r="M233" t="inlineStr">
        <is>
          <t>Intangible Assets Growth = Change / Prior intangible assets.|A zero prior balance makes percentage growth undefined (#N/A).</t>
        </is>
      </c>
      <c r="O233" t="inlineStr">
        <is>
          <t>pending</t>
        </is>
      </c>
      <c r="P233" t="inlineStr">
        <is>
          <t>intangible_assets_growth</t>
        </is>
      </c>
      <c r="Q233" t="n">
        <v>103</v>
      </c>
      <c r="R233" t="n">
        <v>1</v>
      </c>
      <c r="S233" t="inlineStr">
        <is>
          <t>2024-01-28</t>
        </is>
      </c>
    </row>
    <row r="234">
      <c r="A234" t="inlineStr">
        <is>
          <t>intangible_assets_growth__20250202</t>
        </is>
      </c>
      <c r="B234" t="n">
        <v>233</v>
      </c>
      <c r="C234" t="inlineStr">
        <is>
          <t>Intangible Assets Growth</t>
        </is>
      </c>
      <c r="D234" t="inlineStr">
        <is>
          <t>Percentage change in reported intangible assets.</t>
        </is>
      </c>
      <c r="E234" t="inlineStr">
        <is>
          <t>goodwill_intangibles.intangible_assets_growth.2025-02-02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D122</t>
        </is>
      </c>
      <c r="I234">
        <f>IF(C120=0,NA(),D120/C120-1)</f>
        <v/>
      </c>
      <c r="J234" t="e">
        <v>#N/A</v>
      </c>
      <c r="K234" t="n">
        <v>0.01</v>
      </c>
      <c r="L234" t="inlineStr">
        <is>
          <t>intangible_assets_change__20250202</t>
        </is>
      </c>
      <c r="M234" t="inlineStr">
        <is>
          <t>Intangible Assets Growth = Change / Prior intangible assets.|A zero prior balance makes percentage growth undefined (#N/A).</t>
        </is>
      </c>
      <c r="O234" t="inlineStr">
        <is>
          <t>pending</t>
        </is>
      </c>
      <c r="P234" t="inlineStr">
        <is>
          <t>intangible_assets_growth</t>
        </is>
      </c>
      <c r="Q234" t="n">
        <v>103</v>
      </c>
      <c r="R234" t="n">
        <v>2</v>
      </c>
      <c r="S234" t="inlineStr">
        <is>
          <t>2025-02-02</t>
        </is>
      </c>
    </row>
    <row r="235">
      <c r="A235" t="inlineStr">
        <is>
          <t>intangible_assets_growth__20260201</t>
        </is>
      </c>
      <c r="B235" t="n">
        <v>234</v>
      </c>
      <c r="C235" t="inlineStr">
        <is>
          <t>Intangible Assets Growth</t>
        </is>
      </c>
      <c r="D235" t="inlineStr">
        <is>
          <t>Percentage change in reported intangible assets.</t>
        </is>
      </c>
      <c r="E235" t="inlineStr">
        <is>
          <t>goodwill_intangibles.intangible_assets_growth.2026-02-01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E122</t>
        </is>
      </c>
      <c r="I235">
        <f>IF(D120=0,NA(),E120/D120-1)</f>
        <v/>
      </c>
      <c r="J235" t="n">
        <v>-0.4617493360747023</v>
      </c>
      <c r="K235" t="n">
        <v>0.01</v>
      </c>
      <c r="L235" t="inlineStr">
        <is>
          <t>intangible_assets_change__20260201</t>
        </is>
      </c>
      <c r="M235" t="inlineStr">
        <is>
          <t>Intangible Assets Growth = Change / Prior intangible assets.|A zero prior balance makes percentage growth undefined (#N/A).</t>
        </is>
      </c>
      <c r="O235" t="inlineStr">
        <is>
          <t>pending</t>
        </is>
      </c>
      <c r="P235" t="inlineStr">
        <is>
          <t>intangible_assets_growth</t>
        </is>
      </c>
      <c r="Q235" t="n">
        <v>103</v>
      </c>
      <c r="R235" t="n">
        <v>3</v>
      </c>
      <c r="S235" t="inlineStr">
        <is>
          <t>2026-02-01</t>
        </is>
      </c>
    </row>
    <row r="236">
      <c r="A236" t="inlineStr">
        <is>
          <t>average_intangible_assets__20240128</t>
        </is>
      </c>
      <c r="B236" t="n">
        <v>235</v>
      </c>
      <c r="C236" t="inlineStr">
        <is>
          <t>Average Intangible Assets</t>
        </is>
      </c>
      <c r="D236" t="inlineStr">
        <is>
          <t>Average beginning and ending intangible assets.</t>
        </is>
      </c>
      <c r="E236" t="inlineStr">
        <is>
          <t>goodwill_intangibles.average_intangible_assets.2024-01-28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C123</t>
        </is>
      </c>
      <c r="I236">
        <f>(B120+C120)/2</f>
        <v/>
      </c>
      <c r="J236" t="n">
        <v>10980.5</v>
      </c>
      <c r="K236" t="n">
        <v>0.01</v>
      </c>
      <c r="M236" t="inlineStr">
        <is>
          <t>Average Intangible Assets = (Prior + Current) / 2.</t>
        </is>
      </c>
      <c r="O236" t="inlineStr">
        <is>
          <t>pending</t>
        </is>
      </c>
      <c r="P236" t="inlineStr">
        <is>
          <t>average_intangible_assets</t>
        </is>
      </c>
      <c r="Q236" t="n">
        <v>104</v>
      </c>
      <c r="R236" t="n">
        <v>1</v>
      </c>
      <c r="S236" t="inlineStr">
        <is>
          <t>2024-01-28</t>
        </is>
      </c>
    </row>
    <row r="237">
      <c r="A237" t="inlineStr">
        <is>
          <t>average_intangible_assets__20250202</t>
        </is>
      </c>
      <c r="B237" t="n">
        <v>236</v>
      </c>
      <c r="C237" t="inlineStr">
        <is>
          <t>Average Intangible Assets</t>
        </is>
      </c>
      <c r="D237" t="inlineStr">
        <is>
          <t>Average beginning and ending intangible assets.</t>
        </is>
      </c>
      <c r="E237" t="inlineStr">
        <is>
          <t>goodwill_intangibles.average_intangible_assets.2025-02-02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D123</t>
        </is>
      </c>
      <c r="I237">
        <f>(C120+D120)/2</f>
        <v/>
      </c>
      <c r="J237" t="n">
        <v>5836.5</v>
      </c>
      <c r="K237" t="n">
        <v>0.01</v>
      </c>
      <c r="M237" t="inlineStr">
        <is>
          <t>Average Intangible Assets = (Prior + Current) / 2.</t>
        </is>
      </c>
      <c r="O237" t="inlineStr">
        <is>
          <t>pending</t>
        </is>
      </c>
      <c r="P237" t="inlineStr">
        <is>
          <t>average_intangible_assets</t>
        </is>
      </c>
      <c r="Q237" t="n">
        <v>104</v>
      </c>
      <c r="R237" t="n">
        <v>2</v>
      </c>
      <c r="S237" t="inlineStr">
        <is>
          <t>2025-02-02</t>
        </is>
      </c>
    </row>
    <row r="238">
      <c r="A238" t="inlineStr">
        <is>
          <t>average_intangible_assets__20260201</t>
        </is>
      </c>
      <c r="B238" t="n">
        <v>237</v>
      </c>
      <c r="C238" t="inlineStr">
        <is>
          <t>Average Intangible Assets</t>
        </is>
      </c>
      <c r="D238" t="inlineStr">
        <is>
          <t>Average beginning and ending intangible assets.</t>
        </is>
      </c>
      <c r="E238" t="inlineStr">
        <is>
          <t>goodwill_intangibles.average_intangible_assets.2026-02-01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E123</t>
        </is>
      </c>
      <c r="I238">
        <f>(D120+E120)/2</f>
        <v/>
      </c>
      <c r="J238" t="n">
        <v>8978</v>
      </c>
      <c r="K238" t="n">
        <v>0.01</v>
      </c>
      <c r="M238" t="inlineStr">
        <is>
          <t>Average Intangible Assets = (Prior + Current) / 2.</t>
        </is>
      </c>
      <c r="O238" t="inlineStr">
        <is>
          <t>pending</t>
        </is>
      </c>
      <c r="P238" t="inlineStr">
        <is>
          <t>average_intangible_assets</t>
        </is>
      </c>
      <c r="Q238" t="n">
        <v>104</v>
      </c>
      <c r="R238" t="n">
        <v>3</v>
      </c>
      <c r="S238" t="inlineStr">
        <is>
          <t>2026-02-01</t>
        </is>
      </c>
    </row>
    <row r="239">
      <c r="A239" t="inlineStr">
        <is>
          <t>intangible_assets_to_revenue__20240128</t>
        </is>
      </c>
      <c r="B239" t="n">
        <v>238</v>
      </c>
      <c r="C239" t="inlineStr">
        <is>
          <t>Average Intangible Assets / Revenue</t>
        </is>
      </c>
      <c r="D239" t="inlineStr">
        <is>
          <t>Average intangible assets divided by Revenue (average-balance intensity).</t>
        </is>
      </c>
      <c r="E239" t="inlineStr">
        <is>
          <t>goodwill_intangibles.intangible_assets_to_revenue.2024-01-28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C124</t>
        </is>
      </c>
      <c r="I239">
        <f>IF('Condensed Financials'!C34=0,NA(),C123/'Condensed Financials'!C34)</f>
        <v/>
      </c>
      <c r="J239" t="n">
        <v>0.001141509788988321</v>
      </c>
      <c r="K239" t="n">
        <v>0.01</v>
      </c>
      <c r="L239" t="inlineStr">
        <is>
          <t>average_intangible_assets__20240128,revenue_link__20240128</t>
        </is>
      </c>
      <c r="M239" t="inlineStr">
        <is>
          <t>Average Intangible Assets / Revenue uses the average balance.|A zero Revenue denominator makes the ratio undefined (#N/A).</t>
        </is>
      </c>
      <c r="O239" t="inlineStr">
        <is>
          <t>pending</t>
        </is>
      </c>
      <c r="P239" t="inlineStr">
        <is>
          <t>intangible_assets_to_revenue</t>
        </is>
      </c>
      <c r="Q239" t="n">
        <v>105</v>
      </c>
      <c r="R239" t="n">
        <v>1</v>
      </c>
      <c r="S239" t="inlineStr">
        <is>
          <t>2024-01-28</t>
        </is>
      </c>
    </row>
    <row r="240">
      <c r="A240" t="inlineStr">
        <is>
          <t>intangible_assets_to_revenue__20250202</t>
        </is>
      </c>
      <c r="B240" t="n">
        <v>239</v>
      </c>
      <c r="C240" t="inlineStr">
        <is>
          <t>Average Intangible Assets / Revenue</t>
        </is>
      </c>
      <c r="D240" t="inlineStr">
        <is>
          <t>Average intangible assets divided by Revenue (average-balance intensity).</t>
        </is>
      </c>
      <c r="E240" t="inlineStr">
        <is>
          <t>goodwill_intangibles.intangible_assets_to_revenue.2025-02-02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D124</t>
        </is>
      </c>
      <c r="I240">
        <f>IF('Condensed Financials'!D34=0,NA(),D123/'Condensed Financials'!D34)</f>
        <v/>
      </c>
      <c r="J240" t="n">
        <v>0.0005512306899256771</v>
      </c>
      <c r="K240" t="n">
        <v>0.01</v>
      </c>
      <c r="L240" t="inlineStr">
        <is>
          <t>average_intangible_assets__20250202,revenue_link__20250202</t>
        </is>
      </c>
      <c r="M240" t="inlineStr">
        <is>
          <t>Average Intangible Assets / Revenue uses the average balance.|A zero Revenue denominator makes the ratio undefined (#N/A).</t>
        </is>
      </c>
      <c r="O240" t="inlineStr">
        <is>
          <t>pending</t>
        </is>
      </c>
      <c r="P240" t="inlineStr">
        <is>
          <t>intangible_assets_to_revenue</t>
        </is>
      </c>
      <c r="Q240" t="n">
        <v>105</v>
      </c>
      <c r="R240" t="n">
        <v>2</v>
      </c>
      <c r="S240" t="inlineStr">
        <is>
          <t>2025-02-02</t>
        </is>
      </c>
    </row>
    <row r="241">
      <c r="A241" t="inlineStr">
        <is>
          <t>intangible_assets_to_revenue__20260201</t>
        </is>
      </c>
      <c r="B241" t="n">
        <v>240</v>
      </c>
      <c r="C241" t="inlineStr">
        <is>
          <t>Average Intangible Assets / Revenue</t>
        </is>
      </c>
      <c r="D241" t="inlineStr">
        <is>
          <t>Average intangible assets divided by Revenue (average-balance intensity).</t>
        </is>
      </c>
      <c r="E241" t="inlineStr">
        <is>
          <t>goodwill_intangibles.intangible_assets_to_revenue.2026-02-01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E124</t>
        </is>
      </c>
      <c r="I241">
        <f>IF('Condensed Financials'!E34=0,NA(),E123/'Condensed Financials'!E34)</f>
        <v/>
      </c>
      <c r="J241" t="n">
        <v>0.0008086394177940303</v>
      </c>
      <c r="K241" t="n">
        <v>0.01</v>
      </c>
      <c r="L241" t="inlineStr">
        <is>
          <t>average_intangible_assets__20260201,revenue_link__20260201</t>
        </is>
      </c>
      <c r="M241" t="inlineStr">
        <is>
          <t>Average Intangible Assets / Revenue uses the average balance.|A zero Revenue denominator makes the ratio undefined (#N/A).</t>
        </is>
      </c>
      <c r="O241" t="inlineStr">
        <is>
          <t>pending</t>
        </is>
      </c>
      <c r="P241" t="inlineStr">
        <is>
          <t>intangible_assets_to_revenue</t>
        </is>
      </c>
      <c r="Q241" t="n">
        <v>105</v>
      </c>
      <c r="R241" t="n">
        <v>3</v>
      </c>
      <c r="S241" t="inlineStr">
        <is>
          <t>2026-02-01</t>
        </is>
      </c>
    </row>
    <row r="242">
      <c r="A242" t="inlineStr">
        <is>
          <t>goodwill_and_intangibles_change__20240128</t>
        </is>
      </c>
      <c r="B242" t="n">
        <v>241</v>
      </c>
      <c r="C242" t="inlineStr">
        <is>
          <t>Change in Goodwill &amp; Intangibles</t>
        </is>
      </c>
      <c r="D242" t="inlineStr">
        <is>
          <t>Current combined total − prior combined total.</t>
        </is>
      </c>
      <c r="E242" t="inlineStr">
        <is>
          <t>goodwill_intangibles.goodwill_and_intangibles_change.2024-01-28</t>
        </is>
      </c>
      <c r="F242" t="inlineStr">
        <is>
          <t>goodwill_intangibles</t>
        </is>
      </c>
      <c r="G242" t="inlineStr">
        <is>
          <t>ALT DuPont</t>
        </is>
      </c>
      <c r="H242" t="inlineStr">
        <is>
          <t>C126</t>
        </is>
      </c>
      <c r="I242">
        <f>C125-B125</f>
        <v/>
      </c>
      <c r="J242" t="n">
        <v>-22022</v>
      </c>
      <c r="K242" t="n">
        <v>0.01</v>
      </c>
      <c r="M242" t="inlineStr">
        <is>
          <t>Combined total is the sum of uniquely resolved goodwill and intangible assets only.</t>
        </is>
      </c>
      <c r="O242" t="inlineStr">
        <is>
          <t>pending</t>
        </is>
      </c>
      <c r="P242" t="inlineStr">
        <is>
          <t>goodwill_and_intangibles_change</t>
        </is>
      </c>
      <c r="Q242" t="n">
        <v>106</v>
      </c>
      <c r="R242" t="n">
        <v>1</v>
      </c>
      <c r="S242" t="inlineStr">
        <is>
          <t>2024-01-28</t>
        </is>
      </c>
    </row>
    <row r="243">
      <c r="A243" t="inlineStr">
        <is>
          <t>goodwill_and_intangibles_change__20250202</t>
        </is>
      </c>
      <c r="B243" t="n">
        <v>242</v>
      </c>
      <c r="C243" t="inlineStr">
        <is>
          <t>Change in Goodwill &amp; Intangibles</t>
        </is>
      </c>
      <c r="D243" t="inlineStr">
        <is>
          <t>Current combined total − prior combined total.</t>
        </is>
      </c>
      <c r="E243" t="inlineStr">
        <is>
          <t>goodwill_intangibles.goodwill_and_intangibles_change.2025-02-02</t>
        </is>
      </c>
      <c r="F243" t="inlineStr">
        <is>
          <t>goodwill_intangibles</t>
        </is>
      </c>
      <c r="G243" t="inlineStr">
        <is>
          <t>ALT DuPont</t>
        </is>
      </c>
      <c r="H243" t="inlineStr">
        <is>
          <t>D126</t>
        </is>
      </c>
      <c r="I243">
        <f>D125-C125</f>
        <v/>
      </c>
      <c r="J243" t="n">
        <v>147108</v>
      </c>
      <c r="K243" t="n">
        <v>0.01</v>
      </c>
      <c r="M243" t="inlineStr">
        <is>
          <t>Combined total is the sum of uniquely resolved goodwill and intangible assets only.</t>
        </is>
      </c>
      <c r="O243" t="inlineStr">
        <is>
          <t>pending</t>
        </is>
      </c>
      <c r="P243" t="inlineStr">
        <is>
          <t>goodwill_and_intangibles_change</t>
        </is>
      </c>
      <c r="Q243" t="n">
        <v>106</v>
      </c>
      <c r="R243" t="n">
        <v>2</v>
      </c>
      <c r="S243" t="inlineStr">
        <is>
          <t>2025-02-02</t>
        </is>
      </c>
    </row>
    <row r="244">
      <c r="A244" t="inlineStr">
        <is>
          <t>goodwill_and_intangibles_change__20260201</t>
        </is>
      </c>
      <c r="B244" t="n">
        <v>243</v>
      </c>
      <c r="C244" t="inlineStr">
        <is>
          <t>Change in Goodwill &amp; Intangibles</t>
        </is>
      </c>
      <c r="D244" t="inlineStr">
        <is>
          <t>Current combined total − prior combined total.</t>
        </is>
      </c>
      <c r="E244" t="inlineStr">
        <is>
          <t>goodwill_intangibles.goodwill_and_intangibles_change.2026-02-01</t>
        </is>
      </c>
      <c r="F244" t="inlineStr">
        <is>
          <t>goodwill_intangibles</t>
        </is>
      </c>
      <c r="G244" t="inlineStr">
        <is>
          <t>ALT DuPont</t>
        </is>
      </c>
      <c r="H244" t="inlineStr">
        <is>
          <t>E126</t>
        </is>
      </c>
      <c r="I244">
        <f>E125-D125</f>
        <v/>
      </c>
      <c r="J244" t="n">
        <v>20003</v>
      </c>
      <c r="K244" t="n">
        <v>0.01</v>
      </c>
      <c r="M244" t="inlineStr">
        <is>
          <t>Combined total is the sum of uniquely resolved goodwill and intangible assets only.</t>
        </is>
      </c>
      <c r="O244" t="inlineStr">
        <is>
          <t>pending</t>
        </is>
      </c>
      <c r="P244" t="inlineStr">
        <is>
          <t>goodwill_and_intangibles_change</t>
        </is>
      </c>
      <c r="Q244" t="n">
        <v>106</v>
      </c>
      <c r="R244" t="n">
        <v>3</v>
      </c>
      <c r="S244" t="inlineStr">
        <is>
          <t>2026-02-01</t>
        </is>
      </c>
    </row>
    <row r="245">
      <c r="A245" t="inlineStr">
        <is>
          <t>goodwill_and_intangibles_growth__20240128</t>
        </is>
      </c>
      <c r="B245" t="n">
        <v>244</v>
      </c>
      <c r="C245" t="inlineStr">
        <is>
          <t>Goodwill &amp; Intangibles Growth</t>
        </is>
      </c>
      <c r="D245" t="inlineStr">
        <is>
          <t>Percentage change in the combined goodwill and intangibles total.</t>
        </is>
      </c>
      <c r="E245" t="inlineStr">
        <is>
          <t>goodwill_intangibles.goodwill_and_intangibles_growth.2024-01-28</t>
        </is>
      </c>
      <c r="F245" t="inlineStr">
        <is>
          <t>goodwill_intangibles</t>
        </is>
      </c>
      <c r="G245" t="inlineStr">
        <is>
          <t>ALT DuPont</t>
        </is>
      </c>
      <c r="H245" t="inlineStr">
        <is>
          <t>C127</t>
        </is>
      </c>
      <c r="I245">
        <f>IF(B125=0,NA(),C125/B125-1)</f>
        <v/>
      </c>
      <c r="J245" t="n">
        <v>-0.4776488450276543</v>
      </c>
      <c r="K245" t="n">
        <v>0.01</v>
      </c>
      <c r="L245" t="inlineStr">
        <is>
          <t>goodwill_and_intangibles_change__20240128</t>
        </is>
      </c>
      <c r="M245" t="inlineStr">
        <is>
          <t>Growth = Change / Prior combined total.|A zero prior combined total makes percentage growth undefined (#N/A).</t>
        </is>
      </c>
      <c r="O245" t="inlineStr">
        <is>
          <t>pending</t>
        </is>
      </c>
      <c r="P245" t="inlineStr">
        <is>
          <t>goodwill_and_intangibles_growth</t>
        </is>
      </c>
      <c r="Q245" t="n">
        <v>107</v>
      </c>
      <c r="R245" t="n">
        <v>1</v>
      </c>
      <c r="S245" t="inlineStr">
        <is>
          <t>2024-01-28</t>
        </is>
      </c>
    </row>
    <row r="246">
      <c r="A246" t="inlineStr">
        <is>
          <t>goodwill_and_intangibles_growth__20250202</t>
        </is>
      </c>
      <c r="B246" t="n">
        <v>245</v>
      </c>
      <c r="C246" t="inlineStr">
        <is>
          <t>Goodwill &amp; Intangibles Growth</t>
        </is>
      </c>
      <c r="D246" t="inlineStr">
        <is>
          <t>Percentage change in the combined goodwill and intangibles total.</t>
        </is>
      </c>
      <c r="E246" t="inlineStr">
        <is>
          <t>goodwill_intangibles.goodwill_and_intangibles_growth.2025-02-02</t>
        </is>
      </c>
      <c r="F246" t="inlineStr">
        <is>
          <t>goodwill_intangibles</t>
        </is>
      </c>
      <c r="G246" t="inlineStr">
        <is>
          <t>ALT DuPont</t>
        </is>
      </c>
      <c r="H246" t="inlineStr">
        <is>
          <t>D127</t>
        </is>
      </c>
      <c r="I246">
        <f>IF(C125=0,NA(),D125/C125-1)</f>
        <v/>
      </c>
      <c r="J246" t="n">
        <v>6.108375202424947</v>
      </c>
      <c r="K246" t="n">
        <v>0.01</v>
      </c>
      <c r="L246" t="inlineStr">
        <is>
          <t>goodwill_and_intangibles_change__20250202</t>
        </is>
      </c>
      <c r="M246" t="inlineStr">
        <is>
          <t>Growth = Change / Prior combined total.|A zero prior combined total makes percentage growth undefined (#N/A).</t>
        </is>
      </c>
      <c r="O246" t="inlineStr">
        <is>
          <t>pending</t>
        </is>
      </c>
      <c r="P246" t="inlineStr">
        <is>
          <t>goodwill_and_intangibles_growth</t>
        </is>
      </c>
      <c r="Q246" t="n">
        <v>107</v>
      </c>
      <c r="R246" t="n">
        <v>2</v>
      </c>
      <c r="S246" t="inlineStr">
        <is>
          <t>2025-02-02</t>
        </is>
      </c>
    </row>
    <row r="247">
      <c r="A247" t="inlineStr">
        <is>
          <t>goodwill_and_intangibles_growth__20260201</t>
        </is>
      </c>
      <c r="B247" t="n">
        <v>246</v>
      </c>
      <c r="C247" t="inlineStr">
        <is>
          <t>Goodwill &amp; Intangibles Growth</t>
        </is>
      </c>
      <c r="D247" t="inlineStr">
        <is>
          <t>Percentage change in the combined goodwill and intangibles total.</t>
        </is>
      </c>
      <c r="E247" t="inlineStr">
        <is>
          <t>goodwill_intangibles.goodwill_and_intangibles_growth.2026-02-01</t>
        </is>
      </c>
      <c r="F247" t="inlineStr">
        <is>
          <t>goodwill_intangibles</t>
        </is>
      </c>
      <c r="G247" t="inlineStr">
        <is>
          <t>ALT DuPont</t>
        </is>
      </c>
      <c r="H247" t="inlineStr">
        <is>
          <t>E127</t>
        </is>
      </c>
      <c r="I247">
        <f>IF(D125=0,NA(),E125/D125-1)</f>
        <v/>
      </c>
      <c r="J247" t="n">
        <v>0.1168460958812087</v>
      </c>
      <c r="K247" t="n">
        <v>0.01</v>
      </c>
      <c r="L247" t="inlineStr">
        <is>
          <t>goodwill_and_intangibles_change__20260201</t>
        </is>
      </c>
      <c r="M247" t="inlineStr">
        <is>
          <t>Growth = Change / Prior combined total.|A zero prior combined total makes percentage growth undefined (#N/A).</t>
        </is>
      </c>
      <c r="O247" t="inlineStr">
        <is>
          <t>pending</t>
        </is>
      </c>
      <c r="P247" t="inlineStr">
        <is>
          <t>goodwill_and_intangibles_growth</t>
        </is>
      </c>
      <c r="Q247" t="n">
        <v>107</v>
      </c>
      <c r="R247" t="n">
        <v>3</v>
      </c>
      <c r="S247" t="inlineStr">
        <is>
          <t>2026-02-01</t>
        </is>
      </c>
    </row>
    <row r="248">
      <c r="A248" t="inlineStr">
        <is>
          <t>average_goodwill_and_intangibles__20240128</t>
        </is>
      </c>
      <c r="B248" t="n">
        <v>247</v>
      </c>
      <c r="C248" t="inlineStr">
        <is>
          <t>Average Goodwill &amp; Intangibles</t>
        </is>
      </c>
      <c r="D248" t="inlineStr">
        <is>
          <t>Average beginning and ending combined goodwill and intangibles.</t>
        </is>
      </c>
      <c r="E248" t="inlineStr">
        <is>
          <t>goodwill_intangibles.average_goodwill_and_intangibles.2024-01-28</t>
        </is>
      </c>
      <c r="F248" t="inlineStr">
        <is>
          <t>goodwill_intangibles</t>
        </is>
      </c>
      <c r="G248" t="inlineStr">
        <is>
          <t>ALT DuPont</t>
        </is>
      </c>
      <c r="H248" t="inlineStr">
        <is>
          <t>C128</t>
        </is>
      </c>
      <c r="I248">
        <f>(B125+C125)/2</f>
        <v/>
      </c>
      <c r="J248" t="n">
        <v>35094</v>
      </c>
      <c r="K248" t="n">
        <v>0.01</v>
      </c>
      <c r="M248" t="inlineStr">
        <is>
          <t>Average = (Prior combined + Current combined) / 2.</t>
        </is>
      </c>
      <c r="O248" t="inlineStr">
        <is>
          <t>pending</t>
        </is>
      </c>
      <c r="P248" t="inlineStr">
        <is>
          <t>average_goodwill_and_intangibles</t>
        </is>
      </c>
      <c r="Q248" t="n">
        <v>108</v>
      </c>
      <c r="R248" t="n">
        <v>1</v>
      </c>
      <c r="S248" t="inlineStr">
        <is>
          <t>2024-01-28</t>
        </is>
      </c>
    </row>
    <row r="249">
      <c r="A249" t="inlineStr">
        <is>
          <t>average_goodwill_and_intangibles__20250202</t>
        </is>
      </c>
      <c r="B249" t="n">
        <v>248</v>
      </c>
      <c r="C249" t="inlineStr">
        <is>
          <t>Average Goodwill &amp; Intangibles</t>
        </is>
      </c>
      <c r="D249" t="inlineStr">
        <is>
          <t>Average beginning and ending combined goodwill and intangibles.</t>
        </is>
      </c>
      <c r="E249" t="inlineStr">
        <is>
          <t>goodwill_intangibles.average_goodwill_and_intangibles.2025-02-02</t>
        </is>
      </c>
      <c r="F249" t="inlineStr">
        <is>
          <t>goodwill_intangibles</t>
        </is>
      </c>
      <c r="G249" t="inlineStr">
        <is>
          <t>ALT DuPont</t>
        </is>
      </c>
      <c r="H249" t="inlineStr">
        <is>
          <t>D128</t>
        </is>
      </c>
      <c r="I249">
        <f>(C125+D125)/2</f>
        <v/>
      </c>
      <c r="J249" t="n">
        <v>97637</v>
      </c>
      <c r="K249" t="n">
        <v>0.01</v>
      </c>
      <c r="M249" t="inlineStr">
        <is>
          <t>Average = (Prior combined + Current combined) / 2.</t>
        </is>
      </c>
      <c r="O249" t="inlineStr">
        <is>
          <t>pending</t>
        </is>
      </c>
      <c r="P249" t="inlineStr">
        <is>
          <t>average_goodwill_and_intangibles</t>
        </is>
      </c>
      <c r="Q249" t="n">
        <v>108</v>
      </c>
      <c r="R249" t="n">
        <v>2</v>
      </c>
      <c r="S249" t="inlineStr">
        <is>
          <t>2025-02-02</t>
        </is>
      </c>
    </row>
    <row r="250">
      <c r="A250" t="inlineStr">
        <is>
          <t>average_goodwill_and_intangibles__20260201</t>
        </is>
      </c>
      <c r="B250" t="n">
        <v>249</v>
      </c>
      <c r="C250" t="inlineStr">
        <is>
          <t>Average Goodwill &amp; Intangibles</t>
        </is>
      </c>
      <c r="D250" t="inlineStr">
        <is>
          <t>Average beginning and ending combined goodwill and intangibles.</t>
        </is>
      </c>
      <c r="E250" t="inlineStr">
        <is>
          <t>goodwill_intangibles.average_goodwill_and_intangibles.2026-02-01</t>
        </is>
      </c>
      <c r="F250" t="inlineStr">
        <is>
          <t>goodwill_intangibles</t>
        </is>
      </c>
      <c r="G250" t="inlineStr">
        <is>
          <t>ALT DuPont</t>
        </is>
      </c>
      <c r="H250" t="inlineStr">
        <is>
          <t>E128</t>
        </is>
      </c>
      <c r="I250">
        <f>(D125+E125)/2</f>
        <v/>
      </c>
      <c r="J250" t="n">
        <v>181192.5</v>
      </c>
      <c r="K250" t="n">
        <v>0.01</v>
      </c>
      <c r="M250" t="inlineStr">
        <is>
          <t>Average = (Prior combined + Current combined) / 2.</t>
        </is>
      </c>
      <c r="O250" t="inlineStr">
        <is>
          <t>pending</t>
        </is>
      </c>
      <c r="P250" t="inlineStr">
        <is>
          <t>average_goodwill_and_intangibles</t>
        </is>
      </c>
      <c r="Q250" t="n">
        <v>108</v>
      </c>
      <c r="R250" t="n">
        <v>3</v>
      </c>
      <c r="S250" t="inlineStr">
        <is>
          <t>2026-02-01</t>
        </is>
      </c>
    </row>
    <row r="251">
      <c r="A251" t="inlineStr">
        <is>
          <t>goodwill_and_intangibles_to_revenue__20240128</t>
        </is>
      </c>
      <c r="B251" t="n">
        <v>250</v>
      </c>
      <c r="C251" t="inlineStr">
        <is>
          <t>Average Goodwill &amp; Intangibles / Revenue</t>
        </is>
      </c>
      <c r="D251" t="inlineStr">
        <is>
          <t>Average combined goodwill and intangibles divided by Revenue.</t>
        </is>
      </c>
      <c r="E251" t="inlineStr">
        <is>
          <t>goodwill_intangibles.goodwill_and_intangibles_to_revenue.2024-01-28</t>
        </is>
      </c>
      <c r="F251" t="inlineStr">
        <is>
          <t>goodwill_intangibles</t>
        </is>
      </c>
      <c r="G251" t="inlineStr">
        <is>
          <t>ALT DuPont</t>
        </is>
      </c>
      <c r="H251" t="inlineStr">
        <is>
          <t>C129</t>
        </is>
      </c>
      <c r="I251">
        <f>IF('Condensed Financials'!C34=0,NA(),C128/'Condensed Financials'!C34)</f>
        <v/>
      </c>
      <c r="J251" t="n">
        <v>0.00364829876005247</v>
      </c>
      <c r="K251" t="n">
        <v>0.01</v>
      </c>
      <c r="L251" t="inlineStr">
        <is>
          <t>average_goodwill_and_intangibles__20240128,revenue_link__20240128</t>
        </is>
      </c>
      <c r="M251" t="inlineStr">
        <is>
          <t>Uses the average combined balance (average-balance intensity).|A zero Revenue denominator makes the ratio undefined (#N/A).</t>
        </is>
      </c>
      <c r="O251" t="inlineStr">
        <is>
          <t>pending</t>
        </is>
      </c>
      <c r="P251" t="inlineStr">
        <is>
          <t>goodwill_and_intangibles_to_revenue</t>
        </is>
      </c>
      <c r="Q251" t="n">
        <v>109</v>
      </c>
      <c r="R251" t="n">
        <v>1</v>
      </c>
      <c r="S251" t="inlineStr">
        <is>
          <t>2024-01-28</t>
        </is>
      </c>
    </row>
    <row r="252">
      <c r="A252" t="inlineStr">
        <is>
          <t>goodwill_and_intangibles_to_revenue__20250202</t>
        </is>
      </c>
      <c r="B252" t="n">
        <v>251</v>
      </c>
      <c r="C252" t="inlineStr">
        <is>
          <t>Average Goodwill &amp; Intangibles / Revenue</t>
        </is>
      </c>
      <c r="D252" t="inlineStr">
        <is>
          <t>Average combined goodwill and intangibles divided by Revenue.</t>
        </is>
      </c>
      <c r="E252" t="inlineStr">
        <is>
          <t>goodwill_intangibles.goodwill_and_intangibles_to_revenue.2025-02-02</t>
        </is>
      </c>
      <c r="F252" t="inlineStr">
        <is>
          <t>goodwill_intangibles</t>
        </is>
      </c>
      <c r="G252" t="inlineStr">
        <is>
          <t>ALT DuPont</t>
        </is>
      </c>
      <c r="H252" t="inlineStr">
        <is>
          <t>D129</t>
        </is>
      </c>
      <c r="I252">
        <f>IF('Condensed Financials'!D34=0,NA(),D128/'Condensed Financials'!D34)</f>
        <v/>
      </c>
      <c r="J252" t="n">
        <v>0.009221367407225792</v>
      </c>
      <c r="K252" t="n">
        <v>0.01</v>
      </c>
      <c r="L252" t="inlineStr">
        <is>
          <t>average_goodwill_and_intangibles__20250202,revenue_link__20250202</t>
        </is>
      </c>
      <c r="M252" t="inlineStr">
        <is>
          <t>Uses the average combined balance (average-balance intensity).|A zero Revenue denominator makes the ratio undefined (#N/A).</t>
        </is>
      </c>
      <c r="O252" t="inlineStr">
        <is>
          <t>pending</t>
        </is>
      </c>
      <c r="P252" t="inlineStr">
        <is>
          <t>goodwill_and_intangibles_to_revenue</t>
        </is>
      </c>
      <c r="Q252" t="n">
        <v>109</v>
      </c>
      <c r="R252" t="n">
        <v>2</v>
      </c>
      <c r="S252" t="inlineStr">
        <is>
          <t>2025-02-02</t>
        </is>
      </c>
    </row>
    <row r="253">
      <c r="A253" t="inlineStr">
        <is>
          <t>goodwill_and_intangibles_to_revenue__20260201</t>
        </is>
      </c>
      <c r="B253" t="n">
        <v>252</v>
      </c>
      <c r="C253" t="inlineStr">
        <is>
          <t>Average Goodwill &amp; Intangibles / Revenue</t>
        </is>
      </c>
      <c r="D253" t="inlineStr">
        <is>
          <t>Average combined goodwill and intangibles divided by Revenue.</t>
        </is>
      </c>
      <c r="E253" t="inlineStr">
        <is>
          <t>goodwill_intangibles.goodwill_and_intangibles_to_revenue.2026-02-01</t>
        </is>
      </c>
      <c r="F253" t="inlineStr">
        <is>
          <t>goodwill_intangibles</t>
        </is>
      </c>
      <c r="G253" t="inlineStr">
        <is>
          <t>ALT DuPont</t>
        </is>
      </c>
      <c r="H253" t="inlineStr">
        <is>
          <t>E129</t>
        </is>
      </c>
      <c r="I253">
        <f>IF('Condensed Financials'!E34=0,NA(),E128/'Condensed Financials'!E34)</f>
        <v/>
      </c>
      <c r="J253" t="n">
        <v>0.01631982598670582</v>
      </c>
      <c r="K253" t="n">
        <v>0.01</v>
      </c>
      <c r="L253" t="inlineStr">
        <is>
          <t>average_goodwill_and_intangibles__20260201,revenue_link__20260201</t>
        </is>
      </c>
      <c r="M253" t="inlineStr">
        <is>
          <t>Uses the average combined balance (average-balance intensity).|A zero Revenue denominator makes the ratio undefined (#N/A).</t>
        </is>
      </c>
      <c r="O253" t="inlineStr">
        <is>
          <t>pending</t>
        </is>
      </c>
      <c r="P253" t="inlineStr">
        <is>
          <t>goodwill_and_intangibles_to_revenue</t>
        </is>
      </c>
      <c r="Q253" t="n">
        <v>109</v>
      </c>
      <c r="R253" t="n">
        <v>3</v>
      </c>
      <c r="S253" t="inlineStr">
        <is>
          <t>2026-02-01</t>
        </is>
      </c>
    </row>
    <row r="254">
      <c r="A254" t="inlineStr">
        <is>
          <t>rou_assets_change__20240128</t>
        </is>
      </c>
      <c r="B254" t="n">
        <v>253</v>
      </c>
      <c r="C254" t="inlineStr">
        <is>
          <t>Change in Right-of-use Assets</t>
        </is>
      </c>
      <c r="D254" t="inlineStr">
        <is>
          <t>Current ROU assets − prior ROU assets.</t>
        </is>
      </c>
      <c r="E254" t="inlineStr">
        <is>
          <t>lease_rou.rou_assets_change.2024-01-28</t>
        </is>
      </c>
      <c r="F254" t="inlineStr">
        <is>
          <t>lease_rou</t>
        </is>
      </c>
      <c r="G254" t="inlineStr">
        <is>
          <t>ALT DuPont</t>
        </is>
      </c>
      <c r="H254" t="inlineStr">
        <is>
          <t>C62</t>
        </is>
      </c>
      <c r="I254">
        <f>C61-B61</f>
        <v/>
      </c>
      <c r="J254" t="n">
        <v>296191</v>
      </c>
      <c r="K254" t="n">
        <v>0.01</v>
      </c>
      <c r="M254" t="inlineStr">
        <is>
          <t>Change in Right-of-use Assets = Current − Prior reported ROU assets.|Balance change is not lease cash payments, amortization, or liability change.</t>
        </is>
      </c>
      <c r="O254" t="inlineStr">
        <is>
          <t>pending</t>
        </is>
      </c>
      <c r="P254" t="inlineStr">
        <is>
          <t>rou_assets_change</t>
        </is>
      </c>
      <c r="Q254" t="n">
        <v>112</v>
      </c>
      <c r="R254" t="n">
        <v>1</v>
      </c>
      <c r="S254" t="inlineStr">
        <is>
          <t>2024-01-28</t>
        </is>
      </c>
    </row>
    <row r="255">
      <c r="A255" t="inlineStr">
        <is>
          <t>rou_assets_change__20250202</t>
        </is>
      </c>
      <c r="B255" t="n">
        <v>254</v>
      </c>
      <c r="C255" t="inlineStr">
        <is>
          <t>Change in Right-of-use Assets</t>
        </is>
      </c>
      <c r="D255" t="inlineStr">
        <is>
          <t>Current ROU assets − prior ROU assets.</t>
        </is>
      </c>
      <c r="E255" t="inlineStr">
        <is>
          <t>lease_rou.rou_assets_change.2025-02-02</t>
        </is>
      </c>
      <c r="F255" t="inlineStr">
        <is>
          <t>lease_rou</t>
        </is>
      </c>
      <c r="G255" t="inlineStr">
        <is>
          <t>ALT DuPont</t>
        </is>
      </c>
      <c r="H255" t="inlineStr">
        <is>
          <t>D62</t>
        </is>
      </c>
      <c r="I255">
        <f>D61-C61</f>
        <v/>
      </c>
      <c r="J255" t="n">
        <v>150646</v>
      </c>
      <c r="K255" t="n">
        <v>0.01</v>
      </c>
      <c r="M255" t="inlineStr">
        <is>
          <t>Change in Right-of-use Assets = Current − Prior reported ROU assets.|Balance change is not lease cash payments, amortization, or liability change.</t>
        </is>
      </c>
      <c r="O255" t="inlineStr">
        <is>
          <t>pending</t>
        </is>
      </c>
      <c r="P255" t="inlineStr">
        <is>
          <t>rou_assets_change</t>
        </is>
      </c>
      <c r="Q255" t="n">
        <v>112</v>
      </c>
      <c r="R255" t="n">
        <v>2</v>
      </c>
      <c r="S255" t="inlineStr">
        <is>
          <t>2025-02-02</t>
        </is>
      </c>
    </row>
    <row r="256">
      <c r="A256" t="inlineStr">
        <is>
          <t>rou_assets_change__20260201</t>
        </is>
      </c>
      <c r="B256" t="n">
        <v>255</v>
      </c>
      <c r="C256" t="inlineStr">
        <is>
          <t>Change in Right-of-use Assets</t>
        </is>
      </c>
      <c r="D256" t="inlineStr">
        <is>
          <t>Current ROU assets − prior ROU assets.</t>
        </is>
      </c>
      <c r="E256" t="inlineStr">
        <is>
          <t>lease_rou.rou_assets_change.2026-02-01</t>
        </is>
      </c>
      <c r="F256" t="inlineStr">
        <is>
          <t>lease_rou</t>
        </is>
      </c>
      <c r="G256" t="inlineStr">
        <is>
          <t>ALT DuPont</t>
        </is>
      </c>
      <c r="H256" t="inlineStr">
        <is>
          <t>E62</t>
        </is>
      </c>
      <c r="I256">
        <f>E61-D61</f>
        <v/>
      </c>
      <c r="J256" t="n">
        <v>213925</v>
      </c>
      <c r="K256" t="n">
        <v>0.01</v>
      </c>
      <c r="M256" t="inlineStr">
        <is>
          <t>Change in Right-of-use Assets = Current − Prior reported ROU assets.|Balance change is not lease cash payments, amortization, or liability change.</t>
        </is>
      </c>
      <c r="O256" t="inlineStr">
        <is>
          <t>pending</t>
        </is>
      </c>
      <c r="P256" t="inlineStr">
        <is>
          <t>rou_assets_change</t>
        </is>
      </c>
      <c r="Q256" t="n">
        <v>112</v>
      </c>
      <c r="R256" t="n">
        <v>3</v>
      </c>
      <c r="S256" t="inlineStr">
        <is>
          <t>2026-02-01</t>
        </is>
      </c>
    </row>
    <row r="257">
      <c r="A257" t="inlineStr">
        <is>
          <t>rou_assets_growth__20240128</t>
        </is>
      </c>
      <c r="B257" t="n">
        <v>256</v>
      </c>
      <c r="C257" t="inlineStr">
        <is>
          <t>Right-of-use Assets Growth</t>
        </is>
      </c>
      <c r="D257" t="inlineStr">
        <is>
          <t>Percentage change in reported ROU assets.</t>
        </is>
      </c>
      <c r="E257" t="inlineStr">
        <is>
          <t>lease_rou.rou_assets_growth.2024-01-28</t>
        </is>
      </c>
      <c r="F257" t="inlineStr">
        <is>
          <t>lease_rou</t>
        </is>
      </c>
      <c r="G257" t="inlineStr">
        <is>
          <t>ALT DuPont</t>
        </is>
      </c>
      <c r="H257" t="inlineStr">
        <is>
          <t>C63</t>
        </is>
      </c>
      <c r="I257">
        <f>IF(B61=0,NA(),C61/B61-1)</f>
        <v/>
      </c>
      <c r="J257" t="n">
        <v>0.3055345521389616</v>
      </c>
      <c r="K257" t="n">
        <v>0.01</v>
      </c>
      <c r="L257" t="inlineStr">
        <is>
          <t>rou_assets_change__20240128</t>
        </is>
      </c>
      <c r="M25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7" t="inlineStr">
        <is>
          <t>pending</t>
        </is>
      </c>
      <c r="P257" t="inlineStr">
        <is>
          <t>rou_assets_growth</t>
        </is>
      </c>
      <c r="Q257" t="n">
        <v>113</v>
      </c>
      <c r="R257" t="n">
        <v>1</v>
      </c>
      <c r="S257" t="inlineStr">
        <is>
          <t>2024-01-28</t>
        </is>
      </c>
    </row>
    <row r="258">
      <c r="A258" t="inlineStr">
        <is>
          <t>rou_assets_growth__20250202</t>
        </is>
      </c>
      <c r="B258" t="n">
        <v>257</v>
      </c>
      <c r="C258" t="inlineStr">
        <is>
          <t>Right-of-use Assets Growth</t>
        </is>
      </c>
      <c r="D258" t="inlineStr">
        <is>
          <t>Percentage change in reported ROU assets.</t>
        </is>
      </c>
      <c r="E258" t="inlineStr">
        <is>
          <t>lease_rou.rou_assets_growth.2025-02-02</t>
        </is>
      </c>
      <c r="F258" t="inlineStr">
        <is>
          <t>lease_rou</t>
        </is>
      </c>
      <c r="G258" t="inlineStr">
        <is>
          <t>ALT DuPont</t>
        </is>
      </c>
      <c r="H258" t="inlineStr">
        <is>
          <t>D63</t>
        </is>
      </c>
      <c r="I258">
        <f>IF(C61=0,NA(),D61/C61-1)</f>
        <v/>
      </c>
      <c r="J258" t="n">
        <v>0.1190303490016672</v>
      </c>
      <c r="K258" t="n">
        <v>0.01</v>
      </c>
      <c r="L258" t="inlineStr">
        <is>
          <t>rou_assets_change__20250202</t>
        </is>
      </c>
      <c r="M258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8" t="inlineStr">
        <is>
          <t>pending</t>
        </is>
      </c>
      <c r="P258" t="inlineStr">
        <is>
          <t>rou_assets_growth</t>
        </is>
      </c>
      <c r="Q258" t="n">
        <v>113</v>
      </c>
      <c r="R258" t="n">
        <v>2</v>
      </c>
      <c r="S258" t="inlineStr">
        <is>
          <t>2025-02-02</t>
        </is>
      </c>
    </row>
    <row r="259">
      <c r="A259" t="inlineStr">
        <is>
          <t>rou_assets_growth__20260201</t>
        </is>
      </c>
      <c r="B259" t="n">
        <v>258</v>
      </c>
      <c r="C259" t="inlineStr">
        <is>
          <t>Right-of-use Assets Growth</t>
        </is>
      </c>
      <c r="D259" t="inlineStr">
        <is>
          <t>Percentage change in reported ROU assets.</t>
        </is>
      </c>
      <c r="E259" t="inlineStr">
        <is>
          <t>lease_rou.rou_assets_growth.2026-02-01</t>
        </is>
      </c>
      <c r="F259" t="inlineStr">
        <is>
          <t>lease_rou</t>
        </is>
      </c>
      <c r="G259" t="inlineStr">
        <is>
          <t>ALT DuPont</t>
        </is>
      </c>
      <c r="H259" t="inlineStr">
        <is>
          <t>E63</t>
        </is>
      </c>
      <c r="I259">
        <f>IF(D61=0,NA(),E61/D61-1)</f>
        <v/>
      </c>
      <c r="J259" t="n">
        <v>0.1510496689863979</v>
      </c>
      <c r="K259" t="n">
        <v>0.01</v>
      </c>
      <c r="L259" t="inlineStr">
        <is>
          <t>rou_assets_change__20260201</t>
        </is>
      </c>
      <c r="M259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9" t="inlineStr">
        <is>
          <t>pending</t>
        </is>
      </c>
      <c r="P259" t="inlineStr">
        <is>
          <t>rou_assets_growth</t>
        </is>
      </c>
      <c r="Q259" t="n">
        <v>113</v>
      </c>
      <c r="R259" t="n">
        <v>3</v>
      </c>
      <c r="S259" t="inlineStr">
        <is>
          <t>2026-02-01</t>
        </is>
      </c>
    </row>
    <row r="260">
      <c r="A260" t="inlineStr">
        <is>
          <t>average_rou_assets__20240128</t>
        </is>
      </c>
      <c r="B260" t="n">
        <v>259</v>
      </c>
      <c r="C260" t="inlineStr">
        <is>
          <t>Average Right-of-use Assets</t>
        </is>
      </c>
      <c r="D260" t="inlineStr">
        <is>
          <t>Average beginning and ending ROU assets.</t>
        </is>
      </c>
      <c r="E260" t="inlineStr">
        <is>
          <t>lease_rou.average_rou_assets.2024-01-28</t>
        </is>
      </c>
      <c r="F260" t="inlineStr">
        <is>
          <t>lease_rou</t>
        </is>
      </c>
      <c r="G260" t="inlineStr">
        <is>
          <t>ALT DuPont</t>
        </is>
      </c>
      <c r="H260" t="inlineStr">
        <is>
          <t>C64</t>
        </is>
      </c>
      <c r="I260">
        <f>(B61+C61)/2</f>
        <v/>
      </c>
      <c r="J260" t="n">
        <v>1117514.5</v>
      </c>
      <c r="K260" t="n">
        <v>0.01</v>
      </c>
      <c r="M260" t="inlineStr">
        <is>
          <t>Average Right-of-use Assets = (Prior ROU assets + Current ROU assets) / 2.</t>
        </is>
      </c>
      <c r="O260" t="inlineStr">
        <is>
          <t>pending</t>
        </is>
      </c>
      <c r="P260" t="inlineStr">
        <is>
          <t>average_rou_assets</t>
        </is>
      </c>
      <c r="Q260" t="n">
        <v>114</v>
      </c>
      <c r="R260" t="n">
        <v>1</v>
      </c>
      <c r="S260" t="inlineStr">
        <is>
          <t>2024-01-28</t>
        </is>
      </c>
    </row>
    <row r="261">
      <c r="A261" t="inlineStr">
        <is>
          <t>average_rou_assets__20250202</t>
        </is>
      </c>
      <c r="B261" t="n">
        <v>260</v>
      </c>
      <c r="C261" t="inlineStr">
        <is>
          <t>Average Right-of-use Assets</t>
        </is>
      </c>
      <c r="D261" t="inlineStr">
        <is>
          <t>Average beginning and ending ROU assets.</t>
        </is>
      </c>
      <c r="E261" t="inlineStr">
        <is>
          <t>lease_rou.average_rou_assets.2025-02-02</t>
        </is>
      </c>
      <c r="F261" t="inlineStr">
        <is>
          <t>lease_rou</t>
        </is>
      </c>
      <c r="G261" t="inlineStr">
        <is>
          <t>ALT DuPont</t>
        </is>
      </c>
      <c r="H261" t="inlineStr">
        <is>
          <t>D64</t>
        </is>
      </c>
      <c r="I261">
        <f>(C61+D61)/2</f>
        <v/>
      </c>
      <c r="J261" t="n">
        <v>1340933</v>
      </c>
      <c r="K261" t="n">
        <v>0.01</v>
      </c>
      <c r="M261" t="inlineStr">
        <is>
          <t>Average Right-of-use Assets = (Prior ROU assets + Current ROU assets) / 2.</t>
        </is>
      </c>
      <c r="O261" t="inlineStr">
        <is>
          <t>pending</t>
        </is>
      </c>
      <c r="P261" t="inlineStr">
        <is>
          <t>average_rou_assets</t>
        </is>
      </c>
      <c r="Q261" t="n">
        <v>114</v>
      </c>
      <c r="R261" t="n">
        <v>2</v>
      </c>
      <c r="S261" t="inlineStr">
        <is>
          <t>2025-02-02</t>
        </is>
      </c>
    </row>
    <row r="262">
      <c r="A262" t="inlineStr">
        <is>
          <t>average_rou_assets__20260201</t>
        </is>
      </c>
      <c r="B262" t="n">
        <v>261</v>
      </c>
      <c r="C262" t="inlineStr">
        <is>
          <t>Average Right-of-use Assets</t>
        </is>
      </c>
      <c r="D262" t="inlineStr">
        <is>
          <t>Average beginning and ending ROU assets.</t>
        </is>
      </c>
      <c r="E262" t="inlineStr">
        <is>
          <t>lease_rou.average_rou_assets.2026-02-01</t>
        </is>
      </c>
      <c r="F262" t="inlineStr">
        <is>
          <t>lease_rou</t>
        </is>
      </c>
      <c r="G262" t="inlineStr">
        <is>
          <t>ALT DuPont</t>
        </is>
      </c>
      <c r="H262" t="inlineStr">
        <is>
          <t>E64</t>
        </is>
      </c>
      <c r="I262">
        <f>(D61+E61)/2</f>
        <v/>
      </c>
      <c r="J262" t="n">
        <v>1523218.5</v>
      </c>
      <c r="K262" t="n">
        <v>0.01</v>
      </c>
      <c r="M262" t="inlineStr">
        <is>
          <t>Average Right-of-use Assets = (Prior ROU assets + Current ROU assets) / 2.</t>
        </is>
      </c>
      <c r="O262" t="inlineStr">
        <is>
          <t>pending</t>
        </is>
      </c>
      <c r="P262" t="inlineStr">
        <is>
          <t>average_rou_assets</t>
        </is>
      </c>
      <c r="Q262" t="n">
        <v>114</v>
      </c>
      <c r="R262" t="n">
        <v>3</v>
      </c>
      <c r="S262" t="inlineStr">
        <is>
          <t>2026-02-01</t>
        </is>
      </c>
    </row>
    <row r="263">
      <c r="A263" t="inlineStr">
        <is>
          <t>rou_assets_to_revenue__20240128</t>
        </is>
      </c>
      <c r="B263" t="n">
        <v>262</v>
      </c>
      <c r="C263" t="inlineStr">
        <is>
          <t>Average Right-of-use Assets / Revenue</t>
        </is>
      </c>
      <c r="D263" t="inlineStr">
        <is>
          <t>Average ROU assets divided by current Revenue (balance intensity).</t>
        </is>
      </c>
      <c r="E263" t="inlineStr">
        <is>
          <t>lease_rou.rou_assets_to_revenue.2024-01-28</t>
        </is>
      </c>
      <c r="F263" t="inlineStr">
        <is>
          <t>lease_rou</t>
        </is>
      </c>
      <c r="G263" t="inlineStr">
        <is>
          <t>ALT DuPont</t>
        </is>
      </c>
      <c r="H263" t="inlineStr">
        <is>
          <t>C65</t>
        </is>
      </c>
      <c r="I263">
        <f>IF('Condensed Financials'!C34=0,NA(),C64/'Condensed Financials'!C34)</f>
        <v/>
      </c>
      <c r="J263" t="n">
        <v>0.1161744675639897</v>
      </c>
      <c r="K263" t="n">
        <v>0.01</v>
      </c>
      <c r="L263" t="inlineStr">
        <is>
          <t>average_rou_assets__20240128,revenue_link__20240128</t>
        </is>
      </c>
      <c r="M26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3" t="inlineStr">
        <is>
          <t>pending</t>
        </is>
      </c>
      <c r="P263" t="inlineStr">
        <is>
          <t>rou_assets_to_revenue</t>
        </is>
      </c>
      <c r="Q263" t="n">
        <v>115</v>
      </c>
      <c r="R263" t="n">
        <v>1</v>
      </c>
      <c r="S263" t="inlineStr">
        <is>
          <t>2024-01-28</t>
        </is>
      </c>
    </row>
    <row r="264">
      <c r="A264" t="inlineStr">
        <is>
          <t>rou_assets_to_revenue__20250202</t>
        </is>
      </c>
      <c r="B264" t="n">
        <v>263</v>
      </c>
      <c r="C264" t="inlineStr">
        <is>
          <t>Average Right-of-use Assets / Revenue</t>
        </is>
      </c>
      <c r="D264" t="inlineStr">
        <is>
          <t>Average ROU assets divided by current Revenue (balance intensity).</t>
        </is>
      </c>
      <c r="E264" t="inlineStr">
        <is>
          <t>lease_rou.rou_assets_to_revenue.2025-02-02</t>
        </is>
      </c>
      <c r="F264" t="inlineStr">
        <is>
          <t>lease_rou</t>
        </is>
      </c>
      <c r="G264" t="inlineStr">
        <is>
          <t>ALT DuPont</t>
        </is>
      </c>
      <c r="H264" t="inlineStr">
        <is>
          <t>D65</t>
        </is>
      </c>
      <c r="I264">
        <f>IF('Condensed Financials'!D34=0,NA(),D64/'Condensed Financials'!D34)</f>
        <v/>
      </c>
      <c r="J264" t="n">
        <v>0.1266449794798437</v>
      </c>
      <c r="K264" t="n">
        <v>0.01</v>
      </c>
      <c r="L264" t="inlineStr">
        <is>
          <t>average_rou_assets__20250202,revenue_link__20250202</t>
        </is>
      </c>
      <c r="M26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4" t="inlineStr">
        <is>
          <t>pending</t>
        </is>
      </c>
      <c r="P264" t="inlineStr">
        <is>
          <t>rou_assets_to_revenue</t>
        </is>
      </c>
      <c r="Q264" t="n">
        <v>115</v>
      </c>
      <c r="R264" t="n">
        <v>2</v>
      </c>
      <c r="S264" t="inlineStr">
        <is>
          <t>2025-02-02</t>
        </is>
      </c>
    </row>
    <row r="265">
      <c r="A265" t="inlineStr">
        <is>
          <t>rou_assets_to_revenue__20260201</t>
        </is>
      </c>
      <c r="B265" t="n">
        <v>264</v>
      </c>
      <c r="C265" t="inlineStr">
        <is>
          <t>Average Right-of-use Assets / Revenue</t>
        </is>
      </c>
      <c r="D265" t="inlineStr">
        <is>
          <t>Average ROU assets divided by current Revenue (balance intensity).</t>
        </is>
      </c>
      <c r="E265" t="inlineStr">
        <is>
          <t>lease_rou.rou_assets_to_revenue.2026-02-01</t>
        </is>
      </c>
      <c r="F265" t="inlineStr">
        <is>
          <t>lease_rou</t>
        </is>
      </c>
      <c r="G265" t="inlineStr">
        <is>
          <t>ALT DuPont</t>
        </is>
      </c>
      <c r="H265" t="inlineStr">
        <is>
          <t>E65</t>
        </is>
      </c>
      <c r="I265">
        <f>IF('Condensed Financials'!E34=0,NA(),E64/'Condensed Financials'!E34)</f>
        <v/>
      </c>
      <c r="J265" t="n">
        <v>0.1371947561832364</v>
      </c>
      <c r="K265" t="n">
        <v>0.01</v>
      </c>
      <c r="L265" t="inlineStr">
        <is>
          <t>average_rou_assets__20260201,revenue_link__20260201</t>
        </is>
      </c>
      <c r="M26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5" t="inlineStr">
        <is>
          <t>pending</t>
        </is>
      </c>
      <c r="P265" t="inlineStr">
        <is>
          <t>rou_assets_to_revenue</t>
        </is>
      </c>
      <c r="Q265" t="n">
        <v>115</v>
      </c>
      <c r="R265" t="n">
        <v>3</v>
      </c>
      <c r="S265" t="inlineStr">
        <is>
          <t>2026-02-01</t>
        </is>
      </c>
    </row>
    <row r="266">
      <c r="A266" t="inlineStr">
        <is>
          <t>net_deferred_tax_position__20230129</t>
        </is>
      </c>
      <c r="B266" t="n">
        <v>265</v>
      </c>
      <c r="C266" t="inlineStr">
        <is>
          <t>Net Deferred-Tax Asset Position (DTA − DTL)</t>
        </is>
      </c>
      <c r="D266" t="inlineStr">
        <is>
          <t>Analytical net position = Deferred tax assets − Deferred tax liabilities.</t>
        </is>
      </c>
      <c r="E266" t="inlineStr">
        <is>
          <t>deferred_tax.net_deferred_tax_position.2023-01-29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B70</t>
        </is>
      </c>
      <c r="I266">
        <f>B68-B69</f>
        <v/>
      </c>
      <c r="J266" t="n">
        <v>-48682</v>
      </c>
      <c r="K266" t="n">
        <v>0.01</v>
      </c>
      <c r="M26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6" t="inlineStr">
        <is>
          <t>pending</t>
        </is>
      </c>
      <c r="P266" t="inlineStr">
        <is>
          <t>net_deferred_tax_position</t>
        </is>
      </c>
      <c r="Q266" t="n">
        <v>116</v>
      </c>
      <c r="R266" t="n">
        <v>0</v>
      </c>
      <c r="S266" t="inlineStr">
        <is>
          <t>2023-01-29</t>
        </is>
      </c>
    </row>
    <row r="267">
      <c r="A267" t="inlineStr">
        <is>
          <t>net_deferred_tax_position__20240128</t>
        </is>
      </c>
      <c r="B267" t="n">
        <v>266</v>
      </c>
      <c r="C267" t="inlineStr">
        <is>
          <t>Net Deferred-Tax Asset Position (DTA − DTL)</t>
        </is>
      </c>
      <c r="D267" t="inlineStr">
        <is>
          <t>Analytical net position = Deferred tax assets − Deferred tax liabilities.</t>
        </is>
      </c>
      <c r="E267" t="inlineStr">
        <is>
          <t>deferred_tax.net_deferred_tax_position.2024-01-28</t>
        </is>
      </c>
      <c r="F267" t="inlineStr">
        <is>
          <t>deferred_tax</t>
        </is>
      </c>
      <c r="G267" t="inlineStr">
        <is>
          <t>ALT DuPont</t>
        </is>
      </c>
      <c r="H267" t="inlineStr">
        <is>
          <t>C70</t>
        </is>
      </c>
      <c r="I267">
        <f>C68-C69</f>
        <v/>
      </c>
      <c r="J267" t="n">
        <v>-20346</v>
      </c>
      <c r="K267" t="n">
        <v>0.01</v>
      </c>
      <c r="M26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7" t="inlineStr">
        <is>
          <t>pending</t>
        </is>
      </c>
      <c r="P267" t="inlineStr">
        <is>
          <t>net_deferred_tax_position</t>
        </is>
      </c>
      <c r="Q267" t="n">
        <v>116</v>
      </c>
      <c r="R267" t="n">
        <v>1</v>
      </c>
      <c r="S267" t="inlineStr">
        <is>
          <t>2024-01-28</t>
        </is>
      </c>
    </row>
    <row r="268">
      <c r="A268" t="inlineStr">
        <is>
          <t>net_deferred_tax_position__20250202</t>
        </is>
      </c>
      <c r="B268" t="n">
        <v>267</v>
      </c>
      <c r="C268" t="inlineStr">
        <is>
          <t>Net Deferred-Tax Asset Position (DTA − DTL)</t>
        </is>
      </c>
      <c r="D268" t="inlineStr">
        <is>
          <t>Analytical net position = Deferred tax assets − Deferred tax liabilities.</t>
        </is>
      </c>
      <c r="E268" t="inlineStr">
        <is>
          <t>deferred_tax.net_deferred_tax_position.2025-02-02</t>
        </is>
      </c>
      <c r="F268" t="inlineStr">
        <is>
          <t>deferred_tax</t>
        </is>
      </c>
      <c r="G268" t="inlineStr">
        <is>
          <t>ALT DuPont</t>
        </is>
      </c>
      <c r="H268" t="inlineStr">
        <is>
          <t>D70</t>
        </is>
      </c>
      <c r="I268">
        <f>D68-D69</f>
        <v/>
      </c>
      <c r="J268" t="n">
        <v>-81103</v>
      </c>
      <c r="K268" t="n">
        <v>0.01</v>
      </c>
      <c r="M26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8" t="inlineStr">
        <is>
          <t>pending</t>
        </is>
      </c>
      <c r="P268" t="inlineStr">
        <is>
          <t>net_deferred_tax_position</t>
        </is>
      </c>
      <c r="Q268" t="n">
        <v>116</v>
      </c>
      <c r="R268" t="n">
        <v>2</v>
      </c>
      <c r="S268" t="inlineStr">
        <is>
          <t>2025-02-02</t>
        </is>
      </c>
    </row>
    <row r="269">
      <c r="A269" t="inlineStr">
        <is>
          <t>net_deferred_tax_position__20260201</t>
        </is>
      </c>
      <c r="B269" t="n">
        <v>268</v>
      </c>
      <c r="C269" t="inlineStr">
        <is>
          <t>Net Deferred-Tax Asset Position (DTA − DTL)</t>
        </is>
      </c>
      <c r="D269" t="inlineStr">
        <is>
          <t>Analytical net position = Deferred tax assets − Deferred tax liabilities.</t>
        </is>
      </c>
      <c r="E269" t="inlineStr">
        <is>
          <t>deferred_tax.net_deferred_tax_position.2026-02-01</t>
        </is>
      </c>
      <c r="F269" t="inlineStr">
        <is>
          <t>deferred_tax</t>
        </is>
      </c>
      <c r="G269" t="inlineStr">
        <is>
          <t>ALT DuPont</t>
        </is>
      </c>
      <c r="H269" t="inlineStr">
        <is>
          <t>E70</t>
        </is>
      </c>
      <c r="I269">
        <f>E68-E69</f>
        <v/>
      </c>
      <c r="J269" t="n">
        <v>-28241</v>
      </c>
      <c r="K269" t="n">
        <v>0.01</v>
      </c>
      <c r="M26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9" t="inlineStr">
        <is>
          <t>pending</t>
        </is>
      </c>
      <c r="P269" t="inlineStr">
        <is>
          <t>net_deferred_tax_position</t>
        </is>
      </c>
      <c r="Q269" t="n">
        <v>116</v>
      </c>
      <c r="R269" t="n">
        <v>3</v>
      </c>
      <c r="S269" t="inlineStr">
        <is>
          <t>2026-02-01</t>
        </is>
      </c>
    </row>
    <row r="270">
      <c r="A270" t="inlineStr">
        <is>
          <t>deferred_tax_assets_change__20240128</t>
        </is>
      </c>
      <c r="B270" t="n">
        <v>269</v>
      </c>
      <c r="C270" t="inlineStr">
        <is>
          <t>Change in Deferred Tax Assets</t>
        </is>
      </c>
      <c r="D270" t="inlineStr">
        <is>
          <t>Current DTA − prior DTA.</t>
        </is>
      </c>
      <c r="E270" t="inlineStr">
        <is>
          <t>deferred_tax.deferred_tax_assets_change.2024-01-28</t>
        </is>
      </c>
      <c r="F270" t="inlineStr">
        <is>
          <t>deferred_tax</t>
        </is>
      </c>
      <c r="G270" t="inlineStr">
        <is>
          <t>ALT DuPont</t>
        </is>
      </c>
      <c r="H270" t="inlineStr">
        <is>
          <t>C71</t>
        </is>
      </c>
      <c r="I270">
        <f>C68-B68</f>
        <v/>
      </c>
      <c r="J270" t="n">
        <v>2774</v>
      </c>
      <c r="K270" t="n">
        <v>0.01</v>
      </c>
      <c r="M270" t="inlineStr">
        <is>
          <t>Change in Deferred Tax Assets = Current DTA − Prior DTA.|Balance movement only — not deferred-tax expense or cash taxes.</t>
        </is>
      </c>
      <c r="O270" t="inlineStr">
        <is>
          <t>pending</t>
        </is>
      </c>
      <c r="P270" t="inlineStr">
        <is>
          <t>deferred_tax_assets_change</t>
        </is>
      </c>
      <c r="Q270" t="n">
        <v>117</v>
      </c>
      <c r="R270" t="n">
        <v>1</v>
      </c>
      <c r="S270" t="inlineStr">
        <is>
          <t>2024-01-28</t>
        </is>
      </c>
    </row>
    <row r="271">
      <c r="A271" t="inlineStr">
        <is>
          <t>deferred_tax_assets_change__20250202</t>
        </is>
      </c>
      <c r="B271" t="n">
        <v>270</v>
      </c>
      <c r="C271" t="inlineStr">
        <is>
          <t>Change in Deferred Tax Assets</t>
        </is>
      </c>
      <c r="D271" t="inlineStr">
        <is>
          <t>Current DTA − prior DTA.</t>
        </is>
      </c>
      <c r="E271" t="inlineStr">
        <is>
          <t>deferred_tax.deferred_tax_assets_change.2025-02-02</t>
        </is>
      </c>
      <c r="F271" t="inlineStr">
        <is>
          <t>deferred_tax</t>
        </is>
      </c>
      <c r="G271" t="inlineStr">
        <is>
          <t>ALT DuPont</t>
        </is>
      </c>
      <c r="H271" t="inlineStr">
        <is>
          <t>D71</t>
        </is>
      </c>
      <c r="I271">
        <f>D68-C68</f>
        <v/>
      </c>
      <c r="J271" t="n">
        <v>7909</v>
      </c>
      <c r="K271" t="n">
        <v>0.01</v>
      </c>
      <c r="M271" t="inlineStr">
        <is>
          <t>Change in Deferred Tax Assets = Current DTA − Prior DTA.|Balance movement only — not deferred-tax expense or cash taxes.</t>
        </is>
      </c>
      <c r="O271" t="inlineStr">
        <is>
          <t>pending</t>
        </is>
      </c>
      <c r="P271" t="inlineStr">
        <is>
          <t>deferred_tax_assets_change</t>
        </is>
      </c>
      <c r="Q271" t="n">
        <v>117</v>
      </c>
      <c r="R271" t="n">
        <v>2</v>
      </c>
      <c r="S271" t="inlineStr">
        <is>
          <t>2025-02-02</t>
        </is>
      </c>
    </row>
    <row r="272">
      <c r="A272" t="inlineStr">
        <is>
          <t>deferred_tax_assets_change__20260201</t>
        </is>
      </c>
      <c r="B272" t="n">
        <v>271</v>
      </c>
      <c r="C272" t="inlineStr">
        <is>
          <t>Change in Deferred Tax Assets</t>
        </is>
      </c>
      <c r="D272" t="inlineStr">
        <is>
          <t>Current DTA − prior DTA.</t>
        </is>
      </c>
      <c r="E272" t="inlineStr">
        <is>
          <t>deferred_tax.deferred_tax_assets_change.2026-02-01</t>
        </is>
      </c>
      <c r="F272" t="inlineStr">
        <is>
          <t>deferred_tax</t>
        </is>
      </c>
      <c r="G272" t="inlineStr">
        <is>
          <t>ALT DuPont</t>
        </is>
      </c>
      <c r="H272" t="inlineStr">
        <is>
          <t>E71</t>
        </is>
      </c>
      <c r="I272">
        <f>E68-D68</f>
        <v/>
      </c>
      <c r="J272" t="n">
        <v>6952</v>
      </c>
      <c r="K272" t="n">
        <v>0.01</v>
      </c>
      <c r="M272" t="inlineStr">
        <is>
          <t>Change in Deferred Tax Assets = Current DTA − Prior DTA.|Balance movement only — not deferred-tax expense or cash taxes.</t>
        </is>
      </c>
      <c r="O272" t="inlineStr">
        <is>
          <t>pending</t>
        </is>
      </c>
      <c r="P272" t="inlineStr">
        <is>
          <t>deferred_tax_assets_change</t>
        </is>
      </c>
      <c r="Q272" t="n">
        <v>117</v>
      </c>
      <c r="R272" t="n">
        <v>3</v>
      </c>
      <c r="S272" t="inlineStr">
        <is>
          <t>2026-02-01</t>
        </is>
      </c>
    </row>
    <row r="273">
      <c r="A273" t="inlineStr">
        <is>
          <t>deferred_tax_liabilities_change__20240128</t>
        </is>
      </c>
      <c r="B273" t="n">
        <v>272</v>
      </c>
      <c r="C273" t="inlineStr">
        <is>
          <t>Change in Deferred Tax Liabilities</t>
        </is>
      </c>
      <c r="D273" t="inlineStr">
        <is>
          <t>Current DTL − prior DTL.</t>
        </is>
      </c>
      <c r="E273" t="inlineStr">
        <is>
          <t>deferred_tax.deferred_tax_liabilities_change.2024-01-28</t>
        </is>
      </c>
      <c r="F273" t="inlineStr">
        <is>
          <t>deferred_tax</t>
        </is>
      </c>
      <c r="G273" t="inlineStr">
        <is>
          <t>ALT DuPont</t>
        </is>
      </c>
      <c r="H273" t="inlineStr">
        <is>
          <t>C72</t>
        </is>
      </c>
      <c r="I273">
        <f>C69-B69</f>
        <v/>
      </c>
      <c r="J273" t="n">
        <v>-25562</v>
      </c>
      <c r="K273" t="n">
        <v>0.01</v>
      </c>
      <c r="M273" t="inlineStr">
        <is>
          <t>Change in Deferred Tax Liabilities = Current DTL − Prior DTL.|Balance movement only — not deferred-tax expense or cash taxes.</t>
        </is>
      </c>
      <c r="O273" t="inlineStr">
        <is>
          <t>pending</t>
        </is>
      </c>
      <c r="P273" t="inlineStr">
        <is>
          <t>deferred_tax_liabilities_change</t>
        </is>
      </c>
      <c r="Q273" t="n">
        <v>118</v>
      </c>
      <c r="R273" t="n">
        <v>1</v>
      </c>
      <c r="S273" t="inlineStr">
        <is>
          <t>2024-01-28</t>
        </is>
      </c>
    </row>
    <row r="274">
      <c r="A274" t="inlineStr">
        <is>
          <t>deferred_tax_liabilities_change__20250202</t>
        </is>
      </c>
      <c r="B274" t="n">
        <v>273</v>
      </c>
      <c r="C274" t="inlineStr">
        <is>
          <t>Change in Deferred Tax Liabilities</t>
        </is>
      </c>
      <c r="D274" t="inlineStr">
        <is>
          <t>Current DTL − prior DTL.</t>
        </is>
      </c>
      <c r="E274" t="inlineStr">
        <is>
          <t>deferred_tax.deferred_tax_liabilities_change.2025-02-02</t>
        </is>
      </c>
      <c r="F274" t="inlineStr">
        <is>
          <t>deferred_tax</t>
        </is>
      </c>
      <c r="G274" t="inlineStr">
        <is>
          <t>ALT DuPont</t>
        </is>
      </c>
      <c r="H274" t="inlineStr">
        <is>
          <t>D72</t>
        </is>
      </c>
      <c r="I274">
        <f>D69-C69</f>
        <v/>
      </c>
      <c r="J274" t="n">
        <v>68666</v>
      </c>
      <c r="K274" t="n">
        <v>0.01</v>
      </c>
      <c r="M274" t="inlineStr">
        <is>
          <t>Change in Deferred Tax Liabilities = Current DTL − Prior DTL.|Balance movement only — not deferred-tax expense or cash taxes.</t>
        </is>
      </c>
      <c r="O274" t="inlineStr">
        <is>
          <t>pending</t>
        </is>
      </c>
      <c r="P274" t="inlineStr">
        <is>
          <t>deferred_tax_liabilities_change</t>
        </is>
      </c>
      <c r="Q274" t="n">
        <v>118</v>
      </c>
      <c r="R274" t="n">
        <v>2</v>
      </c>
      <c r="S274" t="inlineStr">
        <is>
          <t>2025-02-02</t>
        </is>
      </c>
    </row>
    <row r="275">
      <c r="A275" t="inlineStr">
        <is>
          <t>deferred_tax_liabilities_change__20260201</t>
        </is>
      </c>
      <c r="B275" t="n">
        <v>274</v>
      </c>
      <c r="C275" t="inlineStr">
        <is>
          <t>Change in Deferred Tax Liabilities</t>
        </is>
      </c>
      <c r="D275" t="inlineStr">
        <is>
          <t>Current DTL − prior DTL.</t>
        </is>
      </c>
      <c r="E275" t="inlineStr">
        <is>
          <t>deferred_tax.deferred_tax_liabilities_change.2026-02-01</t>
        </is>
      </c>
      <c r="F275" t="inlineStr">
        <is>
          <t>deferred_tax</t>
        </is>
      </c>
      <c r="G275" t="inlineStr">
        <is>
          <t>ALT DuPont</t>
        </is>
      </c>
      <c r="H275" t="inlineStr">
        <is>
          <t>E72</t>
        </is>
      </c>
      <c r="I275">
        <f>E69-D69</f>
        <v/>
      </c>
      <c r="J275" t="n">
        <v>-45910</v>
      </c>
      <c r="K275" t="n">
        <v>0.01</v>
      </c>
      <c r="M275" t="inlineStr">
        <is>
          <t>Change in Deferred Tax Liabilities = Current DTL − Prior DTL.|Balance movement only — not deferred-tax expense or cash taxes.</t>
        </is>
      </c>
      <c r="O275" t="inlineStr">
        <is>
          <t>pending</t>
        </is>
      </c>
      <c r="P275" t="inlineStr">
        <is>
          <t>deferred_tax_liabilities_change</t>
        </is>
      </c>
      <c r="Q275" t="n">
        <v>118</v>
      </c>
      <c r="R275" t="n">
        <v>3</v>
      </c>
      <c r="S275" t="inlineStr">
        <is>
          <t>2026-02-01</t>
        </is>
      </c>
    </row>
    <row r="276">
      <c r="A276" t="inlineStr">
        <is>
          <t>net_deferred_tax_position_change__20240128</t>
        </is>
      </c>
      <c r="B276" t="n">
        <v>275</v>
      </c>
      <c r="C276" t="inlineStr">
        <is>
          <t>Change in Net Deferred-Tax Asset Position</t>
        </is>
      </c>
      <c r="D276" t="inlineStr">
        <is>
          <t>Current net position − prior net position.</t>
        </is>
      </c>
      <c r="E276" t="inlineStr">
        <is>
          <t>deferred_tax.net_deferred_tax_position_change.2024-01-28</t>
        </is>
      </c>
      <c r="F276" t="inlineStr">
        <is>
          <t>deferred_tax</t>
        </is>
      </c>
      <c r="G276" t="inlineStr">
        <is>
          <t>ALT DuPont</t>
        </is>
      </c>
      <c r="H276" t="inlineStr">
        <is>
          <t>C73</t>
        </is>
      </c>
      <c r="I276">
        <f>C70-B70</f>
        <v/>
      </c>
      <c r="J276" t="n">
        <v>28336</v>
      </c>
      <c r="K276" t="n">
        <v>0.01</v>
      </c>
      <c r="L276" t="inlineStr">
        <is>
          <t>net_deferred_tax_position__20240128,net_deferred_tax_position__20230129</t>
        </is>
      </c>
      <c r="M276" t="inlineStr">
        <is>
          <t>Change in Net Deferred-Tax Asset Position = Current net − Prior net.|Net-position change is a balance movement — not deferred-tax expense or cash taxes.</t>
        </is>
      </c>
      <c r="O276" t="inlineStr">
        <is>
          <t>pending</t>
        </is>
      </c>
      <c r="P276" t="inlineStr">
        <is>
          <t>net_deferred_tax_position_change</t>
        </is>
      </c>
      <c r="Q276" t="n">
        <v>119</v>
      </c>
      <c r="R276" t="n">
        <v>1</v>
      </c>
      <c r="S276" t="inlineStr">
        <is>
          <t>2024-01-28</t>
        </is>
      </c>
    </row>
    <row r="277">
      <c r="A277" t="inlineStr">
        <is>
          <t>net_deferred_tax_position_change__20250202</t>
        </is>
      </c>
      <c r="B277" t="n">
        <v>276</v>
      </c>
      <c r="C277" t="inlineStr">
        <is>
          <t>Change in Net Deferred-Tax Asset Position</t>
        </is>
      </c>
      <c r="D277" t="inlineStr">
        <is>
          <t>Current net position − prior net position.</t>
        </is>
      </c>
      <c r="E277" t="inlineStr">
        <is>
          <t>deferred_tax.net_deferred_tax_position_change.2025-02-02</t>
        </is>
      </c>
      <c r="F277" t="inlineStr">
        <is>
          <t>deferred_tax</t>
        </is>
      </c>
      <c r="G277" t="inlineStr">
        <is>
          <t>ALT DuPont</t>
        </is>
      </c>
      <c r="H277" t="inlineStr">
        <is>
          <t>D73</t>
        </is>
      </c>
      <c r="I277">
        <f>D70-C70</f>
        <v/>
      </c>
      <c r="J277" t="n">
        <v>-60757</v>
      </c>
      <c r="K277" t="n">
        <v>0.01</v>
      </c>
      <c r="L277" t="inlineStr">
        <is>
          <t>net_deferred_tax_position__20250202,net_deferred_tax_position__20240128</t>
        </is>
      </c>
      <c r="M277" t="inlineStr">
        <is>
          <t>Change in Net Deferred-Tax Asset Position = Current net − Prior net.|Net-position change is a balance movement — not deferred-tax expense or cash taxes.</t>
        </is>
      </c>
      <c r="O277" t="inlineStr">
        <is>
          <t>pending</t>
        </is>
      </c>
      <c r="P277" t="inlineStr">
        <is>
          <t>net_deferred_tax_position_change</t>
        </is>
      </c>
      <c r="Q277" t="n">
        <v>119</v>
      </c>
      <c r="R277" t="n">
        <v>2</v>
      </c>
      <c r="S277" t="inlineStr">
        <is>
          <t>2025-02-02</t>
        </is>
      </c>
    </row>
    <row r="278">
      <c r="A278" t="inlineStr">
        <is>
          <t>net_deferred_tax_position_change__20260201</t>
        </is>
      </c>
      <c r="B278" t="n">
        <v>277</v>
      </c>
      <c r="C278" t="inlineStr">
        <is>
          <t>Change in Net Deferred-Tax Asset Position</t>
        </is>
      </c>
      <c r="D278" t="inlineStr">
        <is>
          <t>Current net position − prior net position.</t>
        </is>
      </c>
      <c r="E278" t="inlineStr">
        <is>
          <t>deferred_tax.net_deferred_tax_position_change.2026-02-01</t>
        </is>
      </c>
      <c r="F278" t="inlineStr">
        <is>
          <t>deferred_tax</t>
        </is>
      </c>
      <c r="G278" t="inlineStr">
        <is>
          <t>ALT DuPont</t>
        </is>
      </c>
      <c r="H278" t="inlineStr">
        <is>
          <t>E73</t>
        </is>
      </c>
      <c r="I278">
        <f>E70-D70</f>
        <v/>
      </c>
      <c r="J278" t="n">
        <v>52862</v>
      </c>
      <c r="K278" t="n">
        <v>0.01</v>
      </c>
      <c r="L278" t="inlineStr">
        <is>
          <t>net_deferred_tax_position__20260201,net_deferred_tax_position__20250202</t>
        </is>
      </c>
      <c r="M278" t="inlineStr">
        <is>
          <t>Change in Net Deferred-Tax Asset Position = Current net − Prior net.|Net-position change is a balance movement — not deferred-tax expense or cash taxes.</t>
        </is>
      </c>
      <c r="O278" t="inlineStr">
        <is>
          <t>pending</t>
        </is>
      </c>
      <c r="P278" t="inlineStr">
        <is>
          <t>net_deferred_tax_position_change</t>
        </is>
      </c>
      <c r="Q278" t="n">
        <v>119</v>
      </c>
      <c r="R278" t="n">
        <v>3</v>
      </c>
      <c r="S278" t="inlineStr">
        <is>
          <t>2026-02-01</t>
        </is>
      </c>
    </row>
    <row r="279">
      <c r="A279" t="inlineStr">
        <is>
          <t>ppe_capex__20230129</t>
        </is>
      </c>
      <c r="B279" t="n">
        <v>278</v>
      </c>
      <c r="C279" t="inlineStr">
        <is>
          <t>PP&amp;E Capex (−reported)</t>
        </is>
      </c>
      <c r="D279" t="inlineStr">
        <is>
          <t>Presented as −reported payments for property, plant and equipment.</t>
        </is>
      </c>
      <c r="E279" t="inlineStr">
        <is>
          <t>capex.ppe_capex.2023-01-29</t>
        </is>
      </c>
      <c r="F279" t="inlineStr">
        <is>
          <t>capex</t>
        </is>
      </c>
      <c r="G279" t="inlineStr">
        <is>
          <t>ALT DuPont</t>
        </is>
      </c>
      <c r="H279" t="inlineStr">
        <is>
          <t>B77</t>
        </is>
      </c>
      <c r="I279">
        <f>-B76</f>
        <v/>
      </c>
      <c r="J279" t="n">
        <v>638657</v>
      </c>
      <c r="K279" t="n">
        <v>0.01</v>
      </c>
      <c r="M27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9" t="inlineStr">
        <is>
          <t>pending</t>
        </is>
      </c>
      <c r="P279" t="inlineStr">
        <is>
          <t>ppe_capex</t>
        </is>
      </c>
      <c r="Q279" t="n">
        <v>120</v>
      </c>
      <c r="R279" t="n">
        <v>0</v>
      </c>
      <c r="S279" t="inlineStr">
        <is>
          <t>2023-01-29</t>
        </is>
      </c>
    </row>
    <row r="280">
      <c r="A280" t="inlineStr">
        <is>
          <t>ppe_capex__20240128</t>
        </is>
      </c>
      <c r="B280" t="n">
        <v>279</v>
      </c>
      <c r="C280" t="inlineStr">
        <is>
          <t>PP&amp;E Capex (−reported)</t>
        </is>
      </c>
      <c r="D280" t="inlineStr">
        <is>
          <t>Presented as −reported payments for property, plant and equipment.</t>
        </is>
      </c>
      <c r="E280" t="inlineStr">
        <is>
          <t>capex.ppe_capex.2024-01-28</t>
        </is>
      </c>
      <c r="F280" t="inlineStr">
        <is>
          <t>capex</t>
        </is>
      </c>
      <c r="G280" t="inlineStr">
        <is>
          <t>ALT DuPont</t>
        </is>
      </c>
      <c r="H280" t="inlineStr">
        <is>
          <t>C77</t>
        </is>
      </c>
      <c r="I280">
        <f>-C76</f>
        <v/>
      </c>
      <c r="J280" t="n">
        <v>651865</v>
      </c>
      <c r="K280" t="n">
        <v>0.01</v>
      </c>
      <c r="M28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0" t="inlineStr">
        <is>
          <t>pending</t>
        </is>
      </c>
      <c r="P280" t="inlineStr">
        <is>
          <t>ppe_capex</t>
        </is>
      </c>
      <c r="Q280" t="n">
        <v>120</v>
      </c>
      <c r="R280" t="n">
        <v>1</v>
      </c>
      <c r="S280" t="inlineStr">
        <is>
          <t>2024-01-28</t>
        </is>
      </c>
    </row>
    <row r="281">
      <c r="A281" t="inlineStr">
        <is>
          <t>ppe_capex__20250202</t>
        </is>
      </c>
      <c r="B281" t="n">
        <v>280</v>
      </c>
      <c r="C281" t="inlineStr">
        <is>
          <t>PP&amp;E Capex (−reported)</t>
        </is>
      </c>
      <c r="D281" t="inlineStr">
        <is>
          <t>Presented as −reported payments for property, plant and equipment.</t>
        </is>
      </c>
      <c r="E281" t="inlineStr">
        <is>
          <t>capex.ppe_capex.2025-02-02</t>
        </is>
      </c>
      <c r="F281" t="inlineStr">
        <is>
          <t>capex</t>
        </is>
      </c>
      <c r="G281" t="inlineStr">
        <is>
          <t>ALT DuPont</t>
        </is>
      </c>
      <c r="H281" t="inlineStr">
        <is>
          <t>D77</t>
        </is>
      </c>
      <c r="I281">
        <f>-D76</f>
        <v/>
      </c>
      <c r="J281" t="n">
        <v>689232</v>
      </c>
      <c r="K281" t="n">
        <v>0.01</v>
      </c>
      <c r="M281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1" t="inlineStr">
        <is>
          <t>pending</t>
        </is>
      </c>
      <c r="P281" t="inlineStr">
        <is>
          <t>ppe_capex</t>
        </is>
      </c>
      <c r="Q281" t="n">
        <v>120</v>
      </c>
      <c r="R281" t="n">
        <v>2</v>
      </c>
      <c r="S281" t="inlineStr">
        <is>
          <t>2025-02-02</t>
        </is>
      </c>
    </row>
    <row r="282">
      <c r="A282" t="inlineStr">
        <is>
          <t>ppe_capex__20260201</t>
        </is>
      </c>
      <c r="B282" t="n">
        <v>281</v>
      </c>
      <c r="C282" t="inlineStr">
        <is>
          <t>PP&amp;E Capex (−reported)</t>
        </is>
      </c>
      <c r="D282" t="inlineStr">
        <is>
          <t>Presented as −reported payments for property, plant and equipment.</t>
        </is>
      </c>
      <c r="E282" t="inlineStr">
        <is>
          <t>capex.ppe_capex.2026-02-01</t>
        </is>
      </c>
      <c r="F282" t="inlineStr">
        <is>
          <t>capex</t>
        </is>
      </c>
      <c r="G282" t="inlineStr">
        <is>
          <t>ALT DuPont</t>
        </is>
      </c>
      <c r="H282" t="inlineStr">
        <is>
          <t>E77</t>
        </is>
      </c>
      <c r="I282">
        <f>-E76</f>
        <v/>
      </c>
      <c r="J282" t="n">
        <v>680802</v>
      </c>
      <c r="K282" t="n">
        <v>0.01</v>
      </c>
      <c r="M28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2" t="inlineStr">
        <is>
          <t>pending</t>
        </is>
      </c>
      <c r="P282" t="inlineStr">
        <is>
          <t>ppe_capex</t>
        </is>
      </c>
      <c r="Q282" t="n">
        <v>120</v>
      </c>
      <c r="R282" t="n">
        <v>3</v>
      </c>
      <c r="S282" t="inlineStr">
        <is>
          <t>2026-02-01</t>
        </is>
      </c>
    </row>
    <row r="283">
      <c r="A283" t="inlineStr">
        <is>
          <t>ppe_capex_to_revenue__20230129</t>
        </is>
      </c>
      <c r="B283" t="n">
        <v>282</v>
      </c>
      <c r="C283" t="inlineStr">
        <is>
          <t>PP&amp;E Capex / Revenue</t>
        </is>
      </c>
      <c r="D283" t="inlineStr">
        <is>
          <t>Presented PP&amp;E capex divided by same-period Revenue.</t>
        </is>
      </c>
      <c r="E283" t="inlineStr">
        <is>
          <t>capex.ppe_capex_to_revenue.2023-01-29</t>
        </is>
      </c>
      <c r="F283" t="inlineStr">
        <is>
          <t>capex</t>
        </is>
      </c>
      <c r="G283" t="inlineStr">
        <is>
          <t>ALT DuPont</t>
        </is>
      </c>
      <c r="H283" t="inlineStr">
        <is>
          <t>B78</t>
        </is>
      </c>
      <c r="I283">
        <f>IF('Condensed Financials'!B34=0,NA(),B77/'Condensed Financials'!B34)</f>
        <v/>
      </c>
      <c r="J283" t="n">
        <v>0.07874429228811279</v>
      </c>
      <c r="K283" t="n">
        <v>0.01</v>
      </c>
      <c r="L283" t="inlineStr">
        <is>
          <t>ppe_capex__20230129,revenue_link__20230129</t>
        </is>
      </c>
      <c r="M28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3" t="inlineStr">
        <is>
          <t>pending</t>
        </is>
      </c>
      <c r="P283" t="inlineStr">
        <is>
          <t>ppe_capex_to_revenue</t>
        </is>
      </c>
      <c r="Q283" t="n">
        <v>121</v>
      </c>
      <c r="R283" t="n">
        <v>0</v>
      </c>
      <c r="S283" t="inlineStr">
        <is>
          <t>2023-01-29</t>
        </is>
      </c>
    </row>
    <row r="284">
      <c r="A284" t="inlineStr">
        <is>
          <t>ppe_capex_to_revenue__20240128</t>
        </is>
      </c>
      <c r="B284" t="n">
        <v>283</v>
      </c>
      <c r="C284" t="inlineStr">
        <is>
          <t>PP&amp;E Capex / Revenue</t>
        </is>
      </c>
      <c r="D284" t="inlineStr">
        <is>
          <t>Presented PP&amp;E capex divided by same-period Revenue.</t>
        </is>
      </c>
      <c r="E284" t="inlineStr">
        <is>
          <t>capex.ppe_capex_to_revenue.2024-01-28</t>
        </is>
      </c>
      <c r="F284" t="inlineStr">
        <is>
          <t>capex</t>
        </is>
      </c>
      <c r="G284" t="inlineStr">
        <is>
          <t>ALT DuPont</t>
        </is>
      </c>
      <c r="H284" t="inlineStr">
        <is>
          <t>C78</t>
        </is>
      </c>
      <c r="I284">
        <f>IF('Condensed Financials'!C34=0,NA(),C77/'Condensed Financials'!C34)</f>
        <v/>
      </c>
      <c r="J284" t="n">
        <v>0.06776652052264213</v>
      </c>
      <c r="K284" t="n">
        <v>0.01</v>
      </c>
      <c r="L284" t="inlineStr">
        <is>
          <t>ppe_capex__20240128,revenue_link__20240128</t>
        </is>
      </c>
      <c r="M28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4" t="inlineStr">
        <is>
          <t>pending</t>
        </is>
      </c>
      <c r="P284" t="inlineStr">
        <is>
          <t>ppe_capex_to_revenue</t>
        </is>
      </c>
      <c r="Q284" t="n">
        <v>121</v>
      </c>
      <c r="R284" t="n">
        <v>1</v>
      </c>
      <c r="S284" t="inlineStr">
        <is>
          <t>2024-01-28</t>
        </is>
      </c>
    </row>
    <row r="285">
      <c r="A285" t="inlineStr">
        <is>
          <t>ppe_capex_to_revenue__20250202</t>
        </is>
      </c>
      <c r="B285" t="n">
        <v>284</v>
      </c>
      <c r="C285" t="inlineStr">
        <is>
          <t>PP&amp;E Capex / Revenue</t>
        </is>
      </c>
      <c r="D285" t="inlineStr">
        <is>
          <t>Presented PP&amp;E capex divided by same-period Revenue.</t>
        </is>
      </c>
      <c r="E285" t="inlineStr">
        <is>
          <t>capex.ppe_capex_to_revenue.2025-02-02</t>
        </is>
      </c>
      <c r="F285" t="inlineStr">
        <is>
          <t>capex</t>
        </is>
      </c>
      <c r="G285" t="inlineStr">
        <is>
          <t>ALT DuPont</t>
        </is>
      </c>
      <c r="H285" t="inlineStr">
        <is>
          <t>D78</t>
        </is>
      </c>
      <c r="I285">
        <f>IF('Condensed Financials'!D34=0,NA(),D77/'Condensed Financials'!D34)</f>
        <v/>
      </c>
      <c r="J285" t="n">
        <v>0.0650948052563787</v>
      </c>
      <c r="K285" t="n">
        <v>0.01</v>
      </c>
      <c r="L285" t="inlineStr">
        <is>
          <t>ppe_capex__20250202,revenue_link__20250202</t>
        </is>
      </c>
      <c r="M285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5" t="inlineStr">
        <is>
          <t>pending</t>
        </is>
      </c>
      <c r="P285" t="inlineStr">
        <is>
          <t>ppe_capex_to_revenue</t>
        </is>
      </c>
      <c r="Q285" t="n">
        <v>121</v>
      </c>
      <c r="R285" t="n">
        <v>2</v>
      </c>
      <c r="S285" t="inlineStr">
        <is>
          <t>2025-02-02</t>
        </is>
      </c>
    </row>
    <row r="286">
      <c r="A286" t="inlineStr">
        <is>
          <t>ppe_capex_to_revenue__20260201</t>
        </is>
      </c>
      <c r="B286" t="n">
        <v>285</v>
      </c>
      <c r="C286" t="inlineStr">
        <is>
          <t>PP&amp;E Capex / Revenue</t>
        </is>
      </c>
      <c r="D286" t="inlineStr">
        <is>
          <t>Presented PP&amp;E capex divided by same-period Revenue.</t>
        </is>
      </c>
      <c r="E286" t="inlineStr">
        <is>
          <t>capex.ppe_capex_to_revenue.2026-02-01</t>
        </is>
      </c>
      <c r="F286" t="inlineStr">
        <is>
          <t>capex</t>
        </is>
      </c>
      <c r="G286" t="inlineStr">
        <is>
          <t>ALT DuPont</t>
        </is>
      </c>
      <c r="H286" t="inlineStr">
        <is>
          <t>E78</t>
        </is>
      </c>
      <c r="I286">
        <f>IF('Condensed Financials'!E34=0,NA(),E77/'Condensed Financials'!E34)</f>
        <v/>
      </c>
      <c r="J286" t="n">
        <v>0.06131915046925945</v>
      </c>
      <c r="K286" t="n">
        <v>0.01</v>
      </c>
      <c r="L286" t="inlineStr">
        <is>
          <t>ppe_capex__20260201,revenue_link__20260201</t>
        </is>
      </c>
      <c r="M286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6" t="inlineStr">
        <is>
          <t>pending</t>
        </is>
      </c>
      <c r="P286" t="inlineStr">
        <is>
          <t>ppe_capex_to_revenue</t>
        </is>
      </c>
      <c r="Q286" t="n">
        <v>121</v>
      </c>
      <c r="R286" t="n">
        <v>3</v>
      </c>
      <c r="S286" t="inlineStr">
        <is>
          <t>2026-02-01</t>
        </is>
      </c>
    </row>
    <row r="287">
      <c r="A287" t="inlineStr">
        <is>
          <t>cash_after_ppe_capex__20230129</t>
        </is>
      </c>
      <c r="B287" t="n">
        <v>286</v>
      </c>
      <c r="C287" t="inlineStr">
        <is>
          <t>Operating cash after PP&amp;E capex</t>
        </is>
      </c>
      <c r="D287" t="inlineStr">
        <is>
          <t>Reported operating cash flow minus PP&amp;E capex. Excludes other investing flows and is not comprehensive free cash flow or a maintenance/growth-capex estimate.</t>
        </is>
      </c>
      <c r="E287" t="inlineStr">
        <is>
          <t>capex.cash_after_ppe_capex.2023-01-29</t>
        </is>
      </c>
      <c r="F287" t="inlineStr">
        <is>
          <t>capex</t>
        </is>
      </c>
      <c r="G287" t="inlineStr">
        <is>
          <t>ALT DuPont</t>
        </is>
      </c>
      <c r="H287" t="inlineStr">
        <is>
          <t>B82</t>
        </is>
      </c>
      <c r="I287">
        <f>B81-B77</f>
        <v/>
      </c>
      <c r="J287" t="n">
        <v>327806</v>
      </c>
      <c r="K287" t="n">
        <v>0.01</v>
      </c>
      <c r="L287" t="inlineStr">
        <is>
          <t>ppe_capex__20230129</t>
        </is>
      </c>
      <c r="M2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7" t="inlineStr">
        <is>
          <t>pending</t>
        </is>
      </c>
      <c r="P287" t="inlineStr">
        <is>
          <t>cash_after_ppe_capex</t>
        </is>
      </c>
      <c r="Q287" t="n">
        <v>124</v>
      </c>
      <c r="R287" t="n">
        <v>0</v>
      </c>
      <c r="S287" t="inlineStr">
        <is>
          <t>2023-01-29</t>
        </is>
      </c>
    </row>
    <row r="288">
      <c r="A288" t="inlineStr">
        <is>
          <t>cash_after_ppe_capex__20240128</t>
        </is>
      </c>
      <c r="B288" t="n">
        <v>287</v>
      </c>
      <c r="C288" t="inlineStr">
        <is>
          <t>Operating cash after PP&amp;E capex</t>
        </is>
      </c>
      <c r="D288" t="inlineStr">
        <is>
          <t>Reported operating cash flow minus PP&amp;E capex. Excludes other investing flows and is not comprehensive free cash flow or a maintenance/growth-capex estimate.</t>
        </is>
      </c>
      <c r="E288" t="inlineStr">
        <is>
          <t>capex.cash_after_ppe_capex.2024-01-28</t>
        </is>
      </c>
      <c r="F288" t="inlineStr">
        <is>
          <t>capex</t>
        </is>
      </c>
      <c r="G288" t="inlineStr">
        <is>
          <t>ALT DuPont</t>
        </is>
      </c>
      <c r="H288" t="inlineStr">
        <is>
          <t>C82</t>
        </is>
      </c>
      <c r="I288">
        <f>C81-C77</f>
        <v/>
      </c>
      <c r="J288" t="n">
        <v>1644299</v>
      </c>
      <c r="K288" t="n">
        <v>0.01</v>
      </c>
      <c r="L288" t="inlineStr">
        <is>
          <t>ppe_capex__20240128</t>
        </is>
      </c>
      <c r="M288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8" t="inlineStr">
        <is>
          <t>pending</t>
        </is>
      </c>
      <c r="P288" t="inlineStr">
        <is>
          <t>cash_after_ppe_capex</t>
        </is>
      </c>
      <c r="Q288" t="n">
        <v>124</v>
      </c>
      <c r="R288" t="n">
        <v>1</v>
      </c>
      <c r="S288" t="inlineStr">
        <is>
          <t>2024-01-28</t>
        </is>
      </c>
    </row>
    <row r="289">
      <c r="A289" t="inlineStr">
        <is>
          <t>cash_after_ppe_capex__20250202</t>
        </is>
      </c>
      <c r="B289" t="n">
        <v>288</v>
      </c>
      <c r="C289" t="inlineStr">
        <is>
          <t>Operating cash after PP&amp;E capex</t>
        </is>
      </c>
      <c r="D289" t="inlineStr">
        <is>
          <t>Reported operating cash flow minus PP&amp;E capex. Excludes other investing flows and is not comprehensive free cash flow or a maintenance/growth-capex estimate.</t>
        </is>
      </c>
      <c r="E289" t="inlineStr">
        <is>
          <t>capex.cash_after_ppe_capex.2025-02-02</t>
        </is>
      </c>
      <c r="F289" t="inlineStr">
        <is>
          <t>capex</t>
        </is>
      </c>
      <c r="G289" t="inlineStr">
        <is>
          <t>ALT DuPont</t>
        </is>
      </c>
      <c r="H289" t="inlineStr">
        <is>
          <t>D82</t>
        </is>
      </c>
      <c r="I289">
        <f>D81-D77</f>
        <v/>
      </c>
      <c r="J289" t="n">
        <v>1583481</v>
      </c>
      <c r="K289" t="n">
        <v>0.01</v>
      </c>
      <c r="L289" t="inlineStr">
        <is>
          <t>ppe_capex__20250202</t>
        </is>
      </c>
      <c r="M289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9" t="inlineStr">
        <is>
          <t>pending</t>
        </is>
      </c>
      <c r="P289" t="inlineStr">
        <is>
          <t>cash_after_ppe_capex</t>
        </is>
      </c>
      <c r="Q289" t="n">
        <v>124</v>
      </c>
      <c r="R289" t="n">
        <v>2</v>
      </c>
      <c r="S289" t="inlineStr">
        <is>
          <t>2025-02-02</t>
        </is>
      </c>
    </row>
    <row r="290">
      <c r="A290" t="inlineStr">
        <is>
          <t>cash_after_ppe_capex__20260201</t>
        </is>
      </c>
      <c r="B290" t="n">
        <v>289</v>
      </c>
      <c r="C290" t="inlineStr">
        <is>
          <t>Operating cash after PP&amp;E capex</t>
        </is>
      </c>
      <c r="D290" t="inlineStr">
        <is>
          <t>Reported operating cash flow minus PP&amp;E capex. Excludes other investing flows and is not comprehensive free cash flow or a maintenance/growth-capex estimate.</t>
        </is>
      </c>
      <c r="E290" t="inlineStr">
        <is>
          <t>capex.cash_after_ppe_capex.2026-02-01</t>
        </is>
      </c>
      <c r="F290" t="inlineStr">
        <is>
          <t>capex</t>
        </is>
      </c>
      <c r="G290" t="inlineStr">
        <is>
          <t>ALT DuPont</t>
        </is>
      </c>
      <c r="H290" t="inlineStr">
        <is>
          <t>E82</t>
        </is>
      </c>
      <c r="I290">
        <f>E81-E77</f>
        <v/>
      </c>
      <c r="J290" t="n">
        <v>921675</v>
      </c>
      <c r="K290" t="n">
        <v>0.01</v>
      </c>
      <c r="L290" t="inlineStr">
        <is>
          <t>ppe_capex__20260201</t>
        </is>
      </c>
      <c r="M290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90" t="inlineStr">
        <is>
          <t>pending</t>
        </is>
      </c>
      <c r="P290" t="inlineStr">
        <is>
          <t>cash_after_ppe_capex</t>
        </is>
      </c>
      <c r="Q290" t="n">
        <v>124</v>
      </c>
      <c r="R290" t="n">
        <v>3</v>
      </c>
      <c r="S290" t="inlineStr">
        <is>
          <t>2026-02-01</t>
        </is>
      </c>
    </row>
    <row r="291">
      <c r="A291" t="inlineStr">
        <is>
          <t>cash_after_ppe_capex_to_revenue__20230129</t>
        </is>
      </c>
      <c r="B291" t="n">
        <v>290</v>
      </c>
      <c r="C291" t="inlineStr">
        <is>
          <t>Operating cash after PP&amp;E capex / Revenue</t>
        </is>
      </c>
      <c r="D291" t="inlineStr">
        <is>
          <t>Operating cash after PP&amp;E capex divided by same-period Revenue. Excludes other investing flows; not comprehensive free cash flow or a maintenance/growth-capex estimate.</t>
        </is>
      </c>
      <c r="E291" t="inlineStr">
        <is>
          <t>capex.cash_after_ppe_capex_to_revenue.2023-01-29</t>
        </is>
      </c>
      <c r="F291" t="inlineStr">
        <is>
          <t>capex</t>
        </is>
      </c>
      <c r="G291" t="inlineStr">
        <is>
          <t>ALT DuPont</t>
        </is>
      </c>
      <c r="H291" t="inlineStr">
        <is>
          <t>B83</t>
        </is>
      </c>
      <c r="I291">
        <f>IF('Condensed Financials'!B34=0,NA(),B82/'Condensed Financials'!B34)</f>
        <v/>
      </c>
      <c r="J291" t="n">
        <v>0.04041739380887879</v>
      </c>
      <c r="K291" t="n">
        <v>0.01</v>
      </c>
      <c r="L291" t="inlineStr">
        <is>
          <t>cash_after_ppe_capex__20230129,revenue_link__20230129</t>
        </is>
      </c>
      <c r="M2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1" t="inlineStr">
        <is>
          <t>pending</t>
        </is>
      </c>
      <c r="P291" t="inlineStr">
        <is>
          <t>cash_after_ppe_capex_to_revenue</t>
        </is>
      </c>
      <c r="Q291" t="n">
        <v>125</v>
      </c>
      <c r="R291" t="n">
        <v>0</v>
      </c>
      <c r="S291" t="inlineStr">
        <is>
          <t>2023-01-29</t>
        </is>
      </c>
    </row>
    <row r="292">
      <c r="A292" t="inlineStr">
        <is>
          <t>cash_after_ppe_capex_to_revenue__20240128</t>
        </is>
      </c>
      <c r="B292" t="n">
        <v>291</v>
      </c>
      <c r="C292" t="inlineStr">
        <is>
          <t>Operating cash after PP&amp;E capex / Revenue</t>
        </is>
      </c>
      <c r="D292" t="inlineStr">
        <is>
          <t>Operating cash after PP&amp;E capex divided by same-period Revenue. Excludes other investing flows; not comprehensive free cash flow or a maintenance/growth-capex estimate.</t>
        </is>
      </c>
      <c r="E292" t="inlineStr">
        <is>
          <t>capex.cash_after_ppe_capex_to_revenue.2024-01-28</t>
        </is>
      </c>
      <c r="F292" t="inlineStr">
        <is>
          <t>capex</t>
        </is>
      </c>
      <c r="G292" t="inlineStr">
        <is>
          <t>ALT DuPont</t>
        </is>
      </c>
      <c r="H292" t="inlineStr">
        <is>
          <t>C83</t>
        </is>
      </c>
      <c r="I292">
        <f>IF('Condensed Financials'!C34=0,NA(),C82/'Condensed Financials'!C34)</f>
        <v/>
      </c>
      <c r="J292" t="n">
        <v>0.1709378812006473</v>
      </c>
      <c r="K292" t="n">
        <v>0.01</v>
      </c>
      <c r="L292" t="inlineStr">
        <is>
          <t>cash_after_ppe_capex__20240128,revenue_link__20240128</t>
        </is>
      </c>
      <c r="M2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2" t="inlineStr">
        <is>
          <t>pending</t>
        </is>
      </c>
      <c r="P292" t="inlineStr">
        <is>
          <t>cash_after_ppe_capex_to_revenue</t>
        </is>
      </c>
      <c r="Q292" t="n">
        <v>125</v>
      </c>
      <c r="R292" t="n">
        <v>1</v>
      </c>
      <c r="S292" t="inlineStr">
        <is>
          <t>2024-01-28</t>
        </is>
      </c>
    </row>
    <row r="293">
      <c r="A293" t="inlineStr">
        <is>
          <t>cash_after_ppe_capex_to_revenue__20250202</t>
        </is>
      </c>
      <c r="B293" t="n">
        <v>292</v>
      </c>
      <c r="C293" t="inlineStr">
        <is>
          <t>Operating cash after PP&amp;E capex / Revenue</t>
        </is>
      </c>
      <c r="D293" t="inlineStr">
        <is>
          <t>Operating cash after PP&amp;E capex divided by same-period Revenue. Excludes other investing flows; not comprehensive free cash flow or a maintenance/growth-capex estimate.</t>
        </is>
      </c>
      <c r="E293" t="inlineStr">
        <is>
          <t>capex.cash_after_ppe_capex_to_revenue.2025-02-02</t>
        </is>
      </c>
      <c r="F293" t="inlineStr">
        <is>
          <t>capex</t>
        </is>
      </c>
      <c r="G293" t="inlineStr">
        <is>
          <t>ALT DuPont</t>
        </is>
      </c>
      <c r="H293" t="inlineStr">
        <is>
          <t>D83</t>
        </is>
      </c>
      <c r="I293">
        <f>IF('Condensed Financials'!D34=0,NA(),D82/'Condensed Financials'!D34)</f>
        <v/>
      </c>
      <c r="J293" t="n">
        <v>0.1495525270477514</v>
      </c>
      <c r="K293" t="n">
        <v>0.01</v>
      </c>
      <c r="L293" t="inlineStr">
        <is>
          <t>cash_after_ppe_capex__20250202,revenue_link__20250202</t>
        </is>
      </c>
      <c r="M293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3" t="inlineStr">
        <is>
          <t>pending</t>
        </is>
      </c>
      <c r="P293" t="inlineStr">
        <is>
          <t>cash_after_ppe_capex_to_revenue</t>
        </is>
      </c>
      <c r="Q293" t="n">
        <v>125</v>
      </c>
      <c r="R293" t="n">
        <v>2</v>
      </c>
      <c r="S293" t="inlineStr">
        <is>
          <t>2025-02-02</t>
        </is>
      </c>
    </row>
    <row r="294">
      <c r="A294" t="inlineStr">
        <is>
          <t>cash_after_ppe_capex_to_revenue__20260201</t>
        </is>
      </c>
      <c r="B294" t="n">
        <v>293</v>
      </c>
      <c r="C294" t="inlineStr">
        <is>
          <t>Operating cash after PP&amp;E capex / Revenue</t>
        </is>
      </c>
      <c r="D294" t="inlineStr">
        <is>
          <t>Operating cash after PP&amp;E capex divided by same-period Revenue. Excludes other investing flows; not comprehensive free cash flow or a maintenance/growth-capex estimate.</t>
        </is>
      </c>
      <c r="E294" t="inlineStr">
        <is>
          <t>capex.cash_after_ppe_capex_to_revenue.2026-02-01</t>
        </is>
      </c>
      <c r="F294" t="inlineStr">
        <is>
          <t>capex</t>
        </is>
      </c>
      <c r="G294" t="inlineStr">
        <is>
          <t>ALT DuPont</t>
        </is>
      </c>
      <c r="H294" t="inlineStr">
        <is>
          <t>E83</t>
        </is>
      </c>
      <c r="I294">
        <f>IF('Condensed Financials'!E34=0,NA(),E82/'Condensed Financials'!E34)</f>
        <v/>
      </c>
      <c r="J294" t="n">
        <v>0.08301433898366148</v>
      </c>
      <c r="K294" t="n">
        <v>0.01</v>
      </c>
      <c r="L294" t="inlineStr">
        <is>
          <t>cash_after_ppe_capex__20260201,revenue_link__20260201</t>
        </is>
      </c>
      <c r="M294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4" t="inlineStr">
        <is>
          <t>pending</t>
        </is>
      </c>
      <c r="P294" t="inlineStr">
        <is>
          <t>cash_after_ppe_capex_to_revenue</t>
        </is>
      </c>
      <c r="Q294" t="n">
        <v>125</v>
      </c>
      <c r="R294" t="n">
        <v>3</v>
      </c>
      <c r="S294" t="inlineStr">
        <is>
          <t>2026-02-01</t>
        </is>
      </c>
    </row>
    <row r="295">
      <c r="A295" t="inlineStr">
        <is>
          <t>acquisition_cash_outflow__20230129</t>
        </is>
      </c>
      <c r="B295" t="n">
        <v>294</v>
      </c>
      <c r="C295" t="inlineStr">
        <is>
          <t>Acquisition cash outflow (−reported)</t>
        </is>
      </c>
      <c r="D295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5" t="inlineStr">
        <is>
          <t>acquisition_cash.acquisition_cash_outflow.2023-01-29</t>
        </is>
      </c>
      <c r="F295" t="inlineStr">
        <is>
          <t>acquisition_cash</t>
        </is>
      </c>
      <c r="G295" t="inlineStr">
        <is>
          <t>ALT DuPont</t>
        </is>
      </c>
      <c r="H295" t="inlineStr">
        <is>
          <t>B87</t>
        </is>
      </c>
      <c r="I295">
        <f>-B86</f>
        <v/>
      </c>
      <c r="J295" t="n">
        <v>0</v>
      </c>
      <c r="K295" t="n">
        <v>0.01</v>
      </c>
      <c r="M295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5" t="inlineStr">
        <is>
          <t>pending</t>
        </is>
      </c>
      <c r="P295" t="inlineStr">
        <is>
          <t>acquisition_cash_outflow</t>
        </is>
      </c>
      <c r="Q295" t="n">
        <v>129</v>
      </c>
      <c r="R295" t="n">
        <v>0</v>
      </c>
      <c r="S295" t="inlineStr">
        <is>
          <t>2023-01-29</t>
        </is>
      </c>
    </row>
    <row r="296">
      <c r="A296" t="inlineStr">
        <is>
          <t>acquisition_cash_outflow__20240128</t>
        </is>
      </c>
      <c r="B296" t="n">
        <v>295</v>
      </c>
      <c r="C296" t="inlineStr">
        <is>
          <t>Acquisition cash outflow (−reported)</t>
        </is>
      </c>
      <c r="D296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6" t="inlineStr">
        <is>
          <t>acquisition_cash.acquisition_cash_outflow.2024-01-28</t>
        </is>
      </c>
      <c r="F296" t="inlineStr">
        <is>
          <t>acquisition_cash</t>
        </is>
      </c>
      <c r="G296" t="inlineStr">
        <is>
          <t>ALT DuPont</t>
        </is>
      </c>
      <c r="H296" t="inlineStr">
        <is>
          <t>C87</t>
        </is>
      </c>
      <c r="I296">
        <f>-C86</f>
        <v/>
      </c>
      <c r="J296" t="n">
        <v>0</v>
      </c>
      <c r="K296" t="n">
        <v>0.01</v>
      </c>
      <c r="M296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6" t="inlineStr">
        <is>
          <t>pending</t>
        </is>
      </c>
      <c r="P296" t="inlineStr">
        <is>
          <t>acquisition_cash_outflow</t>
        </is>
      </c>
      <c r="Q296" t="n">
        <v>129</v>
      </c>
      <c r="R296" t="n">
        <v>1</v>
      </c>
      <c r="S296" t="inlineStr">
        <is>
          <t>2024-01-28</t>
        </is>
      </c>
    </row>
    <row r="297">
      <c r="A297" t="inlineStr">
        <is>
          <t>acquisition_cash_outflow__20250202</t>
        </is>
      </c>
      <c r="B297" t="n">
        <v>296</v>
      </c>
      <c r="C297" t="inlineStr">
        <is>
          <t>Acquisition cash outflow (−reported)</t>
        </is>
      </c>
      <c r="D297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7" t="inlineStr">
        <is>
          <t>acquisition_cash.acquisition_cash_outflow.2025-02-02</t>
        </is>
      </c>
      <c r="F297" t="inlineStr">
        <is>
          <t>acquisition_cash</t>
        </is>
      </c>
      <c r="G297" t="inlineStr">
        <is>
          <t>ALT DuPont</t>
        </is>
      </c>
      <c r="H297" t="inlineStr">
        <is>
          <t>D87</t>
        </is>
      </c>
      <c r="I297">
        <f>-D86</f>
        <v/>
      </c>
      <c r="J297" t="n">
        <v>154146</v>
      </c>
      <c r="K297" t="n">
        <v>0.01</v>
      </c>
      <c r="M297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7" t="inlineStr">
        <is>
          <t>pending</t>
        </is>
      </c>
      <c r="P297" t="inlineStr">
        <is>
          <t>acquisition_cash_outflow</t>
        </is>
      </c>
      <c r="Q297" t="n">
        <v>129</v>
      </c>
      <c r="R297" t="n">
        <v>2</v>
      </c>
      <c r="S297" t="inlineStr">
        <is>
          <t>2025-02-02</t>
        </is>
      </c>
    </row>
    <row r="298">
      <c r="A298" t="inlineStr">
        <is>
          <t>acquisition_cash_outflow__20260201</t>
        </is>
      </c>
      <c r="B298" t="n">
        <v>297</v>
      </c>
      <c r="C298" t="inlineStr">
        <is>
          <t>Acquisition cash outflow (−reported)</t>
        </is>
      </c>
      <c r="D298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8" t="inlineStr">
        <is>
          <t>acquisition_cash.acquisition_cash_outflow.2026-02-01</t>
        </is>
      </c>
      <c r="F298" t="inlineStr">
        <is>
          <t>acquisition_cash</t>
        </is>
      </c>
      <c r="G298" t="inlineStr">
        <is>
          <t>ALT DuPont</t>
        </is>
      </c>
      <c r="H298" t="inlineStr">
        <is>
          <t>E87</t>
        </is>
      </c>
      <c r="I298">
        <f>-E86</f>
        <v/>
      </c>
      <c r="J298" t="n">
        <v>0</v>
      </c>
      <c r="K298" t="n">
        <v>0.01</v>
      </c>
      <c r="M298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8" t="inlineStr">
        <is>
          <t>pending</t>
        </is>
      </c>
      <c r="P298" t="inlineStr">
        <is>
          <t>acquisition_cash_outflow</t>
        </is>
      </c>
      <c r="Q298" t="n">
        <v>129</v>
      </c>
      <c r="R298" t="n">
        <v>3</v>
      </c>
      <c r="S298" t="inlineStr">
        <is>
          <t>2026-02-01</t>
        </is>
      </c>
    </row>
    <row r="299">
      <c r="A299" t="inlineStr">
        <is>
          <t>acquisition_cash_to_revenue__20230129</t>
        </is>
      </c>
      <c r="B299" t="n">
        <v>298</v>
      </c>
      <c r="C299" t="inlineStr">
        <is>
          <t>Acquisition cash / Revenue</t>
        </is>
      </c>
      <c r="D299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299" t="inlineStr">
        <is>
          <t>acquisition_cash.acquisition_cash_to_revenue.2023-01-29</t>
        </is>
      </c>
      <c r="F299" t="inlineStr">
        <is>
          <t>acquisition_cash</t>
        </is>
      </c>
      <c r="G299" t="inlineStr">
        <is>
          <t>ALT DuPont</t>
        </is>
      </c>
      <c r="H299" t="inlineStr">
        <is>
          <t>B88</t>
        </is>
      </c>
      <c r="I299">
        <f>IF('Condensed Financials'!B34=0,NA(),B87/'Condensed Financials'!B34)</f>
        <v/>
      </c>
      <c r="J299" t="n">
        <v>0</v>
      </c>
      <c r="K299" t="n">
        <v>0.01</v>
      </c>
      <c r="L299" t="inlineStr">
        <is>
          <t>acquisition_cash_outflow__20230129,revenue_link__20230129</t>
        </is>
      </c>
      <c r="M299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299" t="inlineStr">
        <is>
          <t>pending</t>
        </is>
      </c>
      <c r="P299" t="inlineStr">
        <is>
          <t>acquisition_cash_to_revenue</t>
        </is>
      </c>
      <c r="Q299" t="n">
        <v>130</v>
      </c>
      <c r="R299" t="n">
        <v>0</v>
      </c>
      <c r="S299" t="inlineStr">
        <is>
          <t>2023-01-29</t>
        </is>
      </c>
    </row>
    <row r="300">
      <c r="A300" t="inlineStr">
        <is>
          <t>acquisition_cash_to_revenue__20240128</t>
        </is>
      </c>
      <c r="B300" t="n">
        <v>299</v>
      </c>
      <c r="C300" t="inlineStr">
        <is>
          <t>Acquisition cash / Revenue</t>
        </is>
      </c>
      <c r="D300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0" t="inlineStr">
        <is>
          <t>acquisition_cash.acquisition_cash_to_revenue.2024-01-28</t>
        </is>
      </c>
      <c r="F300" t="inlineStr">
        <is>
          <t>acquisition_cash</t>
        </is>
      </c>
      <c r="G300" t="inlineStr">
        <is>
          <t>ALT DuPont</t>
        </is>
      </c>
      <c r="H300" t="inlineStr">
        <is>
          <t>C88</t>
        </is>
      </c>
      <c r="I300">
        <f>IF('Condensed Financials'!C34=0,NA(),C87/'Condensed Financials'!C34)</f>
        <v/>
      </c>
      <c r="J300" t="n">
        <v>0</v>
      </c>
      <c r="K300" t="n">
        <v>0.01</v>
      </c>
      <c r="L300" t="inlineStr">
        <is>
          <t>acquisition_cash_outflow__20240128,revenue_link__20240128</t>
        </is>
      </c>
      <c r="M300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0" t="inlineStr">
        <is>
          <t>pending</t>
        </is>
      </c>
      <c r="P300" t="inlineStr">
        <is>
          <t>acquisition_cash_to_revenue</t>
        </is>
      </c>
      <c r="Q300" t="n">
        <v>130</v>
      </c>
      <c r="R300" t="n">
        <v>1</v>
      </c>
      <c r="S300" t="inlineStr">
        <is>
          <t>2024-01-28</t>
        </is>
      </c>
    </row>
    <row r="301">
      <c r="A301" t="inlineStr">
        <is>
          <t>acquisition_cash_to_revenue__20250202</t>
        </is>
      </c>
      <c r="B301" t="n">
        <v>300</v>
      </c>
      <c r="C301" t="inlineStr">
        <is>
          <t>Acquisition cash / Revenue</t>
        </is>
      </c>
      <c r="D301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1" t="inlineStr">
        <is>
          <t>acquisition_cash.acquisition_cash_to_revenue.2025-02-02</t>
        </is>
      </c>
      <c r="F301" t="inlineStr">
        <is>
          <t>acquisition_cash</t>
        </is>
      </c>
      <c r="G301" t="inlineStr">
        <is>
          <t>ALT DuPont</t>
        </is>
      </c>
      <c r="H301" t="inlineStr">
        <is>
          <t>D88</t>
        </is>
      </c>
      <c r="I301">
        <f>IF('Condensed Financials'!D34=0,NA(),D87/'Condensed Financials'!D34)</f>
        <v/>
      </c>
      <c r="J301" t="n">
        <v>0.01455838360820413</v>
      </c>
      <c r="K301" t="n">
        <v>0.01</v>
      </c>
      <c r="L301" t="inlineStr">
        <is>
          <t>acquisition_cash_outflow__20250202,revenue_link__20250202</t>
        </is>
      </c>
      <c r="M301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1" t="inlineStr">
        <is>
          <t>pending</t>
        </is>
      </c>
      <c r="P301" t="inlineStr">
        <is>
          <t>acquisition_cash_to_revenue</t>
        </is>
      </c>
      <c r="Q301" t="n">
        <v>130</v>
      </c>
      <c r="R301" t="n">
        <v>2</v>
      </c>
      <c r="S301" t="inlineStr">
        <is>
          <t>2025-02-02</t>
        </is>
      </c>
    </row>
    <row r="302">
      <c r="A302" t="inlineStr">
        <is>
          <t>acquisition_cash_to_revenue__20260201</t>
        </is>
      </c>
      <c r="B302" t="n">
        <v>301</v>
      </c>
      <c r="C302" t="inlineStr">
        <is>
          <t>Acquisition cash / Revenue</t>
        </is>
      </c>
      <c r="D302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2" t="inlineStr">
        <is>
          <t>acquisition_cash.acquisition_cash_to_revenue.2026-02-01</t>
        </is>
      </c>
      <c r="F302" t="inlineStr">
        <is>
          <t>acquisition_cash</t>
        </is>
      </c>
      <c r="G302" t="inlineStr">
        <is>
          <t>ALT DuPont</t>
        </is>
      </c>
      <c r="H302" t="inlineStr">
        <is>
          <t>E88</t>
        </is>
      </c>
      <c r="I302">
        <f>IF('Condensed Financials'!E34=0,NA(),E87/'Condensed Financials'!E34)</f>
        <v/>
      </c>
      <c r="J302" t="n">
        <v>0</v>
      </c>
      <c r="K302" t="n">
        <v>0.01</v>
      </c>
      <c r="L302" t="inlineStr">
        <is>
          <t>acquisition_cash_outflow__20260201,revenue_link__20260201</t>
        </is>
      </c>
      <c r="M302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2" t="inlineStr">
        <is>
          <t>pending</t>
        </is>
      </c>
      <c r="P302" t="inlineStr">
        <is>
          <t>acquisition_cash_to_revenue</t>
        </is>
      </c>
      <c r="Q302" t="n">
        <v>130</v>
      </c>
      <c r="R302" t="n">
        <v>3</v>
      </c>
      <c r="S302" t="inlineStr">
        <is>
          <t>2026-02-01</t>
        </is>
      </c>
    </row>
    <row r="303">
      <c r="A303" t="inlineStr">
        <is>
          <t>cash_after_ppe_capex_and_acquisitions__20230129</t>
        </is>
      </c>
      <c r="B303" t="n">
        <v>302</v>
      </c>
      <c r="C303" t="inlineStr">
        <is>
          <t>Operating cash after PP&amp;E capex and acquisitions</t>
        </is>
      </c>
      <c r="D303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3" t="inlineStr">
        <is>
          <t>acquisition_cash.cash_after_ppe_capex_and_acquisitions.2023-01-29</t>
        </is>
      </c>
      <c r="F303" t="inlineStr">
        <is>
          <t>acquisition_cash</t>
        </is>
      </c>
      <c r="G303" t="inlineStr">
        <is>
          <t>ALT DuPont</t>
        </is>
      </c>
      <c r="H303" t="inlineStr">
        <is>
          <t>B91</t>
        </is>
      </c>
      <c r="I303">
        <f>B81-B77-B87</f>
        <v/>
      </c>
      <c r="J303" t="n">
        <v>327806</v>
      </c>
      <c r="K303" t="n">
        <v>0.01</v>
      </c>
      <c r="L303" t="inlineStr">
        <is>
          <t>ppe_capex__20230129,acquisition_cash_outflow__20230129</t>
        </is>
      </c>
      <c r="M303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3" t="inlineStr">
        <is>
          <t>pending</t>
        </is>
      </c>
      <c r="P303" t="inlineStr">
        <is>
          <t>cash_after_ppe_capex_and_acquisitions</t>
        </is>
      </c>
      <c r="Q303" t="n">
        <v>131</v>
      </c>
      <c r="R303" t="n">
        <v>0</v>
      </c>
      <c r="S303" t="inlineStr">
        <is>
          <t>2023-01-29</t>
        </is>
      </c>
    </row>
    <row r="304">
      <c r="A304" t="inlineStr">
        <is>
          <t>cash_after_ppe_capex_and_acquisitions__20240128</t>
        </is>
      </c>
      <c r="B304" t="n">
        <v>303</v>
      </c>
      <c r="C304" t="inlineStr">
        <is>
          <t>Operating cash after PP&amp;E capex and acquisitions</t>
        </is>
      </c>
      <c r="D304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4" t="inlineStr">
        <is>
          <t>acquisition_cash.cash_after_ppe_capex_and_acquisitions.2024-01-28</t>
        </is>
      </c>
      <c r="F304" t="inlineStr">
        <is>
          <t>acquisition_cash</t>
        </is>
      </c>
      <c r="G304" t="inlineStr">
        <is>
          <t>ALT DuPont</t>
        </is>
      </c>
      <c r="H304" t="inlineStr">
        <is>
          <t>C91</t>
        </is>
      </c>
      <c r="I304">
        <f>C81-C77-C87</f>
        <v/>
      </c>
      <c r="J304" t="n">
        <v>1644299</v>
      </c>
      <c r="K304" t="n">
        <v>0.01</v>
      </c>
      <c r="L304" t="inlineStr">
        <is>
          <t>ppe_capex__20240128,acquisition_cash_outflow__20240128</t>
        </is>
      </c>
      <c r="M304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4" t="inlineStr">
        <is>
          <t>pending</t>
        </is>
      </c>
      <c r="P304" t="inlineStr">
        <is>
          <t>cash_after_ppe_capex_and_acquisitions</t>
        </is>
      </c>
      <c r="Q304" t="n">
        <v>131</v>
      </c>
      <c r="R304" t="n">
        <v>1</v>
      </c>
      <c r="S304" t="inlineStr">
        <is>
          <t>2024-01-28</t>
        </is>
      </c>
    </row>
    <row r="305">
      <c r="A305" t="inlineStr">
        <is>
          <t>cash_after_ppe_capex_and_acquisitions__20250202</t>
        </is>
      </c>
      <c r="B305" t="n">
        <v>304</v>
      </c>
      <c r="C305" t="inlineStr">
        <is>
          <t>Operating cash after PP&amp;E capex and acquisitions</t>
        </is>
      </c>
      <c r="D305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5" t="inlineStr">
        <is>
          <t>acquisition_cash.cash_after_ppe_capex_and_acquisitions.2025-02-02</t>
        </is>
      </c>
      <c r="F305" t="inlineStr">
        <is>
          <t>acquisition_cash</t>
        </is>
      </c>
      <c r="G305" t="inlineStr">
        <is>
          <t>ALT DuPont</t>
        </is>
      </c>
      <c r="H305" t="inlineStr">
        <is>
          <t>D91</t>
        </is>
      </c>
      <c r="I305">
        <f>D81-D77-D87</f>
        <v/>
      </c>
      <c r="J305" t="n">
        <v>1429335</v>
      </c>
      <c r="K305" t="n">
        <v>0.01</v>
      </c>
      <c r="L305" t="inlineStr">
        <is>
          <t>ppe_capex__20250202,acquisition_cash_outflow__20250202</t>
        </is>
      </c>
      <c r="M305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5" t="inlineStr">
        <is>
          <t>pending</t>
        </is>
      </c>
      <c r="P305" t="inlineStr">
        <is>
          <t>cash_after_ppe_capex_and_acquisitions</t>
        </is>
      </c>
      <c r="Q305" t="n">
        <v>131</v>
      </c>
      <c r="R305" t="n">
        <v>2</v>
      </c>
      <c r="S305" t="inlineStr">
        <is>
          <t>2025-02-02</t>
        </is>
      </c>
    </row>
    <row r="306">
      <c r="A306" t="inlineStr">
        <is>
          <t>cash_after_ppe_capex_and_acquisitions__20260201</t>
        </is>
      </c>
      <c r="B306" t="n">
        <v>305</v>
      </c>
      <c r="C306" t="inlineStr">
        <is>
          <t>Operating cash after PP&amp;E capex and acquisitions</t>
        </is>
      </c>
      <c r="D306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6" t="inlineStr">
        <is>
          <t>acquisition_cash.cash_after_ppe_capex_and_acquisitions.2026-02-01</t>
        </is>
      </c>
      <c r="F306" t="inlineStr">
        <is>
          <t>acquisition_cash</t>
        </is>
      </c>
      <c r="G306" t="inlineStr">
        <is>
          <t>ALT DuPont</t>
        </is>
      </c>
      <c r="H306" t="inlineStr">
        <is>
          <t>E91</t>
        </is>
      </c>
      <c r="I306">
        <f>E81-E77-E87</f>
        <v/>
      </c>
      <c r="J306" t="n">
        <v>921675</v>
      </c>
      <c r="K306" t="n">
        <v>0.01</v>
      </c>
      <c r="L306" t="inlineStr">
        <is>
          <t>ppe_capex__20260201,acquisition_cash_outflow__20260201</t>
        </is>
      </c>
      <c r="M306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6" t="inlineStr">
        <is>
          <t>pending</t>
        </is>
      </c>
      <c r="P306" t="inlineStr">
        <is>
          <t>cash_after_ppe_capex_and_acquisitions</t>
        </is>
      </c>
      <c r="Q306" t="n">
        <v>131</v>
      </c>
      <c r="R306" t="n">
        <v>3</v>
      </c>
      <c r="S306" t="inlineStr">
        <is>
          <t>2026-02-01</t>
        </is>
      </c>
    </row>
    <row r="307">
      <c r="A307" t="inlineStr">
        <is>
          <t>share_repurchase_outflow__20230129</t>
        </is>
      </c>
      <c r="B307" t="n">
        <v>306</v>
      </c>
      <c r="C307" t="inlineStr">
        <is>
          <t>Share-repurchase outflow (−reported)</t>
        </is>
      </c>
      <c r="D307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7" t="inlineStr">
        <is>
          <t>share_repurchase.share_repurchase_outflow.2023-01-29</t>
        </is>
      </c>
      <c r="F307" t="inlineStr">
        <is>
          <t>share_repurchase</t>
        </is>
      </c>
      <c r="G307" t="inlineStr">
        <is>
          <t>ALT DuPont</t>
        </is>
      </c>
      <c r="H307" t="inlineStr">
        <is>
          <t>B95</t>
        </is>
      </c>
      <c r="I307">
        <f>-B94</f>
        <v/>
      </c>
      <c r="J307" t="n">
        <v>444001</v>
      </c>
      <c r="K307" t="n">
        <v>0.01</v>
      </c>
      <c r="M307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7" t="inlineStr">
        <is>
          <t>pending</t>
        </is>
      </c>
      <c r="P307" t="inlineStr">
        <is>
          <t>share_repurchase_outflow</t>
        </is>
      </c>
      <c r="Q307" t="n">
        <v>132</v>
      </c>
      <c r="R307" t="n">
        <v>0</v>
      </c>
      <c r="S307" t="inlineStr">
        <is>
          <t>2023-01-29</t>
        </is>
      </c>
    </row>
    <row r="308">
      <c r="A308" t="inlineStr">
        <is>
          <t>share_repurchase_outflow__20240128</t>
        </is>
      </c>
      <c r="B308" t="n">
        <v>307</v>
      </c>
      <c r="C308" t="inlineStr">
        <is>
          <t>Share-repurchase outflow (−reported)</t>
        </is>
      </c>
      <c r="D308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8" t="inlineStr">
        <is>
          <t>share_repurchase.share_repurchase_outflow.2024-01-28</t>
        </is>
      </c>
      <c r="F308" t="inlineStr">
        <is>
          <t>share_repurchase</t>
        </is>
      </c>
      <c r="G308" t="inlineStr">
        <is>
          <t>ALT DuPont</t>
        </is>
      </c>
      <c r="H308" t="inlineStr">
        <is>
          <t>C95</t>
        </is>
      </c>
      <c r="I308">
        <f>-C94</f>
        <v/>
      </c>
      <c r="J308" t="n">
        <v>558652</v>
      </c>
      <c r="K308" t="n">
        <v>0.01</v>
      </c>
      <c r="M308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8" t="inlineStr">
        <is>
          <t>pending</t>
        </is>
      </c>
      <c r="P308" t="inlineStr">
        <is>
          <t>share_repurchase_outflow</t>
        </is>
      </c>
      <c r="Q308" t="n">
        <v>132</v>
      </c>
      <c r="R308" t="n">
        <v>1</v>
      </c>
      <c r="S308" t="inlineStr">
        <is>
          <t>2024-01-28</t>
        </is>
      </c>
    </row>
    <row r="309">
      <c r="A309" t="inlineStr">
        <is>
          <t>share_repurchase_outflow__20250202</t>
        </is>
      </c>
      <c r="B309" t="n">
        <v>308</v>
      </c>
      <c r="C309" t="inlineStr">
        <is>
          <t>Share-repurchase outflow (−reported)</t>
        </is>
      </c>
      <c r="D309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9" t="inlineStr">
        <is>
          <t>share_repurchase.share_repurchase_outflow.2025-02-02</t>
        </is>
      </c>
      <c r="F309" t="inlineStr">
        <is>
          <t>share_repurchase</t>
        </is>
      </c>
      <c r="G309" t="inlineStr">
        <is>
          <t>ALT DuPont</t>
        </is>
      </c>
      <c r="H309" t="inlineStr">
        <is>
          <t>D95</t>
        </is>
      </c>
      <c r="I309">
        <f>-D94</f>
        <v/>
      </c>
      <c r="J309" t="n">
        <v>1636879</v>
      </c>
      <c r="K309" t="n">
        <v>0.01</v>
      </c>
      <c r="M309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9" t="inlineStr">
        <is>
          <t>pending</t>
        </is>
      </c>
      <c r="P309" t="inlineStr">
        <is>
          <t>share_repurchase_outflow</t>
        </is>
      </c>
      <c r="Q309" t="n">
        <v>132</v>
      </c>
      <c r="R309" t="n">
        <v>2</v>
      </c>
      <c r="S309" t="inlineStr">
        <is>
          <t>2025-02-02</t>
        </is>
      </c>
    </row>
    <row r="310">
      <c r="A310" t="inlineStr">
        <is>
          <t>share_repurchase_outflow__20260201</t>
        </is>
      </c>
      <c r="B310" t="n">
        <v>309</v>
      </c>
      <c r="C310" t="inlineStr">
        <is>
          <t>Share-repurchase outflow (−reported)</t>
        </is>
      </c>
      <c r="D310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10" t="inlineStr">
        <is>
          <t>share_repurchase.share_repurchase_outflow.2026-02-01</t>
        </is>
      </c>
      <c r="F310" t="inlineStr">
        <is>
          <t>share_repurchase</t>
        </is>
      </c>
      <c r="G310" t="inlineStr">
        <is>
          <t>ALT DuPont</t>
        </is>
      </c>
      <c r="H310" t="inlineStr">
        <is>
          <t>E95</t>
        </is>
      </c>
      <c r="I310">
        <f>-E94</f>
        <v/>
      </c>
      <c r="J310" t="n">
        <v>1178349</v>
      </c>
      <c r="K310" t="n">
        <v>0.01</v>
      </c>
      <c r="M310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10" t="inlineStr">
        <is>
          <t>pending</t>
        </is>
      </c>
      <c r="P310" t="inlineStr">
        <is>
          <t>share_repurchase_outflow</t>
        </is>
      </c>
      <c r="Q310" t="n">
        <v>132</v>
      </c>
      <c r="R310" t="n">
        <v>3</v>
      </c>
      <c r="S310" t="inlineStr">
        <is>
          <t>2026-02-01</t>
        </is>
      </c>
    </row>
    <row r="311">
      <c r="A311" t="inlineStr">
        <is>
          <t>share_repurchase_to_revenue__20230129</t>
        </is>
      </c>
      <c r="B311" t="n">
        <v>310</v>
      </c>
      <c r="C311" t="inlineStr">
        <is>
          <t>Share-repurchase / Revenue</t>
        </is>
      </c>
      <c r="D311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1" t="inlineStr">
        <is>
          <t>share_repurchase.share_repurchase_to_revenue.2023-01-29</t>
        </is>
      </c>
      <c r="F311" t="inlineStr">
        <is>
          <t>share_repurchase</t>
        </is>
      </c>
      <c r="G311" t="inlineStr">
        <is>
          <t>ALT DuPont</t>
        </is>
      </c>
      <c r="H311" t="inlineStr">
        <is>
          <t>B96</t>
        </is>
      </c>
      <c r="I311">
        <f>IF('Condensed Financials'!B34=0,NA(),B95/'Condensed Financials'!B34)</f>
        <v/>
      </c>
      <c r="J311" t="n">
        <v>0.05474385236553325</v>
      </c>
      <c r="K311" t="n">
        <v>0.01</v>
      </c>
      <c r="L311" t="inlineStr">
        <is>
          <t>share_repurchase_outflow__20230129,revenue_link__20230129</t>
        </is>
      </c>
      <c r="M311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1" t="inlineStr">
        <is>
          <t>pending</t>
        </is>
      </c>
      <c r="P311" t="inlineStr">
        <is>
          <t>share_repurchase_to_revenue</t>
        </is>
      </c>
      <c r="Q311" t="n">
        <v>133</v>
      </c>
      <c r="R311" t="n">
        <v>0</v>
      </c>
      <c r="S311" t="inlineStr">
        <is>
          <t>2023-01-29</t>
        </is>
      </c>
    </row>
    <row r="312">
      <c r="A312" t="inlineStr">
        <is>
          <t>share_repurchase_to_revenue__20240128</t>
        </is>
      </c>
      <c r="B312" t="n">
        <v>311</v>
      </c>
      <c r="C312" t="inlineStr">
        <is>
          <t>Share-repurchase / Revenue</t>
        </is>
      </c>
      <c r="D312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2" t="inlineStr">
        <is>
          <t>share_repurchase.share_repurchase_to_revenue.2024-01-28</t>
        </is>
      </c>
      <c r="F312" t="inlineStr">
        <is>
          <t>share_repurchase</t>
        </is>
      </c>
      <c r="G312" t="inlineStr">
        <is>
          <t>ALT DuPont</t>
        </is>
      </c>
      <c r="H312" t="inlineStr">
        <is>
          <t>C96</t>
        </is>
      </c>
      <c r="I312">
        <f>IF('Condensed Financials'!C34=0,NA(),C95/'Condensed Financials'!C34)</f>
        <v/>
      </c>
      <c r="J312" t="n">
        <v>0.05807629221236771</v>
      </c>
      <c r="K312" t="n">
        <v>0.01</v>
      </c>
      <c r="L312" t="inlineStr">
        <is>
          <t>share_repurchase_outflow__20240128,revenue_link__20240128</t>
        </is>
      </c>
      <c r="M312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2" t="inlineStr">
        <is>
          <t>pending</t>
        </is>
      </c>
      <c r="P312" t="inlineStr">
        <is>
          <t>share_repurchase_to_revenue</t>
        </is>
      </c>
      <c r="Q312" t="n">
        <v>133</v>
      </c>
      <c r="R312" t="n">
        <v>1</v>
      </c>
      <c r="S312" t="inlineStr">
        <is>
          <t>2024-01-28</t>
        </is>
      </c>
    </row>
    <row r="313">
      <c r="A313" t="inlineStr">
        <is>
          <t>share_repurchase_to_revenue__20250202</t>
        </is>
      </c>
      <c r="B313" t="n">
        <v>312</v>
      </c>
      <c r="C313" t="inlineStr">
        <is>
          <t>Share-repurchase / Revenue</t>
        </is>
      </c>
      <c r="D313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3" t="inlineStr">
        <is>
          <t>share_repurchase.share_repurchase_to_revenue.2025-02-02</t>
        </is>
      </c>
      <c r="F313" t="inlineStr">
        <is>
          <t>share_repurchase</t>
        </is>
      </c>
      <c r="G313" t="inlineStr">
        <is>
          <t>ALT DuPont</t>
        </is>
      </c>
      <c r="H313" t="inlineStr">
        <is>
          <t>D96</t>
        </is>
      </c>
      <c r="I313">
        <f>IF('Condensed Financials'!D34=0,NA(),D95/'Condensed Financials'!D34)</f>
        <v/>
      </c>
      <c r="J313" t="n">
        <v>0.1545957235491908</v>
      </c>
      <c r="K313" t="n">
        <v>0.01</v>
      </c>
      <c r="L313" t="inlineStr">
        <is>
          <t>share_repurchase_outflow__20250202,revenue_link__20250202</t>
        </is>
      </c>
      <c r="M313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3" t="inlineStr">
        <is>
          <t>pending</t>
        </is>
      </c>
      <c r="P313" t="inlineStr">
        <is>
          <t>share_repurchase_to_revenue</t>
        </is>
      </c>
      <c r="Q313" t="n">
        <v>133</v>
      </c>
      <c r="R313" t="n">
        <v>2</v>
      </c>
      <c r="S313" t="inlineStr">
        <is>
          <t>2025-02-02</t>
        </is>
      </c>
    </row>
    <row r="314">
      <c r="A314" t="inlineStr">
        <is>
          <t>share_repurchase_to_revenue__20260201</t>
        </is>
      </c>
      <c r="B314" t="n">
        <v>313</v>
      </c>
      <c r="C314" t="inlineStr">
        <is>
          <t>Share-repurchase / Revenue</t>
        </is>
      </c>
      <c r="D314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4" t="inlineStr">
        <is>
          <t>share_repurchase.share_repurchase_to_revenue.2026-02-01</t>
        </is>
      </c>
      <c r="F314" t="inlineStr">
        <is>
          <t>share_repurchase</t>
        </is>
      </c>
      <c r="G314" t="inlineStr">
        <is>
          <t>ALT DuPont</t>
        </is>
      </c>
      <c r="H314" t="inlineStr">
        <is>
          <t>E96</t>
        </is>
      </c>
      <c r="I314">
        <f>IF('Condensed Financials'!E34=0,NA(),E95/'Condensed Financials'!E34)</f>
        <v/>
      </c>
      <c r="J314" t="n">
        <v>0.106132707654063</v>
      </c>
      <c r="K314" t="n">
        <v>0.01</v>
      </c>
      <c r="L314" t="inlineStr">
        <is>
          <t>share_repurchase_outflow__20260201,revenue_link__20260201</t>
        </is>
      </c>
      <c r="M314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4" t="inlineStr">
        <is>
          <t>pending</t>
        </is>
      </c>
      <c r="P314" t="inlineStr">
        <is>
          <t>share_repurchase_to_revenue</t>
        </is>
      </c>
      <c r="Q314" t="n">
        <v>133</v>
      </c>
      <c r="R314" t="n">
        <v>3</v>
      </c>
      <c r="S314" t="inlineStr">
        <is>
          <t>2026-02-01</t>
        </is>
      </c>
    </row>
    <row r="315">
      <c r="A315" t="inlineStr">
        <is>
          <t>cash_after_ppe_capex_acquisitions_and_repurchases__20230129</t>
        </is>
      </c>
      <c r="B315" t="n">
        <v>314</v>
      </c>
      <c r="C315" t="inlineStr">
        <is>
          <t>Operating cash after PP&amp;E capex, acquisitions and repurchases</t>
        </is>
      </c>
      <c r="D315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5" t="inlineStr">
        <is>
          <t>share_repurchase.cash_after_ppe_capex_acquisitions_and_repurchases.2023-01-29</t>
        </is>
      </c>
      <c r="F315" t="inlineStr">
        <is>
          <t>share_repurchase</t>
        </is>
      </c>
      <c r="G315" t="inlineStr">
        <is>
          <t>ALT DuPont</t>
        </is>
      </c>
      <c r="H315" t="inlineStr">
        <is>
          <t>B99</t>
        </is>
      </c>
      <c r="I315">
        <f>B81-B77-B87-B95</f>
        <v/>
      </c>
      <c r="J315" t="n">
        <v>-116195</v>
      </c>
      <c r="K315" t="n">
        <v>0.01</v>
      </c>
      <c r="L315" t="inlineStr">
        <is>
          <t>ppe_capex__20230129,acquisition_cash_outflow__20230129,share_repurchase_outflow__20230129</t>
        </is>
      </c>
      <c r="M315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5" t="inlineStr">
        <is>
          <t>pending</t>
        </is>
      </c>
      <c r="P315" t="inlineStr">
        <is>
          <t>cash_after_ppe_capex_acquisitions_and_repurchases</t>
        </is>
      </c>
      <c r="Q315" t="n">
        <v>134</v>
      </c>
      <c r="R315" t="n">
        <v>0</v>
      </c>
      <c r="S315" t="inlineStr">
        <is>
          <t>2023-01-29</t>
        </is>
      </c>
    </row>
    <row r="316">
      <c r="A316" t="inlineStr">
        <is>
          <t>cash_after_ppe_capex_acquisitions_and_repurchases__20240128</t>
        </is>
      </c>
      <c r="B316" t="n">
        <v>315</v>
      </c>
      <c r="C316" t="inlineStr">
        <is>
          <t>Operating cash after PP&amp;E capex, acquisitions and repurchases</t>
        </is>
      </c>
      <c r="D316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6" t="inlineStr">
        <is>
          <t>share_repurchase.cash_after_ppe_capex_acquisitions_and_repurchases.2024-01-28</t>
        </is>
      </c>
      <c r="F316" t="inlineStr">
        <is>
          <t>share_repurchase</t>
        </is>
      </c>
      <c r="G316" t="inlineStr">
        <is>
          <t>ALT DuPont</t>
        </is>
      </c>
      <c r="H316" t="inlineStr">
        <is>
          <t>C99</t>
        </is>
      </c>
      <c r="I316">
        <f>C81-C77-C87-C95</f>
        <v/>
      </c>
      <c r="J316" t="n">
        <v>1085647</v>
      </c>
      <c r="K316" t="n">
        <v>0.01</v>
      </c>
      <c r="L316" t="inlineStr">
        <is>
          <t>ppe_capex__20240128,acquisition_cash_outflow__20240128,share_repurchase_outflow__20240128</t>
        </is>
      </c>
      <c r="M316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6" t="inlineStr">
        <is>
          <t>pending</t>
        </is>
      </c>
      <c r="P316" t="inlineStr">
        <is>
          <t>cash_after_ppe_capex_acquisitions_and_repurchases</t>
        </is>
      </c>
      <c r="Q316" t="n">
        <v>134</v>
      </c>
      <c r="R316" t="n">
        <v>1</v>
      </c>
      <c r="S316" t="inlineStr">
        <is>
          <t>2024-01-28</t>
        </is>
      </c>
    </row>
    <row r="317">
      <c r="A317" t="inlineStr">
        <is>
          <t>cash_after_ppe_capex_acquisitions_and_repurchases__20250202</t>
        </is>
      </c>
      <c r="B317" t="n">
        <v>316</v>
      </c>
      <c r="C317" t="inlineStr">
        <is>
          <t>Operating cash after PP&amp;E capex, acquisitions and repurchases</t>
        </is>
      </c>
      <c r="D317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7" t="inlineStr">
        <is>
          <t>share_repurchase.cash_after_ppe_capex_acquisitions_and_repurchases.2025-02-02</t>
        </is>
      </c>
      <c r="F317" t="inlineStr">
        <is>
          <t>share_repurchase</t>
        </is>
      </c>
      <c r="G317" t="inlineStr">
        <is>
          <t>ALT DuPont</t>
        </is>
      </c>
      <c r="H317" t="inlineStr">
        <is>
          <t>D99</t>
        </is>
      </c>
      <c r="I317">
        <f>D81-D77-D87-D95</f>
        <v/>
      </c>
      <c r="J317" t="n">
        <v>-207544</v>
      </c>
      <c r="K317" t="n">
        <v>0.01</v>
      </c>
      <c r="L317" t="inlineStr">
        <is>
          <t>ppe_capex__20250202,acquisition_cash_outflow__20250202,share_repurchase_outflow__20250202</t>
        </is>
      </c>
      <c r="M317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7" t="inlineStr">
        <is>
          <t>pending</t>
        </is>
      </c>
      <c r="P317" t="inlineStr">
        <is>
          <t>cash_after_ppe_capex_acquisitions_and_repurchases</t>
        </is>
      </c>
      <c r="Q317" t="n">
        <v>134</v>
      </c>
      <c r="R317" t="n">
        <v>2</v>
      </c>
      <c r="S317" t="inlineStr">
        <is>
          <t>2025-02-02</t>
        </is>
      </c>
    </row>
    <row r="318">
      <c r="A318" t="inlineStr">
        <is>
          <t>cash_after_ppe_capex_acquisitions_and_repurchases__20260201</t>
        </is>
      </c>
      <c r="B318" t="n">
        <v>317</v>
      </c>
      <c r="C318" t="inlineStr">
        <is>
          <t>Operating cash after PP&amp;E capex, acquisitions and repurchases</t>
        </is>
      </c>
      <c r="D318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8" t="inlineStr">
        <is>
          <t>share_repurchase.cash_after_ppe_capex_acquisitions_and_repurchases.2026-02-01</t>
        </is>
      </c>
      <c r="F318" t="inlineStr">
        <is>
          <t>share_repurchase</t>
        </is>
      </c>
      <c r="G318" t="inlineStr">
        <is>
          <t>ALT DuPont</t>
        </is>
      </c>
      <c r="H318" t="inlineStr">
        <is>
          <t>E99</t>
        </is>
      </c>
      <c r="I318">
        <f>E81-E77-E87-E95</f>
        <v/>
      </c>
      <c r="J318" t="n">
        <v>-256674</v>
      </c>
      <c r="K318" t="n">
        <v>0.01</v>
      </c>
      <c r="L318" t="inlineStr">
        <is>
          <t>ppe_capex__20260201,acquisition_cash_outflow__20260201,share_repurchase_outflow__20260201</t>
        </is>
      </c>
      <c r="M318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8" t="inlineStr">
        <is>
          <t>pending</t>
        </is>
      </c>
      <c r="P318" t="inlineStr">
        <is>
          <t>cash_after_ppe_capex_acquisitions_and_repurchases</t>
        </is>
      </c>
      <c r="Q318" t="n">
        <v>134</v>
      </c>
      <c r="R318" t="n">
        <v>3</v>
      </c>
      <c r="S318" t="inlineStr">
        <is>
          <t>2026-02-01</t>
        </is>
      </c>
    </row>
    <row r="319">
      <c r="A319" t="inlineStr">
        <is>
          <t>cash_movement_from_flows__20230129</t>
        </is>
      </c>
      <c r="B319" t="n">
        <v>318</v>
      </c>
      <c r="C319" t="inlineStr">
        <is>
          <t>Cash movement from flows</t>
        </is>
      </c>
      <c r="D319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19" t="inlineStr">
        <is>
          <t>cash_rollforward.cash_movement_from_flows.2023-01-29</t>
        </is>
      </c>
      <c r="F319" t="inlineStr">
        <is>
          <t>cash_rollforward</t>
        </is>
      </c>
      <c r="G319" t="inlineStr">
        <is>
          <t>ALT DuPont</t>
        </is>
      </c>
      <c r="H319" t="inlineStr">
        <is>
          <t>B106</t>
        </is>
      </c>
      <c r="I319">
        <f>B102+B103+B104+B105</f>
        <v/>
      </c>
      <c r="J319" t="n">
        <v>-105004</v>
      </c>
      <c r="K319" t="n">
        <v>0.01</v>
      </c>
      <c r="M319" t="inlineStr">
        <is>
          <t>Cash movement from flows = reported CFO + CFI + CFF + FX.|Use signed statement-unit totals, including FX.|Do not substitute balance-sheet cash, insert a balancing plug, or infer debt funding.</t>
        </is>
      </c>
      <c r="O319" t="inlineStr">
        <is>
          <t>pending</t>
        </is>
      </c>
      <c r="P319" t="inlineStr">
        <is>
          <t>cash_movement_from_flows</t>
        </is>
      </c>
      <c r="Q319" t="n">
        <v>135</v>
      </c>
      <c r="R319" t="n">
        <v>0</v>
      </c>
      <c r="S319" t="inlineStr">
        <is>
          <t>2023-01-29</t>
        </is>
      </c>
    </row>
    <row r="320">
      <c r="A320" t="inlineStr">
        <is>
          <t>cash_movement_from_flows__20240128</t>
        </is>
      </c>
      <c r="B320" t="n">
        <v>319</v>
      </c>
      <c r="C320" t="inlineStr">
        <is>
          <t>Cash movement from flows</t>
        </is>
      </c>
      <c r="D320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0" t="inlineStr">
        <is>
          <t>cash_rollforward.cash_movement_from_flows.2024-01-28</t>
        </is>
      </c>
      <c r="F320" t="inlineStr">
        <is>
          <t>cash_rollforward</t>
        </is>
      </c>
      <c r="G320" t="inlineStr">
        <is>
          <t>ALT DuPont</t>
        </is>
      </c>
      <c r="H320" t="inlineStr">
        <is>
          <t>C106</t>
        </is>
      </c>
      <c r="I320">
        <f>C102+C103+C104+C105</f>
        <v/>
      </c>
      <c r="J320" t="n">
        <v>1089104</v>
      </c>
      <c r="K320" t="n">
        <v>0.01</v>
      </c>
      <c r="M320" t="inlineStr">
        <is>
          <t>Cash movement from flows = reported CFO + CFI + CFF + FX.|Use signed statement-unit totals, including FX.|Do not substitute balance-sheet cash, insert a balancing plug, or infer debt funding.</t>
        </is>
      </c>
      <c r="O320" t="inlineStr">
        <is>
          <t>pending</t>
        </is>
      </c>
      <c r="P320" t="inlineStr">
        <is>
          <t>cash_movement_from_flows</t>
        </is>
      </c>
      <c r="Q320" t="n">
        <v>135</v>
      </c>
      <c r="R320" t="n">
        <v>1</v>
      </c>
      <c r="S320" t="inlineStr">
        <is>
          <t>2024-01-28</t>
        </is>
      </c>
    </row>
    <row r="321">
      <c r="A321" t="inlineStr">
        <is>
          <t>cash_movement_from_flows__20250202</t>
        </is>
      </c>
      <c r="B321" t="n">
        <v>320</v>
      </c>
      <c r="C321" t="inlineStr">
        <is>
          <t>Cash movement from flows</t>
        </is>
      </c>
      <c r="D321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1" t="inlineStr">
        <is>
          <t>cash_rollforward.cash_movement_from_flows.2025-02-02</t>
        </is>
      </c>
      <c r="F321" t="inlineStr">
        <is>
          <t>cash_rollforward</t>
        </is>
      </c>
      <c r="G321" t="inlineStr">
        <is>
          <t>ALT DuPont</t>
        </is>
      </c>
      <c r="H321" t="inlineStr">
        <is>
          <t>D106</t>
        </is>
      </c>
      <c r="I321">
        <f>D102+D103+D104+D105</f>
        <v/>
      </c>
      <c r="J321" t="n">
        <v>-259635</v>
      </c>
      <c r="K321" t="n">
        <v>0.01</v>
      </c>
      <c r="M321" t="inlineStr">
        <is>
          <t>Cash movement from flows = reported CFO + CFI + CFF + FX.|Use signed statement-unit totals, including FX.|Do not substitute balance-sheet cash, insert a balancing plug, or infer debt funding.</t>
        </is>
      </c>
      <c r="O321" t="inlineStr">
        <is>
          <t>pending</t>
        </is>
      </c>
      <c r="P321" t="inlineStr">
        <is>
          <t>cash_movement_from_flows</t>
        </is>
      </c>
      <c r="Q321" t="n">
        <v>135</v>
      </c>
      <c r="R321" t="n">
        <v>2</v>
      </c>
      <c r="S321" t="inlineStr">
        <is>
          <t>2025-02-02</t>
        </is>
      </c>
    </row>
    <row r="322">
      <c r="A322" t="inlineStr">
        <is>
          <t>cash_movement_from_flows__20260201</t>
        </is>
      </c>
      <c r="B322" t="n">
        <v>321</v>
      </c>
      <c r="C322" t="inlineStr">
        <is>
          <t>Cash movement from flows</t>
        </is>
      </c>
      <c r="D322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2" t="inlineStr">
        <is>
          <t>cash_rollforward.cash_movement_from_flows.2026-02-01</t>
        </is>
      </c>
      <c r="F322" t="inlineStr">
        <is>
          <t>cash_rollforward</t>
        </is>
      </c>
      <c r="G322" t="inlineStr">
        <is>
          <t>ALT DuPont</t>
        </is>
      </c>
      <c r="H322" t="inlineStr">
        <is>
          <t>E106</t>
        </is>
      </c>
      <c r="I322">
        <f>E102+E103+E104+E105</f>
        <v/>
      </c>
      <c r="J322" t="n">
        <v>-177134</v>
      </c>
      <c r="K322" t="n">
        <v>0.01</v>
      </c>
      <c r="M322" t="inlineStr">
        <is>
          <t>Cash movement from flows = reported CFO + CFI + CFF + FX.|Use signed statement-unit totals, including FX.|Do not substitute balance-sheet cash, insert a balancing plug, or infer debt funding.</t>
        </is>
      </c>
      <c r="O322" t="inlineStr">
        <is>
          <t>pending</t>
        </is>
      </c>
      <c r="P322" t="inlineStr">
        <is>
          <t>cash_movement_from_flows</t>
        </is>
      </c>
      <c r="Q322" t="n">
        <v>135</v>
      </c>
      <c r="R322" t="n">
        <v>3</v>
      </c>
      <c r="S322" t="inlineStr">
        <is>
          <t>2026-02-01</t>
        </is>
      </c>
    </row>
    <row r="323">
      <c r="A323" t="inlineStr">
        <is>
          <t>cash_movement_difference__20230129</t>
        </is>
      </c>
      <c r="B323" t="n">
        <v>322</v>
      </c>
      <c r="C323" t="inlineStr">
        <is>
          <t>Cash movement difference</t>
        </is>
      </c>
      <c r="D323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3" t="inlineStr">
        <is>
          <t>cash_rollforward.cash_movement_difference.2023-01-29</t>
        </is>
      </c>
      <c r="F323" t="inlineStr">
        <is>
          <t>cash_rollforward</t>
        </is>
      </c>
      <c r="G323" t="inlineStr">
        <is>
          <t>ALT DuPont</t>
        </is>
      </c>
      <c r="H323" t="inlineStr">
        <is>
          <t>B108</t>
        </is>
      </c>
      <c r="I323">
        <f>B106-B107</f>
        <v/>
      </c>
      <c r="J323" t="n">
        <v>0</v>
      </c>
      <c r="K323" t="n">
        <v>0.01</v>
      </c>
      <c r="L323" t="inlineStr">
        <is>
          <t>cash_movement_from_flows__20230129</t>
        </is>
      </c>
      <c r="M323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3" t="inlineStr">
        <is>
          <t>pending</t>
        </is>
      </c>
      <c r="P323" t="inlineStr">
        <is>
          <t>cash_movement_difference</t>
        </is>
      </c>
      <c r="Q323" t="n">
        <v>136</v>
      </c>
      <c r="R323" t="n">
        <v>0</v>
      </c>
      <c r="S323" t="inlineStr">
        <is>
          <t>2023-01-29</t>
        </is>
      </c>
    </row>
    <row r="324">
      <c r="A324" t="inlineStr">
        <is>
          <t>cash_movement_difference__20240128</t>
        </is>
      </c>
      <c r="B324" t="n">
        <v>323</v>
      </c>
      <c r="C324" t="inlineStr">
        <is>
          <t>Cash movement difference</t>
        </is>
      </c>
      <c r="D324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4" t="inlineStr">
        <is>
          <t>cash_rollforward.cash_movement_difference.2024-01-28</t>
        </is>
      </c>
      <c r="F324" t="inlineStr">
        <is>
          <t>cash_rollforward</t>
        </is>
      </c>
      <c r="G324" t="inlineStr">
        <is>
          <t>ALT DuPont</t>
        </is>
      </c>
      <c r="H324" t="inlineStr">
        <is>
          <t>C108</t>
        </is>
      </c>
      <c r="I324">
        <f>C106-C107</f>
        <v/>
      </c>
      <c r="J324" t="n">
        <v>0</v>
      </c>
      <c r="K324" t="n">
        <v>0.01</v>
      </c>
      <c r="L324" t="inlineStr">
        <is>
          <t>cash_movement_from_flows__20240128</t>
        </is>
      </c>
      <c r="M324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4" t="inlineStr">
        <is>
          <t>pending</t>
        </is>
      </c>
      <c r="P324" t="inlineStr">
        <is>
          <t>cash_movement_difference</t>
        </is>
      </c>
      <c r="Q324" t="n">
        <v>136</v>
      </c>
      <c r="R324" t="n">
        <v>1</v>
      </c>
      <c r="S324" t="inlineStr">
        <is>
          <t>2024-01-28</t>
        </is>
      </c>
    </row>
    <row r="325">
      <c r="A325" t="inlineStr">
        <is>
          <t>cash_movement_difference__20250202</t>
        </is>
      </c>
      <c r="B325" t="n">
        <v>324</v>
      </c>
      <c r="C325" t="inlineStr">
        <is>
          <t>Cash movement difference</t>
        </is>
      </c>
      <c r="D325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5" t="inlineStr">
        <is>
          <t>cash_rollforward.cash_movement_difference.2025-02-02</t>
        </is>
      </c>
      <c r="F325" t="inlineStr">
        <is>
          <t>cash_rollforward</t>
        </is>
      </c>
      <c r="G325" t="inlineStr">
        <is>
          <t>ALT DuPont</t>
        </is>
      </c>
      <c r="H325" t="inlineStr">
        <is>
          <t>D108</t>
        </is>
      </c>
      <c r="I325">
        <f>D106-D107</f>
        <v/>
      </c>
      <c r="J325" t="n">
        <v>0</v>
      </c>
      <c r="K325" t="n">
        <v>0.01</v>
      </c>
      <c r="L325" t="inlineStr">
        <is>
          <t>cash_movement_from_flows__20250202</t>
        </is>
      </c>
      <c r="M325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5" t="inlineStr">
        <is>
          <t>pending</t>
        </is>
      </c>
      <c r="P325" t="inlineStr">
        <is>
          <t>cash_movement_difference</t>
        </is>
      </c>
      <c r="Q325" t="n">
        <v>136</v>
      </c>
      <c r="R325" t="n">
        <v>2</v>
      </c>
      <c r="S325" t="inlineStr">
        <is>
          <t>2025-02-02</t>
        </is>
      </c>
    </row>
    <row r="326">
      <c r="A326" t="inlineStr">
        <is>
          <t>cash_movement_difference__20260201</t>
        </is>
      </c>
      <c r="B326" t="n">
        <v>325</v>
      </c>
      <c r="C326" t="inlineStr">
        <is>
          <t>Cash movement difference</t>
        </is>
      </c>
      <c r="D326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6" t="inlineStr">
        <is>
          <t>cash_rollforward.cash_movement_difference.2026-02-01</t>
        </is>
      </c>
      <c r="F326" t="inlineStr">
        <is>
          <t>cash_rollforward</t>
        </is>
      </c>
      <c r="G326" t="inlineStr">
        <is>
          <t>ALT DuPont</t>
        </is>
      </c>
      <c r="H326" t="inlineStr">
        <is>
          <t>E108</t>
        </is>
      </c>
      <c r="I326">
        <f>E106-E107</f>
        <v/>
      </c>
      <c r="J326" t="n">
        <v>0</v>
      </c>
      <c r="K326" t="n">
        <v>0.01</v>
      </c>
      <c r="L326" t="inlineStr">
        <is>
          <t>cash_movement_from_flows__20260201</t>
        </is>
      </c>
      <c r="M326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6" t="inlineStr">
        <is>
          <t>pending</t>
        </is>
      </c>
      <c r="P326" t="inlineStr">
        <is>
          <t>cash_movement_difference</t>
        </is>
      </c>
      <c r="Q326" t="n">
        <v>136</v>
      </c>
      <c r="R326" t="n">
        <v>3</v>
      </c>
      <c r="S326" t="inlineStr">
        <is>
          <t>2026-02-01</t>
        </is>
      </c>
    </row>
    <row r="327">
      <c r="A327" t="inlineStr">
        <is>
          <t>cash_ending_from_flows__20230129</t>
        </is>
      </c>
      <c r="B327" t="n">
        <v>326</v>
      </c>
      <c r="C327" t="inlineStr">
        <is>
          <t>Cash ending from flows</t>
        </is>
      </c>
      <c r="D327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7" t="inlineStr">
        <is>
          <t>cash_rollforward.cash_ending_from_flows.2023-01-29</t>
        </is>
      </c>
      <c r="F327" t="inlineStr">
        <is>
          <t>cash_rollforward</t>
        </is>
      </c>
      <c r="G327" t="inlineStr">
        <is>
          <t>ALT DuPont</t>
        </is>
      </c>
      <c r="H327" t="inlineStr">
        <is>
          <t>B110</t>
        </is>
      </c>
      <c r="I327">
        <f>B109+B106</f>
        <v/>
      </c>
      <c r="J327" t="n">
        <v>1154867</v>
      </c>
      <c r="K327" t="n">
        <v>0.01</v>
      </c>
      <c r="L327" t="inlineStr">
        <is>
          <t>cash_movement_from_flows__20230129</t>
        </is>
      </c>
      <c r="M327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7" t="inlineStr">
        <is>
          <t>pending</t>
        </is>
      </c>
      <c r="P327" t="inlineStr">
        <is>
          <t>cash_ending_from_flows</t>
        </is>
      </c>
      <c r="Q327" t="n">
        <v>137</v>
      </c>
      <c r="R327" t="n">
        <v>0</v>
      </c>
      <c r="S327" t="inlineStr">
        <is>
          <t>2023-01-29</t>
        </is>
      </c>
    </row>
    <row r="328">
      <c r="A328" t="inlineStr">
        <is>
          <t>cash_ending_from_flows__20240128</t>
        </is>
      </c>
      <c r="B328" t="n">
        <v>327</v>
      </c>
      <c r="C328" t="inlineStr">
        <is>
          <t>Cash ending from flows</t>
        </is>
      </c>
      <c r="D328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8" t="inlineStr">
        <is>
          <t>cash_rollforward.cash_ending_from_flows.2024-01-28</t>
        </is>
      </c>
      <c r="F328" t="inlineStr">
        <is>
          <t>cash_rollforward</t>
        </is>
      </c>
      <c r="G328" t="inlineStr">
        <is>
          <t>ALT DuPont</t>
        </is>
      </c>
      <c r="H328" t="inlineStr">
        <is>
          <t>C110</t>
        </is>
      </c>
      <c r="I328">
        <f>C109+C106</f>
        <v/>
      </c>
      <c r="J328" t="n">
        <v>2243971</v>
      </c>
      <c r="K328" t="n">
        <v>0.01</v>
      </c>
      <c r="L328" t="inlineStr">
        <is>
          <t>cash_movement_from_flows__20240128</t>
        </is>
      </c>
      <c r="M328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8" t="inlineStr">
        <is>
          <t>pending</t>
        </is>
      </c>
      <c r="P328" t="inlineStr">
        <is>
          <t>cash_ending_from_flows</t>
        </is>
      </c>
      <c r="Q328" t="n">
        <v>137</v>
      </c>
      <c r="R328" t="n">
        <v>1</v>
      </c>
      <c r="S328" t="inlineStr">
        <is>
          <t>2024-01-28</t>
        </is>
      </c>
    </row>
    <row r="329">
      <c r="A329" t="inlineStr">
        <is>
          <t>cash_ending_from_flows__20250202</t>
        </is>
      </c>
      <c r="B329" t="n">
        <v>328</v>
      </c>
      <c r="C329" t="inlineStr">
        <is>
          <t>Cash ending from flows</t>
        </is>
      </c>
      <c r="D329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9" t="inlineStr">
        <is>
          <t>cash_rollforward.cash_ending_from_flows.2025-02-02</t>
        </is>
      </c>
      <c r="F329" t="inlineStr">
        <is>
          <t>cash_rollforward</t>
        </is>
      </c>
      <c r="G329" t="inlineStr">
        <is>
          <t>ALT DuPont</t>
        </is>
      </c>
      <c r="H329" t="inlineStr">
        <is>
          <t>D110</t>
        </is>
      </c>
      <c r="I329">
        <f>D109+D106</f>
        <v/>
      </c>
      <c r="J329" t="n">
        <v>1984336</v>
      </c>
      <c r="K329" t="n">
        <v>0.01</v>
      </c>
      <c r="L329" t="inlineStr">
        <is>
          <t>cash_movement_from_flows__20250202</t>
        </is>
      </c>
      <c r="M329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9" t="inlineStr">
        <is>
          <t>pending</t>
        </is>
      </c>
      <c r="P329" t="inlineStr">
        <is>
          <t>cash_ending_from_flows</t>
        </is>
      </c>
      <c r="Q329" t="n">
        <v>137</v>
      </c>
      <c r="R329" t="n">
        <v>2</v>
      </c>
      <c r="S329" t="inlineStr">
        <is>
          <t>2025-02-02</t>
        </is>
      </c>
    </row>
    <row r="330">
      <c r="A330" t="inlineStr">
        <is>
          <t>cash_ending_from_flows__20260201</t>
        </is>
      </c>
      <c r="B330" t="n">
        <v>329</v>
      </c>
      <c r="C330" t="inlineStr">
        <is>
          <t>Cash ending from flows</t>
        </is>
      </c>
      <c r="D330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30" t="inlineStr">
        <is>
          <t>cash_rollforward.cash_ending_from_flows.2026-02-01</t>
        </is>
      </c>
      <c r="F330" t="inlineStr">
        <is>
          <t>cash_rollforward</t>
        </is>
      </c>
      <c r="G330" t="inlineStr">
        <is>
          <t>ALT DuPont</t>
        </is>
      </c>
      <c r="H330" t="inlineStr">
        <is>
          <t>E110</t>
        </is>
      </c>
      <c r="I330">
        <f>E109+E106</f>
        <v/>
      </c>
      <c r="J330" t="n">
        <v>1807202</v>
      </c>
      <c r="K330" t="n">
        <v>0.01</v>
      </c>
      <c r="L330" t="inlineStr">
        <is>
          <t>cash_movement_from_flows__20260201</t>
        </is>
      </c>
      <c r="M330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30" t="inlineStr">
        <is>
          <t>pending</t>
        </is>
      </c>
      <c r="P330" t="inlineStr">
        <is>
          <t>cash_ending_from_flows</t>
        </is>
      </c>
      <c r="Q330" t="n">
        <v>137</v>
      </c>
      <c r="R330" t="n">
        <v>3</v>
      </c>
      <c r="S330" t="inlineStr">
        <is>
          <t>2026-02-01</t>
        </is>
      </c>
    </row>
    <row r="331">
      <c r="A331" t="inlineStr">
        <is>
          <t>cash_ending_difference__20230129</t>
        </is>
      </c>
      <c r="B331" t="n">
        <v>330</v>
      </c>
      <c r="C331" t="inlineStr">
        <is>
          <t>Cash ending difference</t>
        </is>
      </c>
      <c r="D33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1" t="inlineStr">
        <is>
          <t>cash_rollforward.cash_ending_difference.2023-01-29</t>
        </is>
      </c>
      <c r="F331" t="inlineStr">
        <is>
          <t>cash_rollforward</t>
        </is>
      </c>
      <c r="G331" t="inlineStr">
        <is>
          <t>ALT DuPont</t>
        </is>
      </c>
      <c r="H331" t="inlineStr">
        <is>
          <t>B112</t>
        </is>
      </c>
      <c r="I331">
        <f>B110-B111</f>
        <v/>
      </c>
      <c r="J331" t="n">
        <v>0</v>
      </c>
      <c r="K331" t="n">
        <v>0.01</v>
      </c>
      <c r="L331" t="inlineStr">
        <is>
          <t>cash_ending_from_flows__20230129</t>
        </is>
      </c>
      <c r="M33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1" t="inlineStr">
        <is>
          <t>pending</t>
        </is>
      </c>
      <c r="P331" t="inlineStr">
        <is>
          <t>cash_ending_difference</t>
        </is>
      </c>
      <c r="Q331" t="n">
        <v>138</v>
      </c>
      <c r="R331" t="n">
        <v>0</v>
      </c>
      <c r="S331" t="inlineStr">
        <is>
          <t>2023-01-29</t>
        </is>
      </c>
    </row>
    <row r="332">
      <c r="A332" t="inlineStr">
        <is>
          <t>cash_ending_difference__20240128</t>
        </is>
      </c>
      <c r="B332" t="n">
        <v>331</v>
      </c>
      <c r="C332" t="inlineStr">
        <is>
          <t>Cash ending difference</t>
        </is>
      </c>
      <c r="D332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2" t="inlineStr">
        <is>
          <t>cash_rollforward.cash_ending_difference.2024-01-28</t>
        </is>
      </c>
      <c r="F332" t="inlineStr">
        <is>
          <t>cash_rollforward</t>
        </is>
      </c>
      <c r="G332" t="inlineStr">
        <is>
          <t>ALT DuPont</t>
        </is>
      </c>
      <c r="H332" t="inlineStr">
        <is>
          <t>C112</t>
        </is>
      </c>
      <c r="I332">
        <f>C110-C111</f>
        <v/>
      </c>
      <c r="J332" t="n">
        <v>0</v>
      </c>
      <c r="K332" t="n">
        <v>0.01</v>
      </c>
      <c r="L332" t="inlineStr">
        <is>
          <t>cash_ending_from_flows__20240128</t>
        </is>
      </c>
      <c r="M332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2" t="inlineStr">
        <is>
          <t>pending</t>
        </is>
      </c>
      <c r="P332" t="inlineStr">
        <is>
          <t>cash_ending_difference</t>
        </is>
      </c>
      <c r="Q332" t="n">
        <v>138</v>
      </c>
      <c r="R332" t="n">
        <v>1</v>
      </c>
      <c r="S332" t="inlineStr">
        <is>
          <t>2024-01-28</t>
        </is>
      </c>
    </row>
    <row r="333">
      <c r="A333" t="inlineStr">
        <is>
          <t>cash_ending_difference__20250202</t>
        </is>
      </c>
      <c r="B333" t="n">
        <v>332</v>
      </c>
      <c r="C333" t="inlineStr">
        <is>
          <t>Cash ending difference</t>
        </is>
      </c>
      <c r="D333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3" t="inlineStr">
        <is>
          <t>cash_rollforward.cash_ending_difference.2025-02-02</t>
        </is>
      </c>
      <c r="F333" t="inlineStr">
        <is>
          <t>cash_rollforward</t>
        </is>
      </c>
      <c r="G333" t="inlineStr">
        <is>
          <t>ALT DuPont</t>
        </is>
      </c>
      <c r="H333" t="inlineStr">
        <is>
          <t>D112</t>
        </is>
      </c>
      <c r="I333">
        <f>D110-D111</f>
        <v/>
      </c>
      <c r="J333" t="n">
        <v>0</v>
      </c>
      <c r="K333" t="n">
        <v>0.01</v>
      </c>
      <c r="L333" t="inlineStr">
        <is>
          <t>cash_ending_from_flows__20250202</t>
        </is>
      </c>
      <c r="M333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3" t="inlineStr">
        <is>
          <t>pending</t>
        </is>
      </c>
      <c r="P333" t="inlineStr">
        <is>
          <t>cash_ending_difference</t>
        </is>
      </c>
      <c r="Q333" t="n">
        <v>138</v>
      </c>
      <c r="R333" t="n">
        <v>2</v>
      </c>
      <c r="S333" t="inlineStr">
        <is>
          <t>2025-02-02</t>
        </is>
      </c>
    </row>
    <row r="334">
      <c r="A334" t="inlineStr">
        <is>
          <t>cash_ending_difference__20260201</t>
        </is>
      </c>
      <c r="B334" t="n">
        <v>333</v>
      </c>
      <c r="C334" t="inlineStr">
        <is>
          <t>Cash ending difference</t>
        </is>
      </c>
      <c r="D334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4" t="inlineStr">
        <is>
          <t>cash_rollforward.cash_ending_difference.2026-02-01</t>
        </is>
      </c>
      <c r="F334" t="inlineStr">
        <is>
          <t>cash_rollforward</t>
        </is>
      </c>
      <c r="G334" t="inlineStr">
        <is>
          <t>ALT DuPont</t>
        </is>
      </c>
      <c r="H334" t="inlineStr">
        <is>
          <t>E112</t>
        </is>
      </c>
      <c r="I334">
        <f>E110-E111</f>
        <v/>
      </c>
      <c r="J334" t="n">
        <v>0</v>
      </c>
      <c r="K334" t="n">
        <v>0.01</v>
      </c>
      <c r="L334" t="inlineStr">
        <is>
          <t>cash_ending_from_flows__20260201</t>
        </is>
      </c>
      <c r="M334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4" t="inlineStr">
        <is>
          <t>pending</t>
        </is>
      </c>
      <c r="P334" t="inlineStr">
        <is>
          <t>cash_ending_difference</t>
        </is>
      </c>
      <c r="Q334" t="n">
        <v>138</v>
      </c>
      <c r="R334" t="n">
        <v>3</v>
      </c>
      <c r="S334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2026-09-15T08:27:32Z</dcterms:created>
  <dcterms:modified xsi:type="dcterms:W3CDTF">2026-09-15T08:27:32Z</dcterms:modified>
</cp:coreProperties>
</file>