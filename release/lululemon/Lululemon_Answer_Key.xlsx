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B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C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D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E106" authorId="0" shapeId="0">
      <text>
        <t>CFO + CFI + CFF + FX using reported signed cash-flow totals in statement units, including the FX effect. Keep reported signs; do not reverse flows, omit FX, substitute balance-sheet cash, insert a balancing plug, or infer debt funding.</t>
      </text>
    </comment>
    <comment ref="B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C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D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E108" authorId="0" shapeId="0">
      <text>
        <t>Calculated cash movement from flows minus reported cash change, in statement units. A nonzero difference is a reported reconciliation gap; do not insert a balancing plug, assert a cause, substitute balance-sheet cash, or infer debt funding.</t>
      </text>
    </comment>
    <comment ref="B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C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D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E110" authorId="0" shapeId="0">
      <text>
        <t>Reported cash beginning plus cash movement from flows (CFO + CFI + CFF + FX), in statement units. Keep signed flows and FX as reported; do not substitute balance-sheet cash, insert a balancing plug, or infer debt funding.</t>
      </text>
    </comment>
    <comment ref="B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C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D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E112" authorId="0" shapeId="0">
      <text>
        <t>Cash ending from flows minus reported cash ending, in statement units. A nonzero difference is a reported reconciliation gap; do not insert a balancing plug, assert a cause, substitute balance-sheet cash, or infer debt funding.</t>
      </text>
    </comment>
    <comment ref="B118" authorId="0" shapeId="0">
      <text>
        <t>Gross margin = reported gross profit / revenue. Zero revenue is undefined (#N/A). Do not infer price, mix, or cost causes.</t>
      </text>
    </comment>
    <comment ref="C118" authorId="0" shapeId="0">
      <text>
        <t>Gross margin = reported gross profit / revenue. Zero revenue is undefined (#N/A). Do not infer price, mix, or cost causes.</t>
      </text>
    </comment>
    <comment ref="D118" authorId="0" shapeId="0">
      <text>
        <t>Gross margin = reported gross profit / revenue. Zero revenue is undefined (#N/A). Do not infer price, mix, or cost causes.</t>
      </text>
    </comment>
    <comment ref="E118" authorId="0" shapeId="0">
      <text>
        <t>Gross margin = reported gross profit / revenue. Zero revenue is undefined (#N/A). Do not infer price, mix, or cost causes.</t>
      </text>
    </comment>
    <comment ref="B119" authorId="0" shapeId="0">
      <text>
        <t>Reported operating margin = reported operating profit / revenue. Distinct from BAV NOPAT margin; not normalized earnings. Zero revenue is undefined (#N/A).</t>
      </text>
    </comment>
    <comment ref="C119" authorId="0" shapeId="0">
      <text>
        <t>Reported operating margin = reported operating profit / revenue. Distinct from BAV NOPAT margin; not normalized earnings. Zero revenue is undefined (#N/A).</t>
      </text>
    </comment>
    <comment ref="D119" authorId="0" shapeId="0">
      <text>
        <t>Reported operating margin = reported operating profit / revenue. Distinct from BAV NOPAT margin; not normalized earnings. Zero revenue is undefined (#N/A).</t>
      </text>
    </comment>
    <comment ref="E119" authorId="0" shapeId="0">
      <text>
        <t>Reported operating margin = reported operating profit / revenue. Distinct from BAV NOPAT margin; not normalized earnings. Zero revenue is undefined (#N/A).</t>
      </text>
    </comment>
    <comment ref="B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D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E120" authorId="0" shapeId="0">
      <text>
        <t>Net operating expense burden = (gross profit − operating profit) / revenue. That difference includes net intervening operating items; it is not necessarily SG&amp;A. Zero revenue is undefined (#N/A).</t>
      </text>
    </comment>
    <comment ref="C121" authorId="0" shapeId="0">
      <text>
        <t>Change in gross margin is a percentage-point movement: current gross margin minus prior gross margin. Do not infer price, mix, or cost causes.</t>
      </text>
    </comment>
    <comment ref="D121" authorId="0" shapeId="0">
      <text>
        <t>Change in gross margin is a percentage-point movement: current gross margin minus prior gross margin. Do not infer price, mix, or cost causes.</t>
      </text>
    </comment>
    <comment ref="E121" authorId="0" shapeId="0">
      <text>
        <t>Change in gross margin is a percentage-point movement: current gross margin minus prior gross margin. Do not infer price, mix, or cost causes.</t>
      </text>
    </comment>
    <comment ref="C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D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E122" authorId="0" shapeId="0">
      <text>
        <t>Change in net operating expense burden is a percentage-point movement: current burden minus prior burden. A positive burden change reduces reported operating margin. Intervening items are not necessarily SG&amp;A.</t>
      </text>
    </comment>
    <comment ref="C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D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E123" authorId="0" shapeId="0">
      <text>
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</text>
    </comment>
    <comment ref="B128" authorId="0" shapeId="0">
      <text>
        <t>Inventory intensity = ending inventory / annual revenue. This is not inventory days or turnover. Zero revenue is undefined (#N/A).</t>
      </text>
    </comment>
    <comment ref="C128" authorId="0" shapeId="0">
      <text>
        <t>Inventory intensity = ending inventory / annual revenue. This is not inventory days or turnover. Zero revenue is undefined (#N/A).</t>
      </text>
    </comment>
    <comment ref="D128" authorId="0" shapeId="0">
      <text>
        <t>Inventory intensity = ending inventory / annual revenue. This is not inventory days or turnover. Zero revenue is undefined (#N/A).</t>
      </text>
    </comment>
    <comment ref="E128" authorId="0" shapeId="0">
      <text>
        <t>Inventory intensity = ending inventory / annual revenue. This is not inventory days or turnover. Zero revenue is undefined (#N/A).</t>
      </text>
    </comment>
    <comment ref="C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D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E129" authorId="0" shapeId="0">
      <text>
        <t>Change in inventory = current inventory − prior inventory (signed). Opening-period change is not practiced. This is not proof of cash movement, markdowns, or management causes.</t>
      </text>
    </comment>
    <comment ref="C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D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E130" authorId="0" shapeId="0">
      <text>
        <t>Revenue-scale effect = prior inventory intensity × (current revenue − prior revenue). Uses the prior-intensity / current-revenue attribution convention. Signed; not a cash-movement proof.</t>
      </text>
    </comment>
    <comment ref="C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D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E131" authorId="0" shapeId="0">
      <text>
        <t>Intensity effect = current revenue × (current inventory intensity − prior inventory intensity). Uses the prior-intensity / current-revenue attribution convention. Signed; not proof of deterioration, seasonality, or markdowns.</t>
      </text>
    </comment>
    <comment ref="C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D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E132" authorId="0" shapeId="0">
      <text>
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</text>
    </comment>
    <comment ref="C136" authorId="0" shapeId="0">
      <text>
        <t>Current goodwill − prior goodwill. Flat goodwill does not establish absence of impairment disclosed elsewhere.</t>
      </text>
    </comment>
    <comment ref="D136" authorId="0" shapeId="0">
      <text>
        <t>Current goodwill − prior goodwill. Flat goodwill does not establish absence of impairment disclosed elsewhere.</t>
      </text>
    </comment>
    <comment ref="E136" authorId="0" shapeId="0">
      <text>
        <t>Current goodwill − prior goodwill. Flat goodwill does not establish absence of impairment disclosed elsewhere.</t>
      </text>
    </comment>
    <comment ref="C137" authorId="0" shapeId="0">
      <text>
        <t>Percentage change in reported goodwill.</t>
      </text>
    </comment>
    <comment ref="D137" authorId="0" shapeId="0">
      <text>
        <t>Percentage change in reported goodwill.</t>
      </text>
    </comment>
    <comment ref="E137" authorId="0" shapeId="0">
      <text>
        <t>Percentage change in reported goodwill.</t>
      </text>
    </comment>
    <comment ref="C138" authorId="0" shapeId="0">
      <text>
        <t>Average beginning and ending goodwill.</t>
      </text>
    </comment>
    <comment ref="D138" authorId="0" shapeId="0">
      <text>
        <t>Average beginning and ending goodwill.</t>
      </text>
    </comment>
    <comment ref="E138" authorId="0" shapeId="0">
      <text>
        <t>Average beginning and ending goodwill.</t>
      </text>
    </comment>
    <comment ref="C139" authorId="0" shapeId="0">
      <text>
        <t>Average goodwill divided by Revenue (average-balance intensity).</t>
      </text>
    </comment>
    <comment ref="D139" authorId="0" shapeId="0">
      <text>
        <t>Average goodwill divided by Revenue (average-balance intensity).</t>
      </text>
    </comment>
    <comment ref="E139" authorId="0" shapeId="0">
      <text>
        <t>Average goodwill divided by Revenue (average-balance intensity).</t>
      </text>
    </comment>
    <comment ref="C141" authorId="0" shapeId="0">
      <text>
        <t>Current intangible assets − prior intangible assets.</t>
      </text>
    </comment>
    <comment ref="D141" authorId="0" shapeId="0">
      <text>
        <t>Current intangible assets − prior intangible assets.</t>
      </text>
    </comment>
    <comment ref="E141" authorId="0" shapeId="0">
      <text>
        <t>Current intangible assets − prior intangible assets.</t>
      </text>
    </comment>
    <comment ref="C142" authorId="0" shapeId="0">
      <text>
        <t>Percentage change in reported intangible assets.</t>
      </text>
    </comment>
    <comment ref="D142" authorId="0" shapeId="0">
      <text>
        <t>Percentage change in reported intangible assets.</t>
      </text>
    </comment>
    <comment ref="E142" authorId="0" shapeId="0">
      <text>
        <t>Percentage change in reported intangible assets.</t>
      </text>
    </comment>
    <comment ref="C143" authorId="0" shapeId="0">
      <text>
        <t>Average beginning and ending intangible assets.</t>
      </text>
    </comment>
    <comment ref="D143" authorId="0" shapeId="0">
      <text>
        <t>Average beginning and ending intangible assets.</t>
      </text>
    </comment>
    <comment ref="E143" authorId="0" shapeId="0">
      <text>
        <t>Average beginning and ending intangible assets.</t>
      </text>
    </comment>
    <comment ref="C144" authorId="0" shapeId="0">
      <text>
        <t>Average intangible assets divided by Revenue (average-balance intensity).</t>
      </text>
    </comment>
    <comment ref="D144" authorId="0" shapeId="0">
      <text>
        <t>Average intangible assets divided by Revenue (average-balance intensity).</t>
      </text>
    </comment>
    <comment ref="E144" authorId="0" shapeId="0">
      <text>
        <t>Average intangible assets divided by Revenue (average-balance intensity).</t>
      </text>
    </comment>
    <comment ref="C146" authorId="0" shapeId="0">
      <text>
        <t>Current combined total − prior combined total.</t>
      </text>
    </comment>
    <comment ref="D146" authorId="0" shapeId="0">
      <text>
        <t>Current combined total − prior combined total.</t>
      </text>
    </comment>
    <comment ref="E146" authorId="0" shapeId="0">
      <text>
        <t>Current combined total − prior combined total.</t>
      </text>
    </comment>
    <comment ref="C147" authorId="0" shapeId="0">
      <text>
        <t>Percentage change in the combined goodwill and intangibles total.</t>
      </text>
    </comment>
    <comment ref="D147" authorId="0" shapeId="0">
      <text>
        <t>Percentage change in the combined goodwill and intangibles total.</t>
      </text>
    </comment>
    <comment ref="E147" authorId="0" shapeId="0">
      <text>
        <t>Percentage change in the combined goodwill and intangibles total.</t>
      </text>
    </comment>
    <comment ref="C148" authorId="0" shapeId="0">
      <text>
        <t>Average beginning and ending combined goodwill and intangibles.</t>
      </text>
    </comment>
    <comment ref="D148" authorId="0" shapeId="0">
      <text>
        <t>Average beginning and ending combined goodwill and intangibles.</t>
      </text>
    </comment>
    <comment ref="E148" authorId="0" shapeId="0">
      <text>
        <t>Average beginning and ending combined goodwill and intangibles.</t>
      </text>
    </comment>
    <comment ref="C149" authorId="0" shapeId="0">
      <text>
        <t>Average combined goodwill and intangibles divided by Revenue.</t>
      </text>
    </comment>
    <comment ref="D149" authorId="0" shapeId="0">
      <text>
        <t>Average combined goodwill and intangibles divided by Revenue.</t>
      </text>
    </comment>
    <comment ref="E149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C136:E136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C137:E137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C138:E138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C139:E139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C141:E141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C142:E142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C143:E143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C144:E144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C146:E146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C147:E147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C148:E148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C149:E149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2023–2026 (4 cells)</t>
        </is>
      </c>
      <c r="D108" s="10" t="inlineStr">
        <is>
          <t>ALT DuPont</t>
        </is>
      </c>
      <c r="E108" s="10" t="inlineStr">
        <is>
          <t>B128:E128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2024–2026 (3 cells)</t>
        </is>
      </c>
      <c r="D109" s="10" t="inlineStr">
        <is>
          <t>ALT DuPont</t>
        </is>
      </c>
      <c r="E109" s="10" t="inlineStr">
        <is>
          <t>C129:E129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2024–2026 (3 cells)</t>
        </is>
      </c>
      <c r="D110" s="10" t="inlineStr">
        <is>
          <t>ALT DuPont</t>
        </is>
      </c>
      <c r="E110" s="10" t="inlineStr">
        <is>
          <t>C130:E130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2024–2026 (3 cells)</t>
        </is>
      </c>
      <c r="D111" s="10" t="inlineStr">
        <is>
          <t>ALT DuPont</t>
        </is>
      </c>
      <c r="E111" s="10" t="inlineStr">
        <is>
          <t>C131:E131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2024–2026 (3 cells)</t>
        </is>
      </c>
      <c r="D112" s="10" t="inlineStr">
        <is>
          <t>ALT DuPont</t>
        </is>
      </c>
      <c r="E112" s="10" t="inlineStr">
        <is>
          <t>C132:E132</t>
        </is>
      </c>
      <c r="F112" s="10" t="inlineStr">
        <is>
          <t>inventory_revenue_scale_effect, inventory_intensity_effect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</row>
    <row r="100"/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>
        <f>B102+B103+B104+B105</f>
        <v/>
      </c>
      <c r="C106" s="15">
        <f>C102+C103+C104+C105</f>
        <v/>
      </c>
      <c r="D106" s="15">
        <f>D102+D103+D104+D105</f>
        <v/>
      </c>
      <c r="E106" s="15">
        <f>E102+E103+E104+E105</f>
        <v/>
      </c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>
        <f>B106-B107</f>
        <v/>
      </c>
      <c r="C108" s="15">
        <f>C106-C107</f>
        <v/>
      </c>
      <c r="D108" s="15">
        <f>D106-D107</f>
        <v/>
      </c>
      <c r="E108" s="15">
        <f>E106-E107</f>
        <v/>
      </c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>
        <f>B109+B106</f>
        <v/>
      </c>
      <c r="C110" s="15">
        <f>C109+C106</f>
        <v/>
      </c>
      <c r="D110" s="15">
        <f>D109+D106</f>
        <v/>
      </c>
      <c r="E110" s="15">
        <f>E109+E106</f>
        <v/>
      </c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>
        <f>B110-B111</f>
        <v/>
      </c>
      <c r="C112" s="15">
        <f>C110-C111</f>
        <v/>
      </c>
      <c r="D112" s="15">
        <f>D110-D111</f>
        <v/>
      </c>
      <c r="E112" s="15">
        <f>E110-E111</f>
        <v/>
      </c>
    </row>
    <row r="113"/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>
        <f>IF(B115=0,NA(),B116/B115)</f>
        <v/>
      </c>
      <c r="C118" s="14">
        <f>IF(C115=0,NA(),C116/C115)</f>
        <v/>
      </c>
      <c r="D118" s="14">
        <f>IF(D115=0,NA(),D116/D115)</f>
        <v/>
      </c>
      <c r="E118" s="14">
        <f>IF(E115=0,NA(),E116/E115)</f>
        <v/>
      </c>
    </row>
    <row r="119">
      <c r="A119" s="10" t="inlineStr">
        <is>
          <t>Reported operating margin</t>
        </is>
      </c>
      <c r="B119" s="14">
        <f>IF(B115=0,NA(),B117/B115)</f>
        <v/>
      </c>
      <c r="C119" s="14">
        <f>IF(C115=0,NA(),C117/C115)</f>
        <v/>
      </c>
      <c r="D119" s="14">
        <f>IF(D115=0,NA(),D117/D115)</f>
        <v/>
      </c>
      <c r="E119" s="14">
        <f>IF(E115=0,NA(),E117/E115)</f>
        <v/>
      </c>
    </row>
    <row r="120">
      <c r="A120" s="10" t="inlineStr">
        <is>
          <t>Net operating expense burden</t>
        </is>
      </c>
      <c r="B120" s="14">
        <f>IF(B115=0,NA(),(B116-B117)/B115)</f>
        <v/>
      </c>
      <c r="C120" s="14">
        <f>IF(C115=0,NA(),(C116-C117)/C115)</f>
        <v/>
      </c>
      <c r="D120" s="14">
        <f>IF(D115=0,NA(),(D116-D117)/D115)</f>
        <v/>
      </c>
      <c r="E120" s="14">
        <f>IF(E115=0,NA(),(E116-E117)/E115)</f>
        <v/>
      </c>
    </row>
    <row r="121">
      <c r="A121" s="10" t="inlineStr">
        <is>
          <t>Change in gross margin</t>
        </is>
      </c>
      <c r="C121" s="14">
        <f>C118-B118</f>
        <v/>
      </c>
      <c r="D121" s="14">
        <f>D118-C118</f>
        <v/>
      </c>
      <c r="E121" s="14">
        <f>E118-D118</f>
        <v/>
      </c>
    </row>
    <row r="122">
      <c r="A122" s="10" t="inlineStr">
        <is>
          <t>Change in net operating expense burden</t>
        </is>
      </c>
      <c r="C122" s="14">
        <f>C120-B120</f>
        <v/>
      </c>
      <c r="D122" s="14">
        <f>D120-C120</f>
        <v/>
      </c>
      <c r="E122" s="14">
        <f>E120-D120</f>
        <v/>
      </c>
    </row>
    <row r="123">
      <c r="A123" s="10" t="inlineStr">
        <is>
          <t>Reconstructed change in reported operating margin</t>
        </is>
      </c>
      <c r="C123" s="14">
        <f>C121-C122</f>
        <v/>
      </c>
      <c r="D123" s="14">
        <f>D121-D122</f>
        <v/>
      </c>
      <c r="E123" s="14">
        <f>E121-E122</f>
        <v/>
      </c>
    </row>
    <row r="124"/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</row>
    <row r="128">
      <c r="A128" s="10" t="inlineStr">
        <is>
          <t>Inventory intensity</t>
        </is>
      </c>
      <c r="B128" s="14">
        <f>IF(B127=0,NA(),B126/B127)</f>
        <v/>
      </c>
      <c r="C128" s="14">
        <f>IF(C127=0,NA(),C126/C127)</f>
        <v/>
      </c>
      <c r="D128" s="14">
        <f>IF(D127=0,NA(),D126/D127)</f>
        <v/>
      </c>
      <c r="E128" s="14">
        <f>IF(E127=0,NA(),E126/E127)</f>
        <v/>
      </c>
    </row>
    <row r="129">
      <c r="A129" s="10" t="inlineStr">
        <is>
          <t>Change in inventory</t>
        </is>
      </c>
      <c r="C129" s="15">
        <f>C126-B126</f>
        <v/>
      </c>
      <c r="D129" s="15">
        <f>D126-C126</f>
        <v/>
      </c>
      <c r="E129" s="15">
        <f>E126-D126</f>
        <v/>
      </c>
    </row>
    <row r="130">
      <c r="A130" s="10" t="inlineStr">
        <is>
          <t>Revenue-scale effect on inventory</t>
        </is>
      </c>
      <c r="C130" s="15">
        <f>B128*(C127-B127)</f>
        <v/>
      </c>
      <c r="D130" s="15">
        <f>C128*(D127-C127)</f>
        <v/>
      </c>
      <c r="E130" s="15">
        <f>D128*(E127-D127)</f>
        <v/>
      </c>
    </row>
    <row r="131">
      <c r="A131" s="10" t="inlineStr">
        <is>
          <t>Intensity effect on inventory</t>
        </is>
      </c>
      <c r="C131" s="15">
        <f>C127*(C128-B128)</f>
        <v/>
      </c>
      <c r="D131" s="15">
        <f>D127*(D128-C128)</f>
        <v/>
      </c>
      <c r="E131" s="15">
        <f>E127*(E128-D128)</f>
        <v/>
      </c>
    </row>
    <row r="132">
      <c r="A132" s="10" t="inlineStr">
        <is>
          <t>Reconstructed change in inventory</t>
        </is>
      </c>
      <c r="C132" s="15">
        <f>C130+C131</f>
        <v/>
      </c>
      <c r="D132" s="15">
        <f>D130+D131</f>
        <v/>
      </c>
      <c r="E132" s="15">
        <f>E130+E131</f>
        <v/>
      </c>
    </row>
    <row r="133"/>
    <row r="134">
      <c r="A134" s="10" t="inlineStr">
        <is>
          <t>GOODWILL &amp; INTANGIBLES CONTEXT</t>
        </is>
      </c>
    </row>
    <row r="135">
      <c r="A135" s="10" t="inlineStr">
        <is>
          <t>Goodwill</t>
        </is>
      </c>
      <c r="B135" s="12">
        <f>'Balance Sheet'!B22</f>
        <v/>
      </c>
      <c r="C135" s="12">
        <f>'Balance Sheet'!C22</f>
        <v/>
      </c>
      <c r="D135" s="12">
        <f>'Balance Sheet'!D22</f>
        <v/>
      </c>
      <c r="E135" s="12">
        <f>'Balance Sheet'!E22</f>
        <v/>
      </c>
    </row>
    <row r="136">
      <c r="A136" s="10" t="inlineStr">
        <is>
          <t>Change in Goodwill</t>
        </is>
      </c>
      <c r="C136" s="15">
        <f>C135-B135</f>
        <v/>
      </c>
      <c r="D136" s="15">
        <f>D135-C135</f>
        <v/>
      </c>
      <c r="E136" s="15">
        <f>E135-D135</f>
        <v/>
      </c>
    </row>
    <row r="137">
      <c r="A137" s="10" t="inlineStr">
        <is>
          <t>Goodwill Growth</t>
        </is>
      </c>
      <c r="C137" s="14">
        <f>IF(B135=0,NA(),C135/B135-1)</f>
        <v/>
      </c>
      <c r="D137" s="14">
        <f>IF(C135=0,NA(),D135/C135-1)</f>
        <v/>
      </c>
      <c r="E137" s="14">
        <f>IF(D135=0,NA(),E135/D135-1)</f>
        <v/>
      </c>
    </row>
    <row r="138">
      <c r="A138" s="10" t="inlineStr">
        <is>
          <t>Average Goodwill</t>
        </is>
      </c>
      <c r="C138" s="15">
        <f>(B135+C135)/2</f>
        <v/>
      </c>
      <c r="D138" s="15">
        <f>(C135+D135)/2</f>
        <v/>
      </c>
      <c r="E138" s="15">
        <f>(D135+E135)/2</f>
        <v/>
      </c>
    </row>
    <row r="139">
      <c r="A139" s="10" t="inlineStr">
        <is>
          <t>Average Goodwill / Revenue</t>
        </is>
      </c>
      <c r="C139" s="14">
        <f>IF('Condensed Financials'!C34=0,NA(),C138/'Condensed Financials'!C34)</f>
        <v/>
      </c>
      <c r="D139" s="14">
        <f>IF('Condensed Financials'!D34=0,NA(),D138/'Condensed Financials'!D34)</f>
        <v/>
      </c>
      <c r="E139" s="14">
        <f>IF('Condensed Financials'!E34=0,NA(),E138/'Condensed Financials'!E34)</f>
        <v/>
      </c>
    </row>
    <row r="140">
      <c r="A140" s="10" t="inlineStr">
        <is>
          <t>Intangible Assets</t>
        </is>
      </c>
      <c r="B140" s="12">
        <f>'Balance Sheet'!B23</f>
        <v/>
      </c>
      <c r="C140" s="12">
        <f>'Balance Sheet'!C23</f>
        <v/>
      </c>
      <c r="D140" s="12">
        <f>'Balance Sheet'!D23</f>
        <v/>
      </c>
      <c r="E140" s="12">
        <f>'Balance Sheet'!E23</f>
        <v/>
      </c>
    </row>
    <row r="141">
      <c r="A141" s="10" t="inlineStr">
        <is>
          <t>Change in Intangible Assets</t>
        </is>
      </c>
      <c r="C141" s="15">
        <f>C140-B140</f>
        <v/>
      </c>
      <c r="D141" s="15">
        <f>D140-C140</f>
        <v/>
      </c>
      <c r="E141" s="15">
        <f>E140-D140</f>
        <v/>
      </c>
    </row>
    <row r="142">
      <c r="A142" s="10" t="inlineStr">
        <is>
          <t>Intangible Assets Growth</t>
        </is>
      </c>
      <c r="C142" s="14">
        <f>IF(B140=0,NA(),C140/B140-1)</f>
        <v/>
      </c>
      <c r="D142" s="14">
        <f>IF(C140=0,NA(),D140/C140-1)</f>
        <v/>
      </c>
      <c r="E142" s="14">
        <f>IF(D140=0,NA(),E140/D140-1)</f>
        <v/>
      </c>
    </row>
    <row r="143">
      <c r="A143" s="10" t="inlineStr">
        <is>
          <t>Average Intangible Assets</t>
        </is>
      </c>
      <c r="C143" s="15">
        <f>(B140+C140)/2</f>
        <v/>
      </c>
      <c r="D143" s="15">
        <f>(C140+D140)/2</f>
        <v/>
      </c>
      <c r="E143" s="15">
        <f>(D140+E140)/2</f>
        <v/>
      </c>
    </row>
    <row r="144">
      <c r="A144" s="10" t="inlineStr">
        <is>
          <t>Average Intangible Assets / Revenue</t>
        </is>
      </c>
      <c r="C144" s="14">
        <f>IF('Condensed Financials'!C34=0,NA(),C143/'Condensed Financials'!C34)</f>
        <v/>
      </c>
      <c r="D144" s="14">
        <f>IF('Condensed Financials'!D34=0,NA(),D143/'Condensed Financials'!D34)</f>
        <v/>
      </c>
      <c r="E144" s="14">
        <f>IF('Condensed Financials'!E34=0,NA(),E143/'Condensed Financials'!E34)</f>
        <v/>
      </c>
    </row>
    <row r="145">
      <c r="A145" s="10" t="inlineStr">
        <is>
          <t>Goodwill &amp; Intangibles</t>
        </is>
      </c>
      <c r="B145" s="12">
        <f>B135+B140</f>
        <v/>
      </c>
      <c r="C145" s="12">
        <f>C135+C140</f>
        <v/>
      </c>
      <c r="D145" s="12">
        <f>D135+D140</f>
        <v/>
      </c>
      <c r="E145" s="12">
        <f>E135+E140</f>
        <v/>
      </c>
    </row>
    <row r="146">
      <c r="A146" s="10" t="inlineStr">
        <is>
          <t>Change in Goodwill &amp; Intangibles</t>
        </is>
      </c>
      <c r="C146" s="15">
        <f>C145-B145</f>
        <v/>
      </c>
      <c r="D146" s="15">
        <f>D145-C145</f>
        <v/>
      </c>
      <c r="E146" s="15">
        <f>E145-D145</f>
        <v/>
      </c>
    </row>
    <row r="147">
      <c r="A147" s="10" t="inlineStr">
        <is>
          <t>Goodwill &amp; Intangibles Growth</t>
        </is>
      </c>
      <c r="C147" s="14">
        <f>IF(B145=0,NA(),C145/B145-1)</f>
        <v/>
      </c>
      <c r="D147" s="14">
        <f>IF(C145=0,NA(),D145/C145-1)</f>
        <v/>
      </c>
      <c r="E147" s="14">
        <f>IF(D145=0,NA(),E145/D145-1)</f>
        <v/>
      </c>
    </row>
    <row r="148">
      <c r="A148" s="10" t="inlineStr">
        <is>
          <t>Average Goodwill &amp; Intangibles</t>
        </is>
      </c>
      <c r="C148" s="15">
        <f>(B145+C145)/2</f>
        <v/>
      </c>
      <c r="D148" s="15">
        <f>(C145+D145)/2</f>
        <v/>
      </c>
      <c r="E148" s="15">
        <f>(D145+E145)/2</f>
        <v/>
      </c>
    </row>
    <row r="149">
      <c r="A149" s="10" t="inlineStr">
        <is>
          <t>Average Goodwill &amp; Intangibles / Revenue</t>
        </is>
      </c>
      <c r="C149" s="14">
        <f>IF('Condensed Financials'!C34=0,NA(),C148/'Condensed Financials'!C34)</f>
        <v/>
      </c>
      <c r="D149" s="14">
        <f>IF('Condensed Financials'!D34=0,NA(),D148/'Condensed Financials'!D34)</f>
        <v/>
      </c>
      <c r="E149" s="14">
        <f>IF('Condensed Financials'!E34=0,NA(),E148/'Condensed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C136</t>
        </is>
      </c>
      <c r="I218">
        <f>C135-B135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D136</t>
        </is>
      </c>
      <c r="I219">
        <f>D135-C135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E136</t>
        </is>
      </c>
      <c r="I220">
        <f>E135-D135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C137</t>
        </is>
      </c>
      <c r="I221">
        <f>IF(B135=0,NA(),C135/B135-1)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D137</t>
        </is>
      </c>
      <c r="I222">
        <f>IF(C135=0,NA(),D135/C135-1)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E137</t>
        </is>
      </c>
      <c r="I223">
        <f>IF(D135=0,NA(),E135/D135-1)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C138</t>
        </is>
      </c>
      <c r="I224">
        <f>(B135+C135)/2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D138</t>
        </is>
      </c>
      <c r="I225">
        <f>(C135+D135)/2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E138</t>
        </is>
      </c>
      <c r="I226">
        <f>(D135+E135)/2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C139</t>
        </is>
      </c>
      <c r="I227">
        <f>IF('Condensed Financials'!C34=0,NA(),C138/'Condensed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D139</t>
        </is>
      </c>
      <c r="I228">
        <f>IF('Condensed Financials'!D34=0,NA(),D138/'Condensed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E139</t>
        </is>
      </c>
      <c r="I229">
        <f>IF('Condensed Financials'!E34=0,NA(),E138/'Condensed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C141</t>
        </is>
      </c>
      <c r="I230">
        <f>C140-B140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D141</t>
        </is>
      </c>
      <c r="I231">
        <f>D140-C140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E141</t>
        </is>
      </c>
      <c r="I232">
        <f>E140-D140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C142</t>
        </is>
      </c>
      <c r="I233">
        <f>IF(B140=0,NA(),C140/B140-1)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D142</t>
        </is>
      </c>
      <c r="I234">
        <f>IF(C140=0,NA(),D140/C140-1)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E142</t>
        </is>
      </c>
      <c r="I235">
        <f>IF(D140=0,NA(),E140/D140-1)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C143</t>
        </is>
      </c>
      <c r="I236">
        <f>(B140+C140)/2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D143</t>
        </is>
      </c>
      <c r="I237">
        <f>(C140+D140)/2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E143</t>
        </is>
      </c>
      <c r="I238">
        <f>(D140+E140)/2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C144</t>
        </is>
      </c>
      <c r="I239">
        <f>IF('Condensed Financials'!C34=0,NA(),C143/'Condensed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D144</t>
        </is>
      </c>
      <c r="I240">
        <f>IF('Condensed Financials'!D34=0,NA(),D143/'Condensed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E144</t>
        </is>
      </c>
      <c r="I241">
        <f>IF('Condensed Financials'!E34=0,NA(),E143/'Condensed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C146</t>
        </is>
      </c>
      <c r="I242">
        <f>C145-B145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D146</t>
        </is>
      </c>
      <c r="I243">
        <f>D145-C145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E146</t>
        </is>
      </c>
      <c r="I244">
        <f>E145-D145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C147</t>
        </is>
      </c>
      <c r="I245">
        <f>IF(B145=0,NA(),C145/B145-1)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D147</t>
        </is>
      </c>
      <c r="I246">
        <f>IF(C145=0,NA(),D145/C145-1)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E147</t>
        </is>
      </c>
      <c r="I247">
        <f>IF(D145=0,NA(),E145/D145-1)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C148</t>
        </is>
      </c>
      <c r="I248">
        <f>(B145+C145)/2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D148</t>
        </is>
      </c>
      <c r="I249">
        <f>(C145+D145)/2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E148</t>
        </is>
      </c>
      <c r="I250">
        <f>(D145+E145)/2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C149</t>
        </is>
      </c>
      <c r="I251">
        <f>IF('Condensed Financials'!C34=0,NA(),C148/'Condensed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D149</t>
        </is>
      </c>
      <c r="I252">
        <f>IF('Condensed Financials'!D34=0,NA(),D148/'Condensed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E149</t>
        </is>
      </c>
      <c r="I253">
        <f>IF('Condensed Financials'!E34=0,NA(),E148/'Condensed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  <row r="307">
      <c r="A307" t="inlineStr">
        <is>
          <t>share_repurchase_outflow__20230129</t>
        </is>
      </c>
      <c r="B307" t="n">
        <v>306</v>
      </c>
      <c r="C307" t="inlineStr">
        <is>
          <t>Share-repurchase outflow (−reported)</t>
        </is>
      </c>
      <c r="D30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7" t="inlineStr">
        <is>
          <t>share_repurchase.share_repurchase_outflow.2023-01-29</t>
        </is>
      </c>
      <c r="F307" t="inlineStr">
        <is>
          <t>share_repurchase</t>
        </is>
      </c>
      <c r="G307" t="inlineStr">
        <is>
          <t>ALT DuPont</t>
        </is>
      </c>
      <c r="H307" t="inlineStr">
        <is>
          <t>B95</t>
        </is>
      </c>
      <c r="I307">
        <f>-B94</f>
        <v/>
      </c>
      <c r="J307" t="n">
        <v>444001</v>
      </c>
      <c r="K307" t="n">
        <v>0.01</v>
      </c>
      <c r="M30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7" t="inlineStr">
        <is>
          <t>pending</t>
        </is>
      </c>
      <c r="P307" t="inlineStr">
        <is>
          <t>share_repurchase_outflow</t>
        </is>
      </c>
      <c r="Q307" t="n">
        <v>132</v>
      </c>
      <c r="R307" t="n">
        <v>0</v>
      </c>
      <c r="S307" t="inlineStr">
        <is>
          <t>2023-01-29</t>
        </is>
      </c>
    </row>
    <row r="308">
      <c r="A308" t="inlineStr">
        <is>
          <t>share_repurchase_outflow__20240128</t>
        </is>
      </c>
      <c r="B308" t="n">
        <v>307</v>
      </c>
      <c r="C308" t="inlineStr">
        <is>
          <t>Share-repurchase outflow (−reported)</t>
        </is>
      </c>
      <c r="D30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8" t="inlineStr">
        <is>
          <t>share_repurchase.share_repurchase_outflow.2024-01-28</t>
        </is>
      </c>
      <c r="F308" t="inlineStr">
        <is>
          <t>share_repurchase</t>
        </is>
      </c>
      <c r="G308" t="inlineStr">
        <is>
          <t>ALT DuPont</t>
        </is>
      </c>
      <c r="H308" t="inlineStr">
        <is>
          <t>C95</t>
        </is>
      </c>
      <c r="I308">
        <f>-C94</f>
        <v/>
      </c>
      <c r="J308" t="n">
        <v>558652</v>
      </c>
      <c r="K308" t="n">
        <v>0.01</v>
      </c>
      <c r="M30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8" t="inlineStr">
        <is>
          <t>pending</t>
        </is>
      </c>
      <c r="P308" t="inlineStr">
        <is>
          <t>share_repurchase_outflow</t>
        </is>
      </c>
      <c r="Q308" t="n">
        <v>132</v>
      </c>
      <c r="R308" t="n">
        <v>1</v>
      </c>
      <c r="S308" t="inlineStr">
        <is>
          <t>2024-01-28</t>
        </is>
      </c>
    </row>
    <row r="309">
      <c r="A309" t="inlineStr">
        <is>
          <t>share_repurchase_outflow__20250202</t>
        </is>
      </c>
      <c r="B309" t="n">
        <v>308</v>
      </c>
      <c r="C309" t="inlineStr">
        <is>
          <t>Share-repurchase outflow (−reported)</t>
        </is>
      </c>
      <c r="D30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9" t="inlineStr">
        <is>
          <t>share_repurchase.share_repurchase_outflow.2025-02-02</t>
        </is>
      </c>
      <c r="F309" t="inlineStr">
        <is>
          <t>share_repurchase</t>
        </is>
      </c>
      <c r="G309" t="inlineStr">
        <is>
          <t>ALT DuPont</t>
        </is>
      </c>
      <c r="H309" t="inlineStr">
        <is>
          <t>D95</t>
        </is>
      </c>
      <c r="I309">
        <f>-D94</f>
        <v/>
      </c>
      <c r="J309" t="n">
        <v>1636879</v>
      </c>
      <c r="K309" t="n">
        <v>0.01</v>
      </c>
      <c r="M30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9" t="inlineStr">
        <is>
          <t>pending</t>
        </is>
      </c>
      <c r="P309" t="inlineStr">
        <is>
          <t>share_repurchase_outflow</t>
        </is>
      </c>
      <c r="Q309" t="n">
        <v>132</v>
      </c>
      <c r="R309" t="n">
        <v>2</v>
      </c>
      <c r="S309" t="inlineStr">
        <is>
          <t>2025-02-02</t>
        </is>
      </c>
    </row>
    <row r="310">
      <c r="A310" t="inlineStr">
        <is>
          <t>share_repurchase_outflow__20260201</t>
        </is>
      </c>
      <c r="B310" t="n">
        <v>309</v>
      </c>
      <c r="C310" t="inlineStr">
        <is>
          <t>Share-repurchase outflow (−reported)</t>
        </is>
      </c>
      <c r="D31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10" t="inlineStr">
        <is>
          <t>share_repurchase.share_repurchase_outflow.2026-02-01</t>
        </is>
      </c>
      <c r="F310" t="inlineStr">
        <is>
          <t>share_repurchase</t>
        </is>
      </c>
      <c r="G310" t="inlineStr">
        <is>
          <t>ALT DuPont</t>
        </is>
      </c>
      <c r="H310" t="inlineStr">
        <is>
          <t>E95</t>
        </is>
      </c>
      <c r="I310">
        <f>-E94</f>
        <v/>
      </c>
      <c r="J310" t="n">
        <v>1178349</v>
      </c>
      <c r="K310" t="n">
        <v>0.01</v>
      </c>
      <c r="M31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10" t="inlineStr">
        <is>
          <t>pending</t>
        </is>
      </c>
      <c r="P310" t="inlineStr">
        <is>
          <t>share_repurchase_outflow</t>
        </is>
      </c>
      <c r="Q310" t="n">
        <v>132</v>
      </c>
      <c r="R310" t="n">
        <v>3</v>
      </c>
      <c r="S310" t="inlineStr">
        <is>
          <t>2026-02-01</t>
        </is>
      </c>
    </row>
    <row r="311">
      <c r="A311" t="inlineStr">
        <is>
          <t>share_repurchase_to_revenue__20230129</t>
        </is>
      </c>
      <c r="B311" t="n">
        <v>310</v>
      </c>
      <c r="C311" t="inlineStr">
        <is>
          <t>Share-repurchase / Revenue</t>
        </is>
      </c>
      <c r="D311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1" t="inlineStr">
        <is>
          <t>share_repurchase.share_repurchase_to_revenue.2023-01-29</t>
        </is>
      </c>
      <c r="F311" t="inlineStr">
        <is>
          <t>share_repurchase</t>
        </is>
      </c>
      <c r="G311" t="inlineStr">
        <is>
          <t>ALT DuPont</t>
        </is>
      </c>
      <c r="H311" t="inlineStr">
        <is>
          <t>B96</t>
        </is>
      </c>
      <c r="I311">
        <f>IF('Condensed Financials'!B34=0,NA(),B95/'Condensed Financials'!B34)</f>
        <v/>
      </c>
      <c r="J311" t="n">
        <v>0.05474385236553325</v>
      </c>
      <c r="K311" t="n">
        <v>0.01</v>
      </c>
      <c r="L311" t="inlineStr">
        <is>
          <t>share_repurchase_outflow__20230129,revenue_link__20230129</t>
        </is>
      </c>
      <c r="M311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1" t="inlineStr">
        <is>
          <t>pending</t>
        </is>
      </c>
      <c r="P311" t="inlineStr">
        <is>
          <t>share_repurchase_to_revenue</t>
        </is>
      </c>
      <c r="Q311" t="n">
        <v>133</v>
      </c>
      <c r="R311" t="n">
        <v>0</v>
      </c>
      <c r="S311" t="inlineStr">
        <is>
          <t>2023-01-29</t>
        </is>
      </c>
    </row>
    <row r="312">
      <c r="A312" t="inlineStr">
        <is>
          <t>share_repurchase_to_revenue__20240128</t>
        </is>
      </c>
      <c r="B312" t="n">
        <v>311</v>
      </c>
      <c r="C312" t="inlineStr">
        <is>
          <t>Share-repurchase / Revenue</t>
        </is>
      </c>
      <c r="D31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2" t="inlineStr">
        <is>
          <t>share_repurchase.share_repurchase_to_revenue.2024-01-28</t>
        </is>
      </c>
      <c r="F312" t="inlineStr">
        <is>
          <t>share_repurchase</t>
        </is>
      </c>
      <c r="G312" t="inlineStr">
        <is>
          <t>ALT DuPont</t>
        </is>
      </c>
      <c r="H312" t="inlineStr">
        <is>
          <t>C96</t>
        </is>
      </c>
      <c r="I312">
        <f>IF('Condensed Financials'!C34=0,NA(),C95/'Condensed Financials'!C34)</f>
        <v/>
      </c>
      <c r="J312" t="n">
        <v>0.05807629221236771</v>
      </c>
      <c r="K312" t="n">
        <v>0.01</v>
      </c>
      <c r="L312" t="inlineStr">
        <is>
          <t>share_repurchase_outflow__20240128,revenue_link__20240128</t>
        </is>
      </c>
      <c r="M31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2" t="inlineStr">
        <is>
          <t>pending</t>
        </is>
      </c>
      <c r="P312" t="inlineStr">
        <is>
          <t>share_repurchase_to_revenue</t>
        </is>
      </c>
      <c r="Q312" t="n">
        <v>133</v>
      </c>
      <c r="R312" t="n">
        <v>1</v>
      </c>
      <c r="S312" t="inlineStr">
        <is>
          <t>2024-01-28</t>
        </is>
      </c>
    </row>
    <row r="313">
      <c r="A313" t="inlineStr">
        <is>
          <t>share_repurchase_to_revenue__20250202</t>
        </is>
      </c>
      <c r="B313" t="n">
        <v>312</v>
      </c>
      <c r="C313" t="inlineStr">
        <is>
          <t>Share-repurchase / Revenue</t>
        </is>
      </c>
      <c r="D31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3" t="inlineStr">
        <is>
          <t>share_repurchase.share_repurchase_to_revenue.2025-02-02</t>
        </is>
      </c>
      <c r="F313" t="inlineStr">
        <is>
          <t>share_repurchase</t>
        </is>
      </c>
      <c r="G313" t="inlineStr">
        <is>
          <t>ALT DuPont</t>
        </is>
      </c>
      <c r="H313" t="inlineStr">
        <is>
          <t>D96</t>
        </is>
      </c>
      <c r="I313">
        <f>IF('Condensed Financials'!D34=0,NA(),D95/'Condensed Financials'!D34)</f>
        <v/>
      </c>
      <c r="J313" t="n">
        <v>0.1545957235491908</v>
      </c>
      <c r="K313" t="n">
        <v>0.01</v>
      </c>
      <c r="L313" t="inlineStr">
        <is>
          <t>share_repurchase_outflow__20250202,revenue_link__20250202</t>
        </is>
      </c>
      <c r="M31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3" t="inlineStr">
        <is>
          <t>pending</t>
        </is>
      </c>
      <c r="P313" t="inlineStr">
        <is>
          <t>share_repurchase_to_revenue</t>
        </is>
      </c>
      <c r="Q313" t="n">
        <v>133</v>
      </c>
      <c r="R313" t="n">
        <v>2</v>
      </c>
      <c r="S313" t="inlineStr">
        <is>
          <t>2025-02-02</t>
        </is>
      </c>
    </row>
    <row r="314">
      <c r="A314" t="inlineStr">
        <is>
          <t>share_repurchase_to_revenue__20260201</t>
        </is>
      </c>
      <c r="B314" t="n">
        <v>313</v>
      </c>
      <c r="C314" t="inlineStr">
        <is>
          <t>Share-repurchase / Revenue</t>
        </is>
      </c>
      <c r="D31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4" t="inlineStr">
        <is>
          <t>share_repurchase.share_repurchase_to_revenue.2026-02-01</t>
        </is>
      </c>
      <c r="F314" t="inlineStr">
        <is>
          <t>share_repurchase</t>
        </is>
      </c>
      <c r="G314" t="inlineStr">
        <is>
          <t>ALT DuPont</t>
        </is>
      </c>
      <c r="H314" t="inlineStr">
        <is>
          <t>E96</t>
        </is>
      </c>
      <c r="I314">
        <f>IF('Condensed Financials'!E34=0,NA(),E95/'Condensed Financials'!E34)</f>
        <v/>
      </c>
      <c r="J314" t="n">
        <v>0.106132707654063</v>
      </c>
      <c r="K314" t="n">
        <v>0.01</v>
      </c>
      <c r="L314" t="inlineStr">
        <is>
          <t>share_repurchase_outflow__20260201,revenue_link__20260201</t>
        </is>
      </c>
      <c r="M31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4" t="inlineStr">
        <is>
          <t>pending</t>
        </is>
      </c>
      <c r="P314" t="inlineStr">
        <is>
          <t>share_repurchase_to_revenue</t>
        </is>
      </c>
      <c r="Q314" t="n">
        <v>133</v>
      </c>
      <c r="R314" t="n">
        <v>3</v>
      </c>
      <c r="S314" t="inlineStr">
        <is>
          <t>2026-02-01</t>
        </is>
      </c>
    </row>
    <row r="315">
      <c r="A315" t="inlineStr">
        <is>
          <t>cash_after_ppe_capex_acquisitions_and_repurchases__20230129</t>
        </is>
      </c>
      <c r="B315" t="n">
        <v>314</v>
      </c>
      <c r="C315" t="inlineStr">
        <is>
          <t>Operating cash after PP&amp;E capex, acquisitions and repurchases</t>
        </is>
      </c>
      <c r="D315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5" t="inlineStr">
        <is>
          <t>share_repurchase.cash_after_ppe_capex_acquisitions_and_repurchases.2023-01-29</t>
        </is>
      </c>
      <c r="F315" t="inlineStr">
        <is>
          <t>share_repurchase</t>
        </is>
      </c>
      <c r="G315" t="inlineStr">
        <is>
          <t>ALT DuPont</t>
        </is>
      </c>
      <c r="H315" t="inlineStr">
        <is>
          <t>B99</t>
        </is>
      </c>
      <c r="I315">
        <f>B81-B77-B87-B95</f>
        <v/>
      </c>
      <c r="J315" t="n">
        <v>-116195</v>
      </c>
      <c r="K315" t="n">
        <v>0.01</v>
      </c>
      <c r="L315" t="inlineStr">
        <is>
          <t>ppe_capex__20230129,acquisition_cash_outflow__20230129,share_repurchase_outflow__20230129</t>
        </is>
      </c>
      <c r="M315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5" t="inlineStr">
        <is>
          <t>pending</t>
        </is>
      </c>
      <c r="P315" t="inlineStr">
        <is>
          <t>cash_after_ppe_capex_acquisitions_and_repurchases</t>
        </is>
      </c>
      <c r="Q315" t="n">
        <v>134</v>
      </c>
      <c r="R315" t="n">
        <v>0</v>
      </c>
      <c r="S315" t="inlineStr">
        <is>
          <t>2023-01-29</t>
        </is>
      </c>
    </row>
    <row r="316">
      <c r="A316" t="inlineStr">
        <is>
          <t>cash_after_ppe_capex_acquisitions_and_repurchases__20240128</t>
        </is>
      </c>
      <c r="B316" t="n">
        <v>315</v>
      </c>
      <c r="C316" t="inlineStr">
        <is>
          <t>Operating cash after PP&amp;E capex, acquisitions and repurchases</t>
        </is>
      </c>
      <c r="D316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6" t="inlineStr">
        <is>
          <t>share_repurchase.cash_after_ppe_capex_acquisitions_and_repurchases.2024-01-28</t>
        </is>
      </c>
      <c r="F316" t="inlineStr">
        <is>
          <t>share_repurchase</t>
        </is>
      </c>
      <c r="G316" t="inlineStr">
        <is>
          <t>ALT DuPont</t>
        </is>
      </c>
      <c r="H316" t="inlineStr">
        <is>
          <t>C99</t>
        </is>
      </c>
      <c r="I316">
        <f>C81-C77-C87-C95</f>
        <v/>
      </c>
      <c r="J316" t="n">
        <v>1085647</v>
      </c>
      <c r="K316" t="n">
        <v>0.01</v>
      </c>
      <c r="L316" t="inlineStr">
        <is>
          <t>ppe_capex__20240128,acquisition_cash_outflow__20240128,share_repurchase_outflow__20240128</t>
        </is>
      </c>
      <c r="M316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6" t="inlineStr">
        <is>
          <t>pending</t>
        </is>
      </c>
      <c r="P316" t="inlineStr">
        <is>
          <t>cash_after_ppe_capex_acquisitions_and_repurchases</t>
        </is>
      </c>
      <c r="Q316" t="n">
        <v>134</v>
      </c>
      <c r="R316" t="n">
        <v>1</v>
      </c>
      <c r="S316" t="inlineStr">
        <is>
          <t>2024-01-28</t>
        </is>
      </c>
    </row>
    <row r="317">
      <c r="A317" t="inlineStr">
        <is>
          <t>cash_after_ppe_capex_acquisitions_and_repurchases__20250202</t>
        </is>
      </c>
      <c r="B317" t="n">
        <v>316</v>
      </c>
      <c r="C317" t="inlineStr">
        <is>
          <t>Operating cash after PP&amp;E capex, acquisitions and repurchases</t>
        </is>
      </c>
      <c r="D31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7" t="inlineStr">
        <is>
          <t>share_repurchase.cash_after_ppe_capex_acquisitions_and_repurchases.2025-02-02</t>
        </is>
      </c>
      <c r="F317" t="inlineStr">
        <is>
          <t>share_repurchase</t>
        </is>
      </c>
      <c r="G317" t="inlineStr">
        <is>
          <t>ALT DuPont</t>
        </is>
      </c>
      <c r="H317" t="inlineStr">
        <is>
          <t>D99</t>
        </is>
      </c>
      <c r="I317">
        <f>D81-D77-D87-D95</f>
        <v/>
      </c>
      <c r="J317" t="n">
        <v>-207544</v>
      </c>
      <c r="K317" t="n">
        <v>0.01</v>
      </c>
      <c r="L317" t="inlineStr">
        <is>
          <t>ppe_capex__20250202,acquisition_cash_outflow__20250202,share_repurchase_outflow__20250202</t>
        </is>
      </c>
      <c r="M31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7" t="inlineStr">
        <is>
          <t>pending</t>
        </is>
      </c>
      <c r="P317" t="inlineStr">
        <is>
          <t>cash_after_ppe_capex_acquisitions_and_repurchases</t>
        </is>
      </c>
      <c r="Q317" t="n">
        <v>134</v>
      </c>
      <c r="R317" t="n">
        <v>2</v>
      </c>
      <c r="S317" t="inlineStr">
        <is>
          <t>2025-02-02</t>
        </is>
      </c>
    </row>
    <row r="318">
      <c r="A318" t="inlineStr">
        <is>
          <t>cash_after_ppe_capex_acquisitions_and_repurchases__20260201</t>
        </is>
      </c>
      <c r="B318" t="n">
        <v>317</v>
      </c>
      <c r="C318" t="inlineStr">
        <is>
          <t>Operating cash after PP&amp;E capex, acquisitions and repurchases</t>
        </is>
      </c>
      <c r="D31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8" t="inlineStr">
        <is>
          <t>share_repurchase.cash_after_ppe_capex_acquisitions_and_repurchases.2026-02-01</t>
        </is>
      </c>
      <c r="F318" t="inlineStr">
        <is>
          <t>share_repurchase</t>
        </is>
      </c>
      <c r="G318" t="inlineStr">
        <is>
          <t>ALT DuPont</t>
        </is>
      </c>
      <c r="H318" t="inlineStr">
        <is>
          <t>E99</t>
        </is>
      </c>
      <c r="I318">
        <f>E81-E77-E87-E95</f>
        <v/>
      </c>
      <c r="J318" t="n">
        <v>-256674</v>
      </c>
      <c r="K318" t="n">
        <v>0.01</v>
      </c>
      <c r="L318" t="inlineStr">
        <is>
          <t>ppe_capex__20260201,acquisition_cash_outflow__20260201,share_repurchase_outflow__20260201</t>
        </is>
      </c>
      <c r="M31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8" t="inlineStr">
        <is>
          <t>pending</t>
        </is>
      </c>
      <c r="P318" t="inlineStr">
        <is>
          <t>cash_after_ppe_capex_acquisitions_and_repurchases</t>
        </is>
      </c>
      <c r="Q318" t="n">
        <v>134</v>
      </c>
      <c r="R318" t="n">
        <v>3</v>
      </c>
      <c r="S318" t="inlineStr">
        <is>
          <t>2026-02-01</t>
        </is>
      </c>
    </row>
    <row r="319">
      <c r="A319" t="inlineStr">
        <is>
          <t>cash_movement_from_flows__20230129</t>
        </is>
      </c>
      <c r="B319" t="n">
        <v>318</v>
      </c>
      <c r="C319" t="inlineStr">
        <is>
          <t>Cash movement from flows</t>
        </is>
      </c>
      <c r="D319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19" t="inlineStr">
        <is>
          <t>cash_rollforward.cash_movement_from_flows.2023-01-29</t>
        </is>
      </c>
      <c r="F319" t="inlineStr">
        <is>
          <t>cash_rollforward</t>
        </is>
      </c>
      <c r="G319" t="inlineStr">
        <is>
          <t>ALT DuPont</t>
        </is>
      </c>
      <c r="H319" t="inlineStr">
        <is>
          <t>B106</t>
        </is>
      </c>
      <c r="I319">
        <f>B102+B103+B104+B105</f>
        <v/>
      </c>
      <c r="J319" t="n">
        <v>-105004</v>
      </c>
      <c r="K319" t="n">
        <v>0.01</v>
      </c>
      <c r="M319" t="inlineStr">
        <is>
          <t>Cash movement from flows = reported CFO + CFI + CFF + FX.|Use signed statement-unit totals, including FX.|Do not substitute balance-sheet cash, insert a balancing plug, or infer debt funding.</t>
        </is>
      </c>
      <c r="O319" t="inlineStr">
        <is>
          <t>pending</t>
        </is>
      </c>
      <c r="P319" t="inlineStr">
        <is>
          <t>cash_movement_from_flows</t>
        </is>
      </c>
      <c r="Q319" t="n">
        <v>135</v>
      </c>
      <c r="R319" t="n">
        <v>0</v>
      </c>
      <c r="S319" t="inlineStr">
        <is>
          <t>2023-01-29</t>
        </is>
      </c>
    </row>
    <row r="320">
      <c r="A320" t="inlineStr">
        <is>
          <t>cash_movement_from_flows__20240128</t>
        </is>
      </c>
      <c r="B320" t="n">
        <v>319</v>
      </c>
      <c r="C320" t="inlineStr">
        <is>
          <t>Cash movement from flows</t>
        </is>
      </c>
      <c r="D320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0" t="inlineStr">
        <is>
          <t>cash_rollforward.cash_movement_from_flows.2024-01-28</t>
        </is>
      </c>
      <c r="F320" t="inlineStr">
        <is>
          <t>cash_rollforward</t>
        </is>
      </c>
      <c r="G320" t="inlineStr">
        <is>
          <t>ALT DuPont</t>
        </is>
      </c>
      <c r="H320" t="inlineStr">
        <is>
          <t>C106</t>
        </is>
      </c>
      <c r="I320">
        <f>C102+C103+C104+C105</f>
        <v/>
      </c>
      <c r="J320" t="n">
        <v>1089104</v>
      </c>
      <c r="K320" t="n">
        <v>0.01</v>
      </c>
      <c r="M320" t="inlineStr">
        <is>
          <t>Cash movement from flows = reported CFO + CFI + CFF + FX.|Use signed statement-unit totals, including FX.|Do not substitute balance-sheet cash, insert a balancing plug, or infer debt funding.</t>
        </is>
      </c>
      <c r="O320" t="inlineStr">
        <is>
          <t>pending</t>
        </is>
      </c>
      <c r="P320" t="inlineStr">
        <is>
          <t>cash_movement_from_flows</t>
        </is>
      </c>
      <c r="Q320" t="n">
        <v>135</v>
      </c>
      <c r="R320" t="n">
        <v>1</v>
      </c>
      <c r="S320" t="inlineStr">
        <is>
          <t>2024-01-28</t>
        </is>
      </c>
    </row>
    <row r="321">
      <c r="A321" t="inlineStr">
        <is>
          <t>cash_movement_from_flows__20250202</t>
        </is>
      </c>
      <c r="B321" t="n">
        <v>320</v>
      </c>
      <c r="C321" t="inlineStr">
        <is>
          <t>Cash movement from flows</t>
        </is>
      </c>
      <c r="D321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1" t="inlineStr">
        <is>
          <t>cash_rollforward.cash_movement_from_flows.2025-02-02</t>
        </is>
      </c>
      <c r="F321" t="inlineStr">
        <is>
          <t>cash_rollforward</t>
        </is>
      </c>
      <c r="G321" t="inlineStr">
        <is>
          <t>ALT DuPont</t>
        </is>
      </c>
      <c r="H321" t="inlineStr">
        <is>
          <t>D106</t>
        </is>
      </c>
      <c r="I321">
        <f>D102+D103+D104+D105</f>
        <v/>
      </c>
      <c r="J321" t="n">
        <v>-259635</v>
      </c>
      <c r="K321" t="n">
        <v>0.01</v>
      </c>
      <c r="M321" t="inlineStr">
        <is>
          <t>Cash movement from flows = reported CFO + CFI + CFF + FX.|Use signed statement-unit totals, including FX.|Do not substitute balance-sheet cash, insert a balancing plug, or infer debt funding.</t>
        </is>
      </c>
      <c r="O321" t="inlineStr">
        <is>
          <t>pending</t>
        </is>
      </c>
      <c r="P321" t="inlineStr">
        <is>
          <t>cash_movement_from_flows</t>
        </is>
      </c>
      <c r="Q321" t="n">
        <v>135</v>
      </c>
      <c r="R321" t="n">
        <v>2</v>
      </c>
      <c r="S321" t="inlineStr">
        <is>
          <t>2025-02-02</t>
        </is>
      </c>
    </row>
    <row r="322">
      <c r="A322" t="inlineStr">
        <is>
          <t>cash_movement_from_flows__20260201</t>
        </is>
      </c>
      <c r="B322" t="n">
        <v>321</v>
      </c>
      <c r="C322" t="inlineStr">
        <is>
          <t>Cash movement from flows</t>
        </is>
      </c>
      <c r="D322" t="inlineStr">
        <is>
          <t>CFO + CFI + CFF + FX using reported signed cash-flow totals in statement units, including the FX effect. Keep reported signs; do not reverse flows, omit FX, substitute balance-sheet cash, insert a balancing plug, or infer debt funding.</t>
        </is>
      </c>
      <c r="E322" t="inlineStr">
        <is>
          <t>cash_rollforward.cash_movement_from_flows.2026-02-01</t>
        </is>
      </c>
      <c r="F322" t="inlineStr">
        <is>
          <t>cash_rollforward</t>
        </is>
      </c>
      <c r="G322" t="inlineStr">
        <is>
          <t>ALT DuPont</t>
        </is>
      </c>
      <c r="H322" t="inlineStr">
        <is>
          <t>E106</t>
        </is>
      </c>
      <c r="I322">
        <f>E102+E103+E104+E105</f>
        <v/>
      </c>
      <c r="J322" t="n">
        <v>-177134</v>
      </c>
      <c r="K322" t="n">
        <v>0.01</v>
      </c>
      <c r="M322" t="inlineStr">
        <is>
          <t>Cash movement from flows = reported CFO + CFI + CFF + FX.|Use signed statement-unit totals, including FX.|Do not substitute balance-sheet cash, insert a balancing plug, or infer debt funding.</t>
        </is>
      </c>
      <c r="O322" t="inlineStr">
        <is>
          <t>pending</t>
        </is>
      </c>
      <c r="P322" t="inlineStr">
        <is>
          <t>cash_movement_from_flows</t>
        </is>
      </c>
      <c r="Q322" t="n">
        <v>135</v>
      </c>
      <c r="R322" t="n">
        <v>3</v>
      </c>
      <c r="S322" t="inlineStr">
        <is>
          <t>2026-02-01</t>
        </is>
      </c>
    </row>
    <row r="323">
      <c r="A323" t="inlineStr">
        <is>
          <t>cash_movement_difference__20230129</t>
        </is>
      </c>
      <c r="B323" t="n">
        <v>322</v>
      </c>
      <c r="C323" t="inlineStr">
        <is>
          <t>Cash movement difference</t>
        </is>
      </c>
      <c r="D323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3" t="inlineStr">
        <is>
          <t>cash_rollforward.cash_movement_difference.2023-01-29</t>
        </is>
      </c>
      <c r="F323" t="inlineStr">
        <is>
          <t>cash_rollforward</t>
        </is>
      </c>
      <c r="G323" t="inlineStr">
        <is>
          <t>ALT DuPont</t>
        </is>
      </c>
      <c r="H323" t="inlineStr">
        <is>
          <t>B108</t>
        </is>
      </c>
      <c r="I323">
        <f>B106-B107</f>
        <v/>
      </c>
      <c r="J323" t="n">
        <v>0</v>
      </c>
      <c r="K323" t="n">
        <v>0.01</v>
      </c>
      <c r="L323" t="inlineStr">
        <is>
          <t>cash_movement_from_flows__20230129</t>
        </is>
      </c>
      <c r="M323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3" t="inlineStr">
        <is>
          <t>pending</t>
        </is>
      </c>
      <c r="P323" t="inlineStr">
        <is>
          <t>cash_movement_difference</t>
        </is>
      </c>
      <c r="Q323" t="n">
        <v>136</v>
      </c>
      <c r="R323" t="n">
        <v>0</v>
      </c>
      <c r="S323" t="inlineStr">
        <is>
          <t>2023-01-29</t>
        </is>
      </c>
    </row>
    <row r="324">
      <c r="A324" t="inlineStr">
        <is>
          <t>cash_movement_difference__20240128</t>
        </is>
      </c>
      <c r="B324" t="n">
        <v>323</v>
      </c>
      <c r="C324" t="inlineStr">
        <is>
          <t>Cash movement difference</t>
        </is>
      </c>
      <c r="D324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4" t="inlineStr">
        <is>
          <t>cash_rollforward.cash_movement_difference.2024-01-28</t>
        </is>
      </c>
      <c r="F324" t="inlineStr">
        <is>
          <t>cash_rollforward</t>
        </is>
      </c>
      <c r="G324" t="inlineStr">
        <is>
          <t>ALT DuPont</t>
        </is>
      </c>
      <c r="H324" t="inlineStr">
        <is>
          <t>C108</t>
        </is>
      </c>
      <c r="I324">
        <f>C106-C107</f>
        <v/>
      </c>
      <c r="J324" t="n">
        <v>0</v>
      </c>
      <c r="K324" t="n">
        <v>0.01</v>
      </c>
      <c r="L324" t="inlineStr">
        <is>
          <t>cash_movement_from_flows__20240128</t>
        </is>
      </c>
      <c r="M324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4" t="inlineStr">
        <is>
          <t>pending</t>
        </is>
      </c>
      <c r="P324" t="inlineStr">
        <is>
          <t>cash_movement_difference</t>
        </is>
      </c>
      <c r="Q324" t="n">
        <v>136</v>
      </c>
      <c r="R324" t="n">
        <v>1</v>
      </c>
      <c r="S324" t="inlineStr">
        <is>
          <t>2024-01-28</t>
        </is>
      </c>
    </row>
    <row r="325">
      <c r="A325" t="inlineStr">
        <is>
          <t>cash_movement_difference__20250202</t>
        </is>
      </c>
      <c r="B325" t="n">
        <v>324</v>
      </c>
      <c r="C325" t="inlineStr">
        <is>
          <t>Cash movement difference</t>
        </is>
      </c>
      <c r="D325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5" t="inlineStr">
        <is>
          <t>cash_rollforward.cash_movement_difference.2025-02-02</t>
        </is>
      </c>
      <c r="F325" t="inlineStr">
        <is>
          <t>cash_rollforward</t>
        </is>
      </c>
      <c r="G325" t="inlineStr">
        <is>
          <t>ALT DuPont</t>
        </is>
      </c>
      <c r="H325" t="inlineStr">
        <is>
          <t>D108</t>
        </is>
      </c>
      <c r="I325">
        <f>D106-D107</f>
        <v/>
      </c>
      <c r="J325" t="n">
        <v>0</v>
      </c>
      <c r="K325" t="n">
        <v>0.01</v>
      </c>
      <c r="L325" t="inlineStr">
        <is>
          <t>cash_movement_from_flows__20250202</t>
        </is>
      </c>
      <c r="M325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5" t="inlineStr">
        <is>
          <t>pending</t>
        </is>
      </c>
      <c r="P325" t="inlineStr">
        <is>
          <t>cash_movement_difference</t>
        </is>
      </c>
      <c r="Q325" t="n">
        <v>136</v>
      </c>
      <c r="R325" t="n">
        <v>2</v>
      </c>
      <c r="S325" t="inlineStr">
        <is>
          <t>2025-02-02</t>
        </is>
      </c>
    </row>
    <row r="326">
      <c r="A326" t="inlineStr">
        <is>
          <t>cash_movement_difference__20260201</t>
        </is>
      </c>
      <c r="B326" t="n">
        <v>325</v>
      </c>
      <c r="C326" t="inlineStr">
        <is>
          <t>Cash movement difference</t>
        </is>
      </c>
      <c r="D326" t="inlineStr">
        <is>
          <t>Calculated cash movement from flows minus reported cash change, in statement units. A nonzero difference is a reported reconciliation gap; do not insert a balancing plug, assert a cause, substitute balance-sheet cash, or infer debt funding.</t>
        </is>
      </c>
      <c r="E326" t="inlineStr">
        <is>
          <t>cash_rollforward.cash_movement_difference.2026-02-01</t>
        </is>
      </c>
      <c r="F326" t="inlineStr">
        <is>
          <t>cash_rollforward</t>
        </is>
      </c>
      <c r="G326" t="inlineStr">
        <is>
          <t>ALT DuPont</t>
        </is>
      </c>
      <c r="H326" t="inlineStr">
        <is>
          <t>E108</t>
        </is>
      </c>
      <c r="I326">
        <f>E106-E107</f>
        <v/>
      </c>
      <c r="J326" t="n">
        <v>0</v>
      </c>
      <c r="K326" t="n">
        <v>0.01</v>
      </c>
      <c r="L326" t="inlineStr">
        <is>
          <t>cash_movement_from_flows__20260201</t>
        </is>
      </c>
      <c r="M326" t="inlineStr">
        <is>
          <t>Cash movement difference = cash movement from flows − reported cash change.|Preserve nonzero calculated-minus-reported gaps in statement units.|Do not insert a balancing plug, assert a cause, substitute balance-sheet cash, or infer debt funding.</t>
        </is>
      </c>
      <c r="O326" t="inlineStr">
        <is>
          <t>pending</t>
        </is>
      </c>
      <c r="P326" t="inlineStr">
        <is>
          <t>cash_movement_difference</t>
        </is>
      </c>
      <c r="Q326" t="n">
        <v>136</v>
      </c>
      <c r="R326" t="n">
        <v>3</v>
      </c>
      <c r="S326" t="inlineStr">
        <is>
          <t>2026-02-01</t>
        </is>
      </c>
    </row>
    <row r="327">
      <c r="A327" t="inlineStr">
        <is>
          <t>cash_ending_from_flows__20230129</t>
        </is>
      </c>
      <c r="B327" t="n">
        <v>326</v>
      </c>
      <c r="C327" t="inlineStr">
        <is>
          <t>Cash ending from flows</t>
        </is>
      </c>
      <c r="D327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7" t="inlineStr">
        <is>
          <t>cash_rollforward.cash_ending_from_flows.2023-01-29</t>
        </is>
      </c>
      <c r="F327" t="inlineStr">
        <is>
          <t>cash_rollforward</t>
        </is>
      </c>
      <c r="G327" t="inlineStr">
        <is>
          <t>ALT DuPont</t>
        </is>
      </c>
      <c r="H327" t="inlineStr">
        <is>
          <t>B110</t>
        </is>
      </c>
      <c r="I327">
        <f>B109+B106</f>
        <v/>
      </c>
      <c r="J327" t="n">
        <v>1154867</v>
      </c>
      <c r="K327" t="n">
        <v>0.01</v>
      </c>
      <c r="L327" t="inlineStr">
        <is>
          <t>cash_movement_from_flows__20230129</t>
        </is>
      </c>
      <c r="M327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7" t="inlineStr">
        <is>
          <t>pending</t>
        </is>
      </c>
      <c r="P327" t="inlineStr">
        <is>
          <t>cash_ending_from_flows</t>
        </is>
      </c>
      <c r="Q327" t="n">
        <v>137</v>
      </c>
      <c r="R327" t="n">
        <v>0</v>
      </c>
      <c r="S327" t="inlineStr">
        <is>
          <t>2023-01-29</t>
        </is>
      </c>
    </row>
    <row r="328">
      <c r="A328" t="inlineStr">
        <is>
          <t>cash_ending_from_flows__20240128</t>
        </is>
      </c>
      <c r="B328" t="n">
        <v>327</v>
      </c>
      <c r="C328" t="inlineStr">
        <is>
          <t>Cash ending from flows</t>
        </is>
      </c>
      <c r="D328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8" t="inlineStr">
        <is>
          <t>cash_rollforward.cash_ending_from_flows.2024-01-28</t>
        </is>
      </c>
      <c r="F328" t="inlineStr">
        <is>
          <t>cash_rollforward</t>
        </is>
      </c>
      <c r="G328" t="inlineStr">
        <is>
          <t>ALT DuPont</t>
        </is>
      </c>
      <c r="H328" t="inlineStr">
        <is>
          <t>C110</t>
        </is>
      </c>
      <c r="I328">
        <f>C109+C106</f>
        <v/>
      </c>
      <c r="J328" t="n">
        <v>2243971</v>
      </c>
      <c r="K328" t="n">
        <v>0.01</v>
      </c>
      <c r="L328" t="inlineStr">
        <is>
          <t>cash_movement_from_flows__20240128</t>
        </is>
      </c>
      <c r="M328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8" t="inlineStr">
        <is>
          <t>pending</t>
        </is>
      </c>
      <c r="P328" t="inlineStr">
        <is>
          <t>cash_ending_from_flows</t>
        </is>
      </c>
      <c r="Q328" t="n">
        <v>137</v>
      </c>
      <c r="R328" t="n">
        <v>1</v>
      </c>
      <c r="S328" t="inlineStr">
        <is>
          <t>2024-01-28</t>
        </is>
      </c>
    </row>
    <row r="329">
      <c r="A329" t="inlineStr">
        <is>
          <t>cash_ending_from_flows__20250202</t>
        </is>
      </c>
      <c r="B329" t="n">
        <v>328</v>
      </c>
      <c r="C329" t="inlineStr">
        <is>
          <t>Cash ending from flows</t>
        </is>
      </c>
      <c r="D329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29" t="inlineStr">
        <is>
          <t>cash_rollforward.cash_ending_from_flows.2025-02-02</t>
        </is>
      </c>
      <c r="F329" t="inlineStr">
        <is>
          <t>cash_rollforward</t>
        </is>
      </c>
      <c r="G329" t="inlineStr">
        <is>
          <t>ALT DuPont</t>
        </is>
      </c>
      <c r="H329" t="inlineStr">
        <is>
          <t>D110</t>
        </is>
      </c>
      <c r="I329">
        <f>D109+D106</f>
        <v/>
      </c>
      <c r="J329" t="n">
        <v>1984336</v>
      </c>
      <c r="K329" t="n">
        <v>0.01</v>
      </c>
      <c r="L329" t="inlineStr">
        <is>
          <t>cash_movement_from_flows__20250202</t>
        </is>
      </c>
      <c r="M329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29" t="inlineStr">
        <is>
          <t>pending</t>
        </is>
      </c>
      <c r="P329" t="inlineStr">
        <is>
          <t>cash_ending_from_flows</t>
        </is>
      </c>
      <c r="Q329" t="n">
        <v>137</v>
      </c>
      <c r="R329" t="n">
        <v>2</v>
      </c>
      <c r="S329" t="inlineStr">
        <is>
          <t>2025-02-02</t>
        </is>
      </c>
    </row>
    <row r="330">
      <c r="A330" t="inlineStr">
        <is>
          <t>cash_ending_from_flows__20260201</t>
        </is>
      </c>
      <c r="B330" t="n">
        <v>329</v>
      </c>
      <c r="C330" t="inlineStr">
        <is>
          <t>Cash ending from flows</t>
        </is>
      </c>
      <c r="D330" t="inlineStr">
        <is>
          <t>Reported cash beginning plus cash movement from flows (CFO + CFI + CFF + FX), in statement units. Keep signed flows and FX as reported; do not substitute balance-sheet cash, insert a balancing plug, or infer debt funding.</t>
        </is>
      </c>
      <c r="E330" t="inlineStr">
        <is>
          <t>cash_rollforward.cash_ending_from_flows.2026-02-01</t>
        </is>
      </c>
      <c r="F330" t="inlineStr">
        <is>
          <t>cash_rollforward</t>
        </is>
      </c>
      <c r="G330" t="inlineStr">
        <is>
          <t>ALT DuPont</t>
        </is>
      </c>
      <c r="H330" t="inlineStr">
        <is>
          <t>E110</t>
        </is>
      </c>
      <c r="I330">
        <f>E109+E106</f>
        <v/>
      </c>
      <c r="J330" t="n">
        <v>1807202</v>
      </c>
      <c r="K330" t="n">
        <v>0.01</v>
      </c>
      <c r="L330" t="inlineStr">
        <is>
          <t>cash_movement_from_flows__20260201</t>
        </is>
      </c>
      <c r="M330" t="inlineStr">
        <is>
          <t>Cash ending from flows = reported cash beginning + cash movement from flows.|Movement includes signed CFO, CFI, CFF, and FX in statement units.|Do not substitute balance-sheet cash, insert a balancing plug, or infer debt funding.</t>
        </is>
      </c>
      <c r="O330" t="inlineStr">
        <is>
          <t>pending</t>
        </is>
      </c>
      <c r="P330" t="inlineStr">
        <is>
          <t>cash_ending_from_flows</t>
        </is>
      </c>
      <c r="Q330" t="n">
        <v>137</v>
      </c>
      <c r="R330" t="n">
        <v>3</v>
      </c>
      <c r="S330" t="inlineStr">
        <is>
          <t>2026-02-01</t>
        </is>
      </c>
    </row>
    <row r="331">
      <c r="A331" t="inlineStr">
        <is>
          <t>cash_ending_difference__20230129</t>
        </is>
      </c>
      <c r="B331" t="n">
        <v>330</v>
      </c>
      <c r="C331" t="inlineStr">
        <is>
          <t>Cash ending difference</t>
        </is>
      </c>
      <c r="D331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1" t="inlineStr">
        <is>
          <t>cash_rollforward.cash_ending_difference.2023-01-29</t>
        </is>
      </c>
      <c r="F331" t="inlineStr">
        <is>
          <t>cash_rollforward</t>
        </is>
      </c>
      <c r="G331" t="inlineStr">
        <is>
          <t>ALT DuPont</t>
        </is>
      </c>
      <c r="H331" t="inlineStr">
        <is>
          <t>B112</t>
        </is>
      </c>
      <c r="I331">
        <f>B110-B111</f>
        <v/>
      </c>
      <c r="J331" t="n">
        <v>0</v>
      </c>
      <c r="K331" t="n">
        <v>0.01</v>
      </c>
      <c r="L331" t="inlineStr">
        <is>
          <t>cash_ending_from_flows__20230129</t>
        </is>
      </c>
      <c r="M331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1" t="inlineStr">
        <is>
          <t>pending</t>
        </is>
      </c>
      <c r="P331" t="inlineStr">
        <is>
          <t>cash_ending_difference</t>
        </is>
      </c>
      <c r="Q331" t="n">
        <v>138</v>
      </c>
      <c r="R331" t="n">
        <v>0</v>
      </c>
      <c r="S331" t="inlineStr">
        <is>
          <t>2023-01-29</t>
        </is>
      </c>
    </row>
    <row r="332">
      <c r="A332" t="inlineStr">
        <is>
          <t>cash_ending_difference__20240128</t>
        </is>
      </c>
      <c r="B332" t="n">
        <v>331</v>
      </c>
      <c r="C332" t="inlineStr">
        <is>
          <t>Cash ending difference</t>
        </is>
      </c>
      <c r="D332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2" t="inlineStr">
        <is>
          <t>cash_rollforward.cash_ending_difference.2024-01-28</t>
        </is>
      </c>
      <c r="F332" t="inlineStr">
        <is>
          <t>cash_rollforward</t>
        </is>
      </c>
      <c r="G332" t="inlineStr">
        <is>
          <t>ALT DuPont</t>
        </is>
      </c>
      <c r="H332" t="inlineStr">
        <is>
          <t>C112</t>
        </is>
      </c>
      <c r="I332">
        <f>C110-C111</f>
        <v/>
      </c>
      <c r="J332" t="n">
        <v>0</v>
      </c>
      <c r="K332" t="n">
        <v>0.01</v>
      </c>
      <c r="L332" t="inlineStr">
        <is>
          <t>cash_ending_from_flows__20240128</t>
        </is>
      </c>
      <c r="M332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2" t="inlineStr">
        <is>
          <t>pending</t>
        </is>
      </c>
      <c r="P332" t="inlineStr">
        <is>
          <t>cash_ending_difference</t>
        </is>
      </c>
      <c r="Q332" t="n">
        <v>138</v>
      </c>
      <c r="R332" t="n">
        <v>1</v>
      </c>
      <c r="S332" t="inlineStr">
        <is>
          <t>2024-01-28</t>
        </is>
      </c>
    </row>
    <row r="333">
      <c r="A333" t="inlineStr">
        <is>
          <t>cash_ending_difference__20250202</t>
        </is>
      </c>
      <c r="B333" t="n">
        <v>332</v>
      </c>
      <c r="C333" t="inlineStr">
        <is>
          <t>Cash ending difference</t>
        </is>
      </c>
      <c r="D333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3" t="inlineStr">
        <is>
          <t>cash_rollforward.cash_ending_difference.2025-02-02</t>
        </is>
      </c>
      <c r="F333" t="inlineStr">
        <is>
          <t>cash_rollforward</t>
        </is>
      </c>
      <c r="G333" t="inlineStr">
        <is>
          <t>ALT DuPont</t>
        </is>
      </c>
      <c r="H333" t="inlineStr">
        <is>
          <t>D112</t>
        </is>
      </c>
      <c r="I333">
        <f>D110-D111</f>
        <v/>
      </c>
      <c r="J333" t="n">
        <v>0</v>
      </c>
      <c r="K333" t="n">
        <v>0.01</v>
      </c>
      <c r="L333" t="inlineStr">
        <is>
          <t>cash_ending_from_flows__20250202</t>
        </is>
      </c>
      <c r="M333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3" t="inlineStr">
        <is>
          <t>pending</t>
        </is>
      </c>
      <c r="P333" t="inlineStr">
        <is>
          <t>cash_ending_difference</t>
        </is>
      </c>
      <c r="Q333" t="n">
        <v>138</v>
      </c>
      <c r="R333" t="n">
        <v>2</v>
      </c>
      <c r="S333" t="inlineStr">
        <is>
          <t>2025-02-02</t>
        </is>
      </c>
    </row>
    <row r="334">
      <c r="A334" t="inlineStr">
        <is>
          <t>cash_ending_difference__20260201</t>
        </is>
      </c>
      <c r="B334" t="n">
        <v>333</v>
      </c>
      <c r="C334" t="inlineStr">
        <is>
          <t>Cash ending difference</t>
        </is>
      </c>
      <c r="D334" t="inlineStr">
        <is>
          <t>Cash ending from flows minus reported cash ending, in statement units. A nonzero difference is a reported reconciliation gap; do not insert a balancing plug, assert a cause, substitute balance-sheet cash, or infer debt funding.</t>
        </is>
      </c>
      <c r="E334" t="inlineStr">
        <is>
          <t>cash_rollforward.cash_ending_difference.2026-02-01</t>
        </is>
      </c>
      <c r="F334" t="inlineStr">
        <is>
          <t>cash_rollforward</t>
        </is>
      </c>
      <c r="G334" t="inlineStr">
        <is>
          <t>ALT DuPont</t>
        </is>
      </c>
      <c r="H334" t="inlineStr">
        <is>
          <t>E112</t>
        </is>
      </c>
      <c r="I334">
        <f>E110-E111</f>
        <v/>
      </c>
      <c r="J334" t="n">
        <v>0</v>
      </c>
      <c r="K334" t="n">
        <v>0.01</v>
      </c>
      <c r="L334" t="inlineStr">
        <is>
          <t>cash_ending_from_flows__20260201</t>
        </is>
      </c>
      <c r="M334" t="inlineStr">
        <is>
          <t>Cash ending difference = cash ending from flows − reported cash ending.|Preserve nonzero calculated-minus-reported gaps in statement units.|Do not insert a balancing plug, assert a cause, substitute balance-sheet cash, or infer debt funding.</t>
        </is>
      </c>
      <c r="O334" t="inlineStr">
        <is>
          <t>pending</t>
        </is>
      </c>
      <c r="P334" t="inlineStr">
        <is>
          <t>cash_ending_difference</t>
        </is>
      </c>
      <c r="Q334" t="n">
        <v>138</v>
      </c>
      <c r="R334" t="n">
        <v>3</v>
      </c>
      <c r="S334" t="inlineStr">
        <is>
          <t>2026-02-01</t>
        </is>
      </c>
    </row>
    <row r="335">
      <c r="A335" t="inlineStr">
        <is>
          <t>gross_margin__20230129</t>
        </is>
      </c>
      <c r="B335" t="n">
        <v>334</v>
      </c>
      <c r="C335" t="inlineStr">
        <is>
          <t>Gross margin</t>
        </is>
      </c>
      <c r="D335" t="inlineStr">
        <is>
          <t>Gross margin = reported gross profit / revenue. Zero revenue is undefined (#N/A). Do not infer price, mix, or cost causes.</t>
        </is>
      </c>
      <c r="E335" t="inlineStr">
        <is>
          <t>reported_margin.gross_margin.2023-01-29</t>
        </is>
      </c>
      <c r="F335" t="inlineStr">
        <is>
          <t>reported_margin</t>
        </is>
      </c>
      <c r="G335" t="inlineStr">
        <is>
          <t>ALT DuPont</t>
        </is>
      </c>
      <c r="H335" t="inlineStr">
        <is>
          <t>B118</t>
        </is>
      </c>
      <c r="I335">
        <f>IF(B115=0,NA(),B116/B115)</f>
        <v/>
      </c>
      <c r="J335" t="n">
        <v>0.5538906392908567</v>
      </c>
      <c r="K335" t="n">
        <v>0.01</v>
      </c>
      <c r="M335" t="inlineStr">
        <is>
          <t>Gross margin = reported gross profit / revenue.|Zero revenue yields the undefined-ratio result.|Do not infer price, mix, or cost causes.</t>
        </is>
      </c>
      <c r="O335" t="inlineStr">
        <is>
          <t>pending</t>
        </is>
      </c>
      <c r="P335" t="inlineStr">
        <is>
          <t>gross_margin</t>
        </is>
      </c>
      <c r="Q335" t="n">
        <v>139</v>
      </c>
      <c r="R335" t="n">
        <v>0</v>
      </c>
      <c r="S335" t="inlineStr">
        <is>
          <t>2023-01-29</t>
        </is>
      </c>
    </row>
    <row r="336">
      <c r="A336" t="inlineStr">
        <is>
          <t>gross_margin__20240128</t>
        </is>
      </c>
      <c r="B336" t="n">
        <v>335</v>
      </c>
      <c r="C336" t="inlineStr">
        <is>
          <t>Gross margin</t>
        </is>
      </c>
      <c r="D336" t="inlineStr">
        <is>
          <t>Gross margin = reported gross profit / revenue. Zero revenue is undefined (#N/A). Do not infer price, mix, or cost causes.</t>
        </is>
      </c>
      <c r="E336" t="inlineStr">
        <is>
          <t>reported_margin.gross_margin.2024-01-28</t>
        </is>
      </c>
      <c r="F336" t="inlineStr">
        <is>
          <t>reported_margin</t>
        </is>
      </c>
      <c r="G336" t="inlineStr">
        <is>
          <t>ALT DuPont</t>
        </is>
      </c>
      <c r="H336" t="inlineStr">
        <is>
          <t>C118</t>
        </is>
      </c>
      <c r="I336">
        <f>IF(C115=0,NA(),C116/C115)</f>
        <v/>
      </c>
      <c r="J336" t="n">
        <v>0.583141998806979</v>
      </c>
      <c r="K336" t="n">
        <v>0.01</v>
      </c>
      <c r="M336" t="inlineStr">
        <is>
          <t>Gross margin = reported gross profit / revenue.|Zero revenue yields the undefined-ratio result.|Do not infer price, mix, or cost causes.</t>
        </is>
      </c>
      <c r="O336" t="inlineStr">
        <is>
          <t>pending</t>
        </is>
      </c>
      <c r="P336" t="inlineStr">
        <is>
          <t>gross_margin</t>
        </is>
      </c>
      <c r="Q336" t="n">
        <v>139</v>
      </c>
      <c r="R336" t="n">
        <v>1</v>
      </c>
      <c r="S336" t="inlineStr">
        <is>
          <t>2024-01-28</t>
        </is>
      </c>
    </row>
    <row r="337">
      <c r="A337" t="inlineStr">
        <is>
          <t>gross_margin__20250202</t>
        </is>
      </c>
      <c r="B337" t="n">
        <v>336</v>
      </c>
      <c r="C337" t="inlineStr">
        <is>
          <t>Gross margin</t>
        </is>
      </c>
      <c r="D337" t="inlineStr">
        <is>
          <t>Gross margin = reported gross profit / revenue. Zero revenue is undefined (#N/A). Do not infer price, mix, or cost causes.</t>
        </is>
      </c>
      <c r="E337" t="inlineStr">
        <is>
          <t>reported_margin.gross_margin.2025-02-02</t>
        </is>
      </c>
      <c r="F337" t="inlineStr">
        <is>
          <t>reported_margin</t>
        </is>
      </c>
      <c r="G337" t="inlineStr">
        <is>
          <t>ALT DuPont</t>
        </is>
      </c>
      <c r="H337" t="inlineStr">
        <is>
          <t>D118</t>
        </is>
      </c>
      <c r="I337">
        <f>IF(D115=0,NA(),D116/D115)</f>
        <v/>
      </c>
      <c r="J337" t="n">
        <v>0.5922493744407651</v>
      </c>
      <c r="K337" t="n">
        <v>0.01</v>
      </c>
      <c r="M337" t="inlineStr">
        <is>
          <t>Gross margin = reported gross profit / revenue.|Zero revenue yields the undefined-ratio result.|Do not infer price, mix, or cost causes.</t>
        </is>
      </c>
      <c r="O337" t="inlineStr">
        <is>
          <t>pending</t>
        </is>
      </c>
      <c r="P337" t="inlineStr">
        <is>
          <t>gross_margin</t>
        </is>
      </c>
      <c r="Q337" t="n">
        <v>139</v>
      </c>
      <c r="R337" t="n">
        <v>2</v>
      </c>
      <c r="S337" t="inlineStr">
        <is>
          <t>2025-02-02</t>
        </is>
      </c>
    </row>
    <row r="338">
      <c r="A338" t="inlineStr">
        <is>
          <t>gross_margin__20260201</t>
        </is>
      </c>
      <c r="B338" t="n">
        <v>337</v>
      </c>
      <c r="C338" t="inlineStr">
        <is>
          <t>Gross margin</t>
        </is>
      </c>
      <c r="D338" t="inlineStr">
        <is>
          <t>Gross margin = reported gross profit / revenue. Zero revenue is undefined (#N/A). Do not infer price, mix, or cost causes.</t>
        </is>
      </c>
      <c r="E338" t="inlineStr">
        <is>
          <t>reported_margin.gross_margin.2026-02-01</t>
        </is>
      </c>
      <c r="F338" t="inlineStr">
        <is>
          <t>reported_margin</t>
        </is>
      </c>
      <c r="G338" t="inlineStr">
        <is>
          <t>ALT DuPont</t>
        </is>
      </c>
      <c r="H338" t="inlineStr">
        <is>
          <t>E118</t>
        </is>
      </c>
      <c r="I338">
        <f>IF(E115=0,NA(),E116/E115)</f>
        <v/>
      </c>
      <c r="J338" t="n">
        <v>0.566005440167168</v>
      </c>
      <c r="K338" t="n">
        <v>0.01</v>
      </c>
      <c r="M338" t="inlineStr">
        <is>
          <t>Gross margin = reported gross profit / revenue.|Zero revenue yields the undefined-ratio result.|Do not infer price, mix, or cost causes.</t>
        </is>
      </c>
      <c r="O338" t="inlineStr">
        <is>
          <t>pending</t>
        </is>
      </c>
      <c r="P338" t="inlineStr">
        <is>
          <t>gross_margin</t>
        </is>
      </c>
      <c r="Q338" t="n">
        <v>139</v>
      </c>
      <c r="R338" t="n">
        <v>3</v>
      </c>
      <c r="S338" t="inlineStr">
        <is>
          <t>2026-02-01</t>
        </is>
      </c>
    </row>
    <row r="339">
      <c r="A339" t="inlineStr">
        <is>
          <t>reported_operating_margin__20230129</t>
        </is>
      </c>
      <c r="B339" t="n">
        <v>338</v>
      </c>
      <c r="C339" t="inlineStr">
        <is>
          <t>Reported operating margin</t>
        </is>
      </c>
      <c r="D339" t="inlineStr">
        <is>
          <t>Reported operating margin = reported operating profit / revenue. Distinct from BAV NOPAT margin; not normalized earnings. Zero revenue is undefined (#N/A).</t>
        </is>
      </c>
      <c r="E339" t="inlineStr">
        <is>
          <t>reported_margin.reported_operating_margin.2023-01-29</t>
        </is>
      </c>
      <c r="F339" t="inlineStr">
        <is>
          <t>reported_margin</t>
        </is>
      </c>
      <c r="G339" t="inlineStr">
        <is>
          <t>ALT DuPont</t>
        </is>
      </c>
      <c r="H339" t="inlineStr">
        <is>
          <t>B119</t>
        </is>
      </c>
      <c r="I339">
        <f>IF(B115=0,NA(),B117/B115)</f>
        <v/>
      </c>
      <c r="J339" t="n">
        <v>0.163788305506504</v>
      </c>
      <c r="K339" t="n">
        <v>0.01</v>
      </c>
      <c r="M339" t="inlineStr">
        <is>
          <t>Reported operating margin = reported operating profit / revenue.|Keep reported operating margin distinct from BAV NOPAT margin.|Do not treat this as normalized earnings.</t>
        </is>
      </c>
      <c r="O339" t="inlineStr">
        <is>
          <t>pending</t>
        </is>
      </c>
      <c r="P339" t="inlineStr">
        <is>
          <t>reported_operating_margin</t>
        </is>
      </c>
      <c r="Q339" t="n">
        <v>140</v>
      </c>
      <c r="R339" t="n">
        <v>0</v>
      </c>
      <c r="S339" t="inlineStr">
        <is>
          <t>2023-01-29</t>
        </is>
      </c>
    </row>
    <row r="340">
      <c r="A340" t="inlineStr">
        <is>
          <t>reported_operating_margin__20240128</t>
        </is>
      </c>
      <c r="B340" t="n">
        <v>339</v>
      </c>
      <c r="C340" t="inlineStr">
        <is>
          <t>Reported operating margin</t>
        </is>
      </c>
      <c r="D340" t="inlineStr">
        <is>
          <t>Reported operating margin = reported operating profit / revenue. Distinct from BAV NOPAT margin; not normalized earnings. Zero revenue is undefined (#N/A).</t>
        </is>
      </c>
      <c r="E340" t="inlineStr">
        <is>
          <t>reported_margin.reported_operating_margin.2024-01-28</t>
        </is>
      </c>
      <c r="F340" t="inlineStr">
        <is>
          <t>reported_margin</t>
        </is>
      </c>
      <c r="G340" t="inlineStr">
        <is>
          <t>ALT DuPont</t>
        </is>
      </c>
      <c r="H340" t="inlineStr">
        <is>
          <t>C119</t>
        </is>
      </c>
      <c r="I340">
        <f>IF(C115=0,NA(),C117/C115)</f>
        <v/>
      </c>
      <c r="J340" t="n">
        <v>0.221708531555071</v>
      </c>
      <c r="K340" t="n">
        <v>0.01</v>
      </c>
      <c r="M340" t="inlineStr">
        <is>
          <t>Reported operating margin = reported operating profit / revenue.|Keep reported operating margin distinct from BAV NOPAT margin.|Do not treat this as normalized earnings.</t>
        </is>
      </c>
      <c r="O340" t="inlineStr">
        <is>
          <t>pending</t>
        </is>
      </c>
      <c r="P340" t="inlineStr">
        <is>
          <t>reported_operating_margin</t>
        </is>
      </c>
      <c r="Q340" t="n">
        <v>140</v>
      </c>
      <c r="R340" t="n">
        <v>1</v>
      </c>
      <c r="S340" t="inlineStr">
        <is>
          <t>2024-01-28</t>
        </is>
      </c>
    </row>
    <row r="341">
      <c r="A341" t="inlineStr">
        <is>
          <t>reported_operating_margin__20250202</t>
        </is>
      </c>
      <c r="B341" t="n">
        <v>340</v>
      </c>
      <c r="C341" t="inlineStr">
        <is>
          <t>Reported operating margin</t>
        </is>
      </c>
      <c r="D341" t="inlineStr">
        <is>
          <t>Reported operating margin = reported operating profit / revenue. Distinct from BAV NOPAT margin; not normalized earnings. Zero revenue is undefined (#N/A).</t>
        </is>
      </c>
      <c r="E341" t="inlineStr">
        <is>
          <t>reported_margin.reported_operating_margin.2025-02-02</t>
        </is>
      </c>
      <c r="F341" t="inlineStr">
        <is>
          <t>reported_margin</t>
        </is>
      </c>
      <c r="G341" t="inlineStr">
        <is>
          <t>ALT DuPont</t>
        </is>
      </c>
      <c r="H341" t="inlineStr">
        <is>
          <t>D119</t>
        </is>
      </c>
      <c r="I341">
        <f>IF(D115=0,NA(),D117/D115)</f>
        <v/>
      </c>
      <c r="J341" t="n">
        <v>0.2366516038815556</v>
      </c>
      <c r="K341" t="n">
        <v>0.01</v>
      </c>
      <c r="M341" t="inlineStr">
        <is>
          <t>Reported operating margin = reported operating profit / revenue.|Keep reported operating margin distinct from BAV NOPAT margin.|Do not treat this as normalized earnings.</t>
        </is>
      </c>
      <c r="O341" t="inlineStr">
        <is>
          <t>pending</t>
        </is>
      </c>
      <c r="P341" t="inlineStr">
        <is>
          <t>reported_operating_margin</t>
        </is>
      </c>
      <c r="Q341" t="n">
        <v>140</v>
      </c>
      <c r="R341" t="n">
        <v>2</v>
      </c>
      <c r="S341" t="inlineStr">
        <is>
          <t>2025-02-02</t>
        </is>
      </c>
    </row>
    <row r="342">
      <c r="A342" t="inlineStr">
        <is>
          <t>reported_operating_margin__20260201</t>
        </is>
      </c>
      <c r="B342" t="n">
        <v>341</v>
      </c>
      <c r="C342" t="inlineStr">
        <is>
          <t>Reported operating margin</t>
        </is>
      </c>
      <c r="D342" t="inlineStr">
        <is>
          <t>Reported operating margin = reported operating profit / revenue. Distinct from BAV NOPAT margin; not normalized earnings. Zero revenue is undefined (#N/A).</t>
        </is>
      </c>
      <c r="E342" t="inlineStr">
        <is>
          <t>reported_margin.reported_operating_margin.2026-02-01</t>
        </is>
      </c>
      <c r="F342" t="inlineStr">
        <is>
          <t>reported_margin</t>
        </is>
      </c>
      <c r="G342" t="inlineStr">
        <is>
          <t>ALT DuPont</t>
        </is>
      </c>
      <c r="H342" t="inlineStr">
        <is>
          <t>E119</t>
        </is>
      </c>
      <c r="I342">
        <f>IF(E115=0,NA(),E117/E115)</f>
        <v/>
      </c>
      <c r="J342" t="n">
        <v>0.1991078666258354</v>
      </c>
      <c r="K342" t="n">
        <v>0.01</v>
      </c>
      <c r="M342" t="inlineStr">
        <is>
          <t>Reported operating margin = reported operating profit / revenue.|Keep reported operating margin distinct from BAV NOPAT margin.|Do not treat this as normalized earnings.</t>
        </is>
      </c>
      <c r="O342" t="inlineStr">
        <is>
          <t>pending</t>
        </is>
      </c>
      <c r="P342" t="inlineStr">
        <is>
          <t>reported_operating_margin</t>
        </is>
      </c>
      <c r="Q342" t="n">
        <v>140</v>
      </c>
      <c r="R342" t="n">
        <v>3</v>
      </c>
      <c r="S342" t="inlineStr">
        <is>
          <t>2026-02-01</t>
        </is>
      </c>
    </row>
    <row r="343">
      <c r="A343" t="inlineStr">
        <is>
          <t>net_operating_expense_burden__20230129</t>
        </is>
      </c>
      <c r="B343" t="n">
        <v>342</v>
      </c>
      <c r="C343" t="inlineStr">
        <is>
          <t>Net operating expense burden</t>
        </is>
      </c>
      <c r="D343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3" t="inlineStr">
        <is>
          <t>reported_margin.net_operating_expense_burden.2023-01-29</t>
        </is>
      </c>
      <c r="F343" t="inlineStr">
        <is>
          <t>reported_margin</t>
        </is>
      </c>
      <c r="G343" t="inlineStr">
        <is>
          <t>ALT DuPont</t>
        </is>
      </c>
      <c r="H343" t="inlineStr">
        <is>
          <t>B120</t>
        </is>
      </c>
      <c r="I343">
        <f>IF(B115=0,NA(),(B116-B117)/B115)</f>
        <v/>
      </c>
      <c r="J343" t="n">
        <v>0.3901023337843526</v>
      </c>
      <c r="K343" t="n">
        <v>0.01</v>
      </c>
      <c r="M343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3" t="inlineStr">
        <is>
          <t>pending</t>
        </is>
      </c>
      <c r="P343" t="inlineStr">
        <is>
          <t>net_operating_expense_burden</t>
        </is>
      </c>
      <c r="Q343" t="n">
        <v>141</v>
      </c>
      <c r="R343" t="n">
        <v>0</v>
      </c>
      <c r="S343" t="inlineStr">
        <is>
          <t>2023-01-29</t>
        </is>
      </c>
    </row>
    <row r="344">
      <c r="A344" t="inlineStr">
        <is>
          <t>net_operating_expense_burden__20240128</t>
        </is>
      </c>
      <c r="B344" t="n">
        <v>343</v>
      </c>
      <c r="C344" t="inlineStr">
        <is>
          <t>Net operating expense burden</t>
        </is>
      </c>
      <c r="D344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4" t="inlineStr">
        <is>
          <t>reported_margin.net_operating_expense_burden.2024-01-28</t>
        </is>
      </c>
      <c r="F344" t="inlineStr">
        <is>
          <t>reported_margin</t>
        </is>
      </c>
      <c r="G344" t="inlineStr">
        <is>
          <t>ALT DuPont</t>
        </is>
      </c>
      <c r="H344" t="inlineStr">
        <is>
          <t>C120</t>
        </is>
      </c>
      <c r="I344">
        <f>IF(C115=0,NA(),(C116-C117)/C115)</f>
        <v/>
      </c>
      <c r="J344" t="n">
        <v>0.3614334672519081</v>
      </c>
      <c r="K344" t="n">
        <v>0.01</v>
      </c>
      <c r="M344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4" t="inlineStr">
        <is>
          <t>pending</t>
        </is>
      </c>
      <c r="P344" t="inlineStr">
        <is>
          <t>net_operating_expense_burden</t>
        </is>
      </c>
      <c r="Q344" t="n">
        <v>141</v>
      </c>
      <c r="R344" t="n">
        <v>1</v>
      </c>
      <c r="S344" t="inlineStr">
        <is>
          <t>2024-01-28</t>
        </is>
      </c>
    </row>
    <row r="345">
      <c r="A345" t="inlineStr">
        <is>
          <t>net_operating_expense_burden__20250202</t>
        </is>
      </c>
      <c r="B345" t="n">
        <v>344</v>
      </c>
      <c r="C345" t="inlineStr">
        <is>
          <t>Net operating expense burden</t>
        </is>
      </c>
      <c r="D345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5" t="inlineStr">
        <is>
          <t>reported_margin.net_operating_expense_burden.2025-02-02</t>
        </is>
      </c>
      <c r="F345" t="inlineStr">
        <is>
          <t>reported_margin</t>
        </is>
      </c>
      <c r="G345" t="inlineStr">
        <is>
          <t>ALT DuPont</t>
        </is>
      </c>
      <c r="H345" t="inlineStr">
        <is>
          <t>D120</t>
        </is>
      </c>
      <c r="I345">
        <f>IF(D115=0,NA(),(D116-D117)/D115)</f>
        <v/>
      </c>
      <c r="J345" t="n">
        <v>0.3555977705592094</v>
      </c>
      <c r="K345" t="n">
        <v>0.01</v>
      </c>
      <c r="M345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5" t="inlineStr">
        <is>
          <t>pending</t>
        </is>
      </c>
      <c r="P345" t="inlineStr">
        <is>
          <t>net_operating_expense_burden</t>
        </is>
      </c>
      <c r="Q345" t="n">
        <v>141</v>
      </c>
      <c r="R345" t="n">
        <v>2</v>
      </c>
      <c r="S345" t="inlineStr">
        <is>
          <t>2025-02-02</t>
        </is>
      </c>
    </row>
    <row r="346">
      <c r="A346" t="inlineStr">
        <is>
          <t>net_operating_expense_burden__20260201</t>
        </is>
      </c>
      <c r="B346" t="n">
        <v>345</v>
      </c>
      <c r="C346" t="inlineStr">
        <is>
          <t>Net operating expense burden</t>
        </is>
      </c>
      <c r="D346" t="inlineStr">
        <is>
          <t>Net operating expense burden = (gross profit − operating profit) / revenue. That difference includes net intervening operating items; it is not necessarily SG&amp;A. Zero revenue is undefined (#N/A).</t>
        </is>
      </c>
      <c r="E346" t="inlineStr">
        <is>
          <t>reported_margin.net_operating_expense_burden.2026-02-01</t>
        </is>
      </c>
      <c r="F346" t="inlineStr">
        <is>
          <t>reported_margin</t>
        </is>
      </c>
      <c r="G346" t="inlineStr">
        <is>
          <t>ALT DuPont</t>
        </is>
      </c>
      <c r="H346" t="inlineStr">
        <is>
          <t>E120</t>
        </is>
      </c>
      <c r="I346">
        <f>IF(E115=0,NA(),(E116-E117)/E115)</f>
        <v/>
      </c>
      <c r="J346" t="n">
        <v>0.3668975735413327</v>
      </c>
      <c r="K346" t="n">
        <v>0.01</v>
      </c>
      <c r="M346" t="inlineStr">
        <is>
          <t>Net operating expense burden = (gross profit − operating profit) / revenue.|Gross profit minus operating profit includes net intervening operating items; it is not necessarily SG&amp;A.|Zero revenue yields the undefined-ratio result.</t>
        </is>
      </c>
      <c r="O346" t="inlineStr">
        <is>
          <t>pending</t>
        </is>
      </c>
      <c r="P346" t="inlineStr">
        <is>
          <t>net_operating_expense_burden</t>
        </is>
      </c>
      <c r="Q346" t="n">
        <v>141</v>
      </c>
      <c r="R346" t="n">
        <v>3</v>
      </c>
      <c r="S346" t="inlineStr">
        <is>
          <t>2026-02-01</t>
        </is>
      </c>
    </row>
    <row r="347">
      <c r="A347" t="inlineStr">
        <is>
          <t>gross_margin_change__20240128</t>
        </is>
      </c>
      <c r="B347" t="n">
        <v>346</v>
      </c>
      <c r="C347" t="inlineStr">
        <is>
          <t>Change in gross margin</t>
        </is>
      </c>
      <c r="D347" t="inlineStr">
        <is>
          <t>Change in gross margin is a percentage-point movement: current gross margin minus prior gross margin. Do not infer price, mix, or cost causes.</t>
        </is>
      </c>
      <c r="E347" t="inlineStr">
        <is>
          <t>reported_margin.gross_margin_change.2024-01-28</t>
        </is>
      </c>
      <c r="F347" t="inlineStr">
        <is>
          <t>reported_margin</t>
        </is>
      </c>
      <c r="G347" t="inlineStr">
        <is>
          <t>ALT DuPont</t>
        </is>
      </c>
      <c r="H347" t="inlineStr">
        <is>
          <t>C121</t>
        </is>
      </c>
      <c r="I347">
        <f>C118-B118</f>
        <v/>
      </c>
      <c r="J347" t="n">
        <v>0.02925135951612234</v>
      </c>
      <c r="K347" t="n">
        <v>0.01</v>
      </c>
      <c r="L347" t="inlineStr">
        <is>
          <t>gross_margin__20240128,gross_margin__20230129</t>
        </is>
      </c>
      <c r="M347" t="inlineStr">
        <is>
          <t>Change in gross margin = current gross margin − prior gross margin.|This is a percentage-point movement, not a causal explanation.|Do not infer price, mix, or cost causes.</t>
        </is>
      </c>
      <c r="O347" t="inlineStr">
        <is>
          <t>pending</t>
        </is>
      </c>
      <c r="P347" t="inlineStr">
        <is>
          <t>gross_margin_change</t>
        </is>
      </c>
      <c r="Q347" t="n">
        <v>142</v>
      </c>
      <c r="R347" t="n">
        <v>1</v>
      </c>
      <c r="S347" t="inlineStr">
        <is>
          <t>2024-01-28</t>
        </is>
      </c>
    </row>
    <row r="348">
      <c r="A348" t="inlineStr">
        <is>
          <t>gross_margin_change__20250202</t>
        </is>
      </c>
      <c r="B348" t="n">
        <v>347</v>
      </c>
      <c r="C348" t="inlineStr">
        <is>
          <t>Change in gross margin</t>
        </is>
      </c>
      <c r="D348" t="inlineStr">
        <is>
          <t>Change in gross margin is a percentage-point movement: current gross margin minus prior gross margin. Do not infer price, mix, or cost causes.</t>
        </is>
      </c>
      <c r="E348" t="inlineStr">
        <is>
          <t>reported_margin.gross_margin_change.2025-02-02</t>
        </is>
      </c>
      <c r="F348" t="inlineStr">
        <is>
          <t>reported_margin</t>
        </is>
      </c>
      <c r="G348" t="inlineStr">
        <is>
          <t>ALT DuPont</t>
        </is>
      </c>
      <c r="H348" t="inlineStr">
        <is>
          <t>D121</t>
        </is>
      </c>
      <c r="I348">
        <f>D118-C118</f>
        <v/>
      </c>
      <c r="J348" t="n">
        <v>0.009107375633786052</v>
      </c>
      <c r="K348" t="n">
        <v>0.01</v>
      </c>
      <c r="L348" t="inlineStr">
        <is>
          <t>gross_margin__20250202,gross_margin__20240128</t>
        </is>
      </c>
      <c r="M348" t="inlineStr">
        <is>
          <t>Change in gross margin = current gross margin − prior gross margin.|This is a percentage-point movement, not a causal explanation.|Do not infer price, mix, or cost causes.</t>
        </is>
      </c>
      <c r="O348" t="inlineStr">
        <is>
          <t>pending</t>
        </is>
      </c>
      <c r="P348" t="inlineStr">
        <is>
          <t>gross_margin_change</t>
        </is>
      </c>
      <c r="Q348" t="n">
        <v>142</v>
      </c>
      <c r="R348" t="n">
        <v>2</v>
      </c>
      <c r="S348" t="inlineStr">
        <is>
          <t>2025-02-02</t>
        </is>
      </c>
    </row>
    <row r="349">
      <c r="A349" t="inlineStr">
        <is>
          <t>gross_margin_change__20260201</t>
        </is>
      </c>
      <c r="B349" t="n">
        <v>348</v>
      </c>
      <c r="C349" t="inlineStr">
        <is>
          <t>Change in gross margin</t>
        </is>
      </c>
      <c r="D349" t="inlineStr">
        <is>
          <t>Change in gross margin is a percentage-point movement: current gross margin minus prior gross margin. Do not infer price, mix, or cost causes.</t>
        </is>
      </c>
      <c r="E349" t="inlineStr">
        <is>
          <t>reported_margin.gross_margin_change.2026-02-01</t>
        </is>
      </c>
      <c r="F349" t="inlineStr">
        <is>
          <t>reported_margin</t>
        </is>
      </c>
      <c r="G349" t="inlineStr">
        <is>
          <t>ALT DuPont</t>
        </is>
      </c>
      <c r="H349" t="inlineStr">
        <is>
          <t>E121</t>
        </is>
      </c>
      <c r="I349">
        <f>E118-D118</f>
        <v/>
      </c>
      <c r="J349" t="n">
        <v>-0.02624393427359706</v>
      </c>
      <c r="K349" t="n">
        <v>0.01</v>
      </c>
      <c r="L349" t="inlineStr">
        <is>
          <t>gross_margin__20260201,gross_margin__20250202</t>
        </is>
      </c>
      <c r="M349" t="inlineStr">
        <is>
          <t>Change in gross margin = current gross margin − prior gross margin.|This is a percentage-point movement, not a causal explanation.|Do not infer price, mix, or cost causes.</t>
        </is>
      </c>
      <c r="O349" t="inlineStr">
        <is>
          <t>pending</t>
        </is>
      </c>
      <c r="P349" t="inlineStr">
        <is>
          <t>gross_margin_change</t>
        </is>
      </c>
      <c r="Q349" t="n">
        <v>142</v>
      </c>
      <c r="R349" t="n">
        <v>3</v>
      </c>
      <c r="S349" t="inlineStr">
        <is>
          <t>2026-02-01</t>
        </is>
      </c>
    </row>
    <row r="350">
      <c r="A350" t="inlineStr">
        <is>
          <t>net_operating_expense_burden_change__20240128</t>
        </is>
      </c>
      <c r="B350" t="n">
        <v>349</v>
      </c>
      <c r="C350" t="inlineStr">
        <is>
          <t>Change in net operating expense burden</t>
        </is>
      </c>
      <c r="D350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0" t="inlineStr">
        <is>
          <t>reported_margin.net_operating_expense_burden_change.2024-01-28</t>
        </is>
      </c>
      <c r="F350" t="inlineStr">
        <is>
          <t>reported_margin</t>
        </is>
      </c>
      <c r="G350" t="inlineStr">
        <is>
          <t>ALT DuPont</t>
        </is>
      </c>
      <c r="H350" t="inlineStr">
        <is>
          <t>C122</t>
        </is>
      </c>
      <c r="I350">
        <f>C120-B120</f>
        <v/>
      </c>
      <c r="J350" t="n">
        <v>-0.02866886653244449</v>
      </c>
      <c r="K350" t="n">
        <v>0.01</v>
      </c>
      <c r="L350" t="inlineStr">
        <is>
          <t>net_operating_expense_burden__20240128,net_operating_expense_burden__20230129</t>
        </is>
      </c>
      <c r="M350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0" t="inlineStr">
        <is>
          <t>pending</t>
        </is>
      </c>
      <c r="P350" t="inlineStr">
        <is>
          <t>net_operating_expense_burden_change</t>
        </is>
      </c>
      <c r="Q350" t="n">
        <v>143</v>
      </c>
      <c r="R350" t="n">
        <v>1</v>
      </c>
      <c r="S350" t="inlineStr">
        <is>
          <t>2024-01-28</t>
        </is>
      </c>
    </row>
    <row r="351">
      <c r="A351" t="inlineStr">
        <is>
          <t>net_operating_expense_burden_change__20250202</t>
        </is>
      </c>
      <c r="B351" t="n">
        <v>350</v>
      </c>
      <c r="C351" t="inlineStr">
        <is>
          <t>Change in net operating expense burden</t>
        </is>
      </c>
      <c r="D351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1" t="inlineStr">
        <is>
          <t>reported_margin.net_operating_expense_burden_change.2025-02-02</t>
        </is>
      </c>
      <c r="F351" t="inlineStr">
        <is>
          <t>reported_margin</t>
        </is>
      </c>
      <c r="G351" t="inlineStr">
        <is>
          <t>ALT DuPont</t>
        </is>
      </c>
      <c r="H351" t="inlineStr">
        <is>
          <t>D122</t>
        </is>
      </c>
      <c r="I351">
        <f>D120-C120</f>
        <v/>
      </c>
      <c r="J351" t="n">
        <v>-0.005835696692698678</v>
      </c>
      <c r="K351" t="n">
        <v>0.01</v>
      </c>
      <c r="L351" t="inlineStr">
        <is>
          <t>net_operating_expense_burden__20250202,net_operating_expense_burden__20240128</t>
        </is>
      </c>
      <c r="M351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1" t="inlineStr">
        <is>
          <t>pending</t>
        </is>
      </c>
      <c r="P351" t="inlineStr">
        <is>
          <t>net_operating_expense_burden_change</t>
        </is>
      </c>
      <c r="Q351" t="n">
        <v>143</v>
      </c>
      <c r="R351" t="n">
        <v>2</v>
      </c>
      <c r="S351" t="inlineStr">
        <is>
          <t>2025-02-02</t>
        </is>
      </c>
    </row>
    <row r="352">
      <c r="A352" t="inlineStr">
        <is>
          <t>net_operating_expense_burden_change__20260201</t>
        </is>
      </c>
      <c r="B352" t="n">
        <v>351</v>
      </c>
      <c r="C352" t="inlineStr">
        <is>
          <t>Change in net operating expense burden</t>
        </is>
      </c>
      <c r="D352" t="inlineStr">
        <is>
          <t>Change in net operating expense burden is a percentage-point movement: current burden minus prior burden. A positive burden change reduces reported operating margin. Intervening items are not necessarily SG&amp;A.</t>
        </is>
      </c>
      <c r="E352" t="inlineStr">
        <is>
          <t>reported_margin.net_operating_expense_burden_change.2026-02-01</t>
        </is>
      </c>
      <c r="F352" t="inlineStr">
        <is>
          <t>reported_margin</t>
        </is>
      </c>
      <c r="G352" t="inlineStr">
        <is>
          <t>ALT DuPont</t>
        </is>
      </c>
      <c r="H352" t="inlineStr">
        <is>
          <t>E122</t>
        </is>
      </c>
      <c r="I352">
        <f>E120-D120</f>
        <v/>
      </c>
      <c r="J352" t="n">
        <v>0.01129980298212324</v>
      </c>
      <c r="K352" t="n">
        <v>0.01</v>
      </c>
      <c r="L352" t="inlineStr">
        <is>
          <t>net_operating_expense_burden__20260201,net_operating_expense_burden__20250202</t>
        </is>
      </c>
      <c r="M352" t="inlineStr">
        <is>
          <t>Change in net operating expense burden = current burden − prior burden.|A positive burden change reduces reported operating margin.|Gross profit minus operating profit is not necessarily SG&amp;A.</t>
        </is>
      </c>
      <c r="O352" t="inlineStr">
        <is>
          <t>pending</t>
        </is>
      </c>
      <c r="P352" t="inlineStr">
        <is>
          <t>net_operating_expense_burden_change</t>
        </is>
      </c>
      <c r="Q352" t="n">
        <v>143</v>
      </c>
      <c r="R352" t="n">
        <v>3</v>
      </c>
      <c r="S352" t="inlineStr">
        <is>
          <t>2026-02-01</t>
        </is>
      </c>
    </row>
    <row r="353">
      <c r="A353" t="inlineStr">
        <is>
          <t>reconstructed_operating_margin_change__20240128</t>
        </is>
      </c>
      <c r="B353" t="n">
        <v>352</v>
      </c>
      <c r="C353" t="inlineStr">
        <is>
          <t>Reconstructed change in reported operating margin</t>
        </is>
      </c>
      <c r="D353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3" t="inlineStr">
        <is>
          <t>reported_margin.reconstructed_operating_margin_change.2024-01-28</t>
        </is>
      </c>
      <c r="F353" t="inlineStr">
        <is>
          <t>reported_margin</t>
        </is>
      </c>
      <c r="G353" t="inlineStr">
        <is>
          <t>ALT DuPont</t>
        </is>
      </c>
      <c r="H353" t="inlineStr">
        <is>
          <t>C123</t>
        </is>
      </c>
      <c r="I353">
        <f>C121-C122</f>
        <v/>
      </c>
      <c r="J353" t="n">
        <v>0.05792022604856684</v>
      </c>
      <c r="K353" t="n">
        <v>0.01</v>
      </c>
      <c r="L353" t="inlineStr">
        <is>
          <t>gross_margin_change__20240128,net_operating_expense_burden_change__20240128</t>
        </is>
      </c>
      <c r="M353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3" t="inlineStr">
        <is>
          <t>pending</t>
        </is>
      </c>
      <c r="P353" t="inlineStr">
        <is>
          <t>reconstructed_operating_margin_change</t>
        </is>
      </c>
      <c r="Q353" t="n">
        <v>144</v>
      </c>
      <c r="R353" t="n">
        <v>1</v>
      </c>
      <c r="S353" t="inlineStr">
        <is>
          <t>2024-01-28</t>
        </is>
      </c>
    </row>
    <row r="354">
      <c r="A354" t="inlineStr">
        <is>
          <t>reconstructed_operating_margin_change__20250202</t>
        </is>
      </c>
      <c r="B354" t="n">
        <v>353</v>
      </c>
      <c r="C354" t="inlineStr">
        <is>
          <t>Reconstructed change in reported operating margin</t>
        </is>
      </c>
      <c r="D354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4" t="inlineStr">
        <is>
          <t>reported_margin.reconstructed_operating_margin_change.2025-02-02</t>
        </is>
      </c>
      <c r="F354" t="inlineStr">
        <is>
          <t>reported_margin</t>
        </is>
      </c>
      <c r="G354" t="inlineStr">
        <is>
          <t>ALT DuPont</t>
        </is>
      </c>
      <c r="H354" t="inlineStr">
        <is>
          <t>D123</t>
        </is>
      </c>
      <c r="I354">
        <f>D121-D122</f>
        <v/>
      </c>
      <c r="J354" t="n">
        <v>0.01494307232648473</v>
      </c>
      <c r="K354" t="n">
        <v>0.01</v>
      </c>
      <c r="L354" t="inlineStr">
        <is>
          <t>gross_margin_change__20250202,net_operating_expense_burden_change__20250202</t>
        </is>
      </c>
      <c r="M354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4" t="inlineStr">
        <is>
          <t>pending</t>
        </is>
      </c>
      <c r="P354" t="inlineStr">
        <is>
          <t>reconstructed_operating_margin_change</t>
        </is>
      </c>
      <c r="Q354" t="n">
        <v>144</v>
      </c>
      <c r="R354" t="n">
        <v>2</v>
      </c>
      <c r="S354" t="inlineStr">
        <is>
          <t>2025-02-02</t>
        </is>
      </c>
    </row>
    <row r="355">
      <c r="A355" t="inlineStr">
        <is>
          <t>reconstructed_operating_margin_change__20260201</t>
        </is>
      </c>
      <c r="B355" t="n">
        <v>354</v>
      </c>
      <c r="C355" t="inlineStr">
        <is>
          <t>Reconstructed change in reported operating margin</t>
        </is>
      </c>
      <c r="D355" t="inlineStr">
        <is>
          <t>Reconstructed operating-margin change = gross-margin change − burden change, in percentage points. It reconciles to the adjacent reported operating-margin difference. Do not infer price, mix, cost causes, or normalized earnings; keep this distinct from BAV NOPAT margin.</t>
        </is>
      </c>
      <c r="E355" t="inlineStr">
        <is>
          <t>reported_margin.reconstructed_operating_margin_change.2026-02-01</t>
        </is>
      </c>
      <c r="F355" t="inlineStr">
        <is>
          <t>reported_margin</t>
        </is>
      </c>
      <c r="G355" t="inlineStr">
        <is>
          <t>ALT DuPont</t>
        </is>
      </c>
      <c r="H355" t="inlineStr">
        <is>
          <t>E123</t>
        </is>
      </c>
      <c r="I355">
        <f>E121-E122</f>
        <v/>
      </c>
      <c r="J355" t="n">
        <v>-0.0375437372557203</v>
      </c>
      <c r="K355" t="n">
        <v>0.01</v>
      </c>
      <c r="L355" t="inlineStr">
        <is>
          <t>gross_margin_change__20260201,net_operating_expense_burden_change__20260201</t>
        </is>
      </c>
      <c r="M355" t="inlineStr">
        <is>
          <t>Reconstructed operating-margin change = gross-margin change − burden change.|When defined, this equals the adjacent reported operating-margin difference.|Do not infer price, mix, cost causes, or normalized earnings.</t>
        </is>
      </c>
      <c r="O355" t="inlineStr">
        <is>
          <t>pending</t>
        </is>
      </c>
      <c r="P355" t="inlineStr">
        <is>
          <t>reconstructed_operating_margin_change</t>
        </is>
      </c>
      <c r="Q355" t="n">
        <v>144</v>
      </c>
      <c r="R355" t="n">
        <v>3</v>
      </c>
      <c r="S355" t="inlineStr">
        <is>
          <t>2026-02-01</t>
        </is>
      </c>
    </row>
    <row r="356">
      <c r="A356" t="inlineStr">
        <is>
          <t>inventory_intensity__20230129</t>
        </is>
      </c>
      <c r="B356" t="n">
        <v>355</v>
      </c>
      <c r="C356" t="inlineStr">
        <is>
          <t>Inventory intensity</t>
        </is>
      </c>
      <c r="D356" t="inlineStr">
        <is>
          <t>Inventory intensity = ending inventory / annual revenue. This is not inventory days or turnover. Zero revenue is undefined (#N/A).</t>
        </is>
      </c>
      <c r="E356" t="inlineStr">
        <is>
          <t>inventory_analysis.inventory_intensity.2023-01-29</t>
        </is>
      </c>
      <c r="F356" t="inlineStr">
        <is>
          <t>inventory_analysis</t>
        </is>
      </c>
      <c r="G356" t="inlineStr">
        <is>
          <t>ALT DuPont</t>
        </is>
      </c>
      <c r="H356" t="inlineStr">
        <is>
          <t>B128</t>
        </is>
      </c>
      <c r="I356">
        <f>IF(B127=0,NA(),B126/B127)</f>
        <v/>
      </c>
      <c r="J356" t="n">
        <v>0.1784555561062807</v>
      </c>
      <c r="K356" t="n">
        <v>0.01</v>
      </c>
      <c r="M356" t="inlineStr">
        <is>
          <t>Inventory intensity = ending inventory / annual revenue.|This is not inventory days or turnover.|Zero revenue yields the undefined-ratio result.</t>
        </is>
      </c>
      <c r="O356" t="inlineStr">
        <is>
          <t>pending</t>
        </is>
      </c>
      <c r="P356" t="inlineStr">
        <is>
          <t>inventory_intensity</t>
        </is>
      </c>
      <c r="Q356" t="n">
        <v>145</v>
      </c>
      <c r="R356" t="n">
        <v>0</v>
      </c>
      <c r="S356" t="inlineStr">
        <is>
          <t>2023-01-29</t>
        </is>
      </c>
    </row>
    <row r="357">
      <c r="A357" t="inlineStr">
        <is>
          <t>inventory_intensity__20240128</t>
        </is>
      </c>
      <c r="B357" t="n">
        <v>356</v>
      </c>
      <c r="C357" t="inlineStr">
        <is>
          <t>Inventory intensity</t>
        </is>
      </c>
      <c r="D357" t="inlineStr">
        <is>
          <t>Inventory intensity = ending inventory / annual revenue. This is not inventory days or turnover. Zero revenue is undefined (#N/A).</t>
        </is>
      </c>
      <c r="E357" t="inlineStr">
        <is>
          <t>inventory_analysis.inventory_intensity.2024-01-28</t>
        </is>
      </c>
      <c r="F357" t="inlineStr">
        <is>
          <t>inventory_analysis</t>
        </is>
      </c>
      <c r="G357" t="inlineStr">
        <is>
          <t>ALT DuPont</t>
        </is>
      </c>
      <c r="H357" t="inlineStr">
        <is>
          <t>C128</t>
        </is>
      </c>
      <c r="I357">
        <f>IF(C127=0,NA(),C126/C127)</f>
        <v/>
      </c>
      <c r="J357" t="n">
        <v>0.1375988925572169</v>
      </c>
      <c r="K357" t="n">
        <v>0.01</v>
      </c>
      <c r="M357" t="inlineStr">
        <is>
          <t>Inventory intensity = ending inventory / annual revenue.|This is not inventory days or turnover.|Zero revenue yields the undefined-ratio result.</t>
        </is>
      </c>
      <c r="O357" t="inlineStr">
        <is>
          <t>pending</t>
        </is>
      </c>
      <c r="P357" t="inlineStr">
        <is>
          <t>inventory_intensity</t>
        </is>
      </c>
      <c r="Q357" t="n">
        <v>145</v>
      </c>
      <c r="R357" t="n">
        <v>1</v>
      </c>
      <c r="S357" t="inlineStr">
        <is>
          <t>2024-01-28</t>
        </is>
      </c>
    </row>
    <row r="358">
      <c r="A358" t="inlineStr">
        <is>
          <t>inventory_intensity__20250202</t>
        </is>
      </c>
      <c r="B358" t="n">
        <v>357</v>
      </c>
      <c r="C358" t="inlineStr">
        <is>
          <t>Inventory intensity</t>
        </is>
      </c>
      <c r="D358" t="inlineStr">
        <is>
          <t>Inventory intensity = ending inventory / annual revenue. This is not inventory days or turnover. Zero revenue is undefined (#N/A).</t>
        </is>
      </c>
      <c r="E358" t="inlineStr">
        <is>
          <t>inventory_analysis.inventory_intensity.2025-02-02</t>
        </is>
      </c>
      <c r="F358" t="inlineStr">
        <is>
          <t>inventory_analysis</t>
        </is>
      </c>
      <c r="G358" t="inlineStr">
        <is>
          <t>ALT DuPont</t>
        </is>
      </c>
      <c r="H358" t="inlineStr">
        <is>
          <t>D128</t>
        </is>
      </c>
      <c r="I358">
        <f>IF(D127=0,NA(),D126/D127)</f>
        <v/>
      </c>
      <c r="J358" t="n">
        <v>0.1361979447543409</v>
      </c>
      <c r="K358" t="n">
        <v>0.01</v>
      </c>
      <c r="M358" t="inlineStr">
        <is>
          <t>Inventory intensity = ending inventory / annual revenue.|This is not inventory days or turnover.|Zero revenue yields the undefined-ratio result.</t>
        </is>
      </c>
      <c r="O358" t="inlineStr">
        <is>
          <t>pending</t>
        </is>
      </c>
      <c r="P358" t="inlineStr">
        <is>
          <t>inventory_intensity</t>
        </is>
      </c>
      <c r="Q358" t="n">
        <v>145</v>
      </c>
      <c r="R358" t="n">
        <v>2</v>
      </c>
      <c r="S358" t="inlineStr">
        <is>
          <t>2025-02-02</t>
        </is>
      </c>
    </row>
    <row r="359">
      <c r="A359" t="inlineStr">
        <is>
          <t>inventory_intensity__20260201</t>
        </is>
      </c>
      <c r="B359" t="n">
        <v>358</v>
      </c>
      <c r="C359" t="inlineStr">
        <is>
          <t>Inventory intensity</t>
        </is>
      </c>
      <c r="D359" t="inlineStr">
        <is>
          <t>Inventory intensity = ending inventory / annual revenue. This is not inventory days or turnover. Zero revenue is undefined (#N/A).</t>
        </is>
      </c>
      <c r="E359" t="inlineStr">
        <is>
          <t>inventory_analysis.inventory_intensity.2026-02-01</t>
        </is>
      </c>
      <c r="F359" t="inlineStr">
        <is>
          <t>inventory_analysis</t>
        </is>
      </c>
      <c r="G359" t="inlineStr">
        <is>
          <t>ALT DuPont</t>
        </is>
      </c>
      <c r="H359" t="inlineStr">
        <is>
          <t>E128</t>
        </is>
      </c>
      <c r="I359">
        <f>IF(E127=0,NA(),E126/E127)</f>
        <v/>
      </c>
      <c r="J359" t="n">
        <v>0.1531851097941023</v>
      </c>
      <c r="K359" t="n">
        <v>0.01</v>
      </c>
      <c r="M359" t="inlineStr">
        <is>
          <t>Inventory intensity = ending inventory / annual revenue.|This is not inventory days or turnover.|Zero revenue yields the undefined-ratio result.</t>
        </is>
      </c>
      <c r="O359" t="inlineStr">
        <is>
          <t>pending</t>
        </is>
      </c>
      <c r="P359" t="inlineStr">
        <is>
          <t>inventory_intensity</t>
        </is>
      </c>
      <c r="Q359" t="n">
        <v>145</v>
      </c>
      <c r="R359" t="n">
        <v>3</v>
      </c>
      <c r="S359" t="inlineStr">
        <is>
          <t>2026-02-01</t>
        </is>
      </c>
    </row>
    <row r="360">
      <c r="A360" t="inlineStr">
        <is>
          <t>inventory_change__20240128</t>
        </is>
      </c>
      <c r="B360" t="n">
        <v>359</v>
      </c>
      <c r="C360" t="inlineStr">
        <is>
          <t>Change in inventory</t>
        </is>
      </c>
      <c r="D360" t="inlineStr">
        <is>
          <t>Change in inventory = current inventory − prior inventory (signed). Opening-period change is not practiced. This is not proof of cash movement, markdowns, or management causes.</t>
        </is>
      </c>
      <c r="E360" t="inlineStr">
        <is>
          <t>inventory_analysis.inventory_change.2024-01-28</t>
        </is>
      </c>
      <c r="F360" t="inlineStr">
        <is>
          <t>inventory_analysis</t>
        </is>
      </c>
      <c r="G360" t="inlineStr">
        <is>
          <t>ALT DuPont</t>
        </is>
      </c>
      <c r="H360" t="inlineStr">
        <is>
          <t>C129</t>
        </is>
      </c>
      <c r="I360">
        <f>C126-B126</f>
        <v/>
      </c>
      <c r="J360" t="n">
        <v>-123765</v>
      </c>
      <c r="K360" t="n">
        <v>0.01</v>
      </c>
      <c r="M360" t="inlineStr">
        <is>
          <t>Change in inventory = current inventory − prior inventory.|The movement is signed; it is not proof of cash movement.|Do not infer markdowns or management causes.</t>
        </is>
      </c>
      <c r="O360" t="inlineStr">
        <is>
          <t>pending</t>
        </is>
      </c>
      <c r="P360" t="inlineStr">
        <is>
          <t>inventory_change</t>
        </is>
      </c>
      <c r="Q360" t="n">
        <v>146</v>
      </c>
      <c r="R360" t="n">
        <v>1</v>
      </c>
      <c r="S360" t="inlineStr">
        <is>
          <t>2024-01-28</t>
        </is>
      </c>
    </row>
    <row r="361">
      <c r="A361" t="inlineStr">
        <is>
          <t>inventory_change__20250202</t>
        </is>
      </c>
      <c r="B361" t="n">
        <v>360</v>
      </c>
      <c r="C361" t="inlineStr">
        <is>
          <t>Change in inventory</t>
        </is>
      </c>
      <c r="D361" t="inlineStr">
        <is>
          <t>Change in inventory = current inventory − prior inventory (signed). Opening-period change is not practiced. This is not proof of cash movement, markdowns, or management causes.</t>
        </is>
      </c>
      <c r="E361" t="inlineStr">
        <is>
          <t>inventory_analysis.inventory_change.2025-02-02</t>
        </is>
      </c>
      <c r="F361" t="inlineStr">
        <is>
          <t>inventory_analysis</t>
        </is>
      </c>
      <c r="G361" t="inlineStr">
        <is>
          <t>ALT DuPont</t>
        </is>
      </c>
      <c r="H361" t="inlineStr">
        <is>
          <t>D129</t>
        </is>
      </c>
      <c r="I361">
        <f>D126-C126</f>
        <v/>
      </c>
      <c r="J361" t="n">
        <v>118479</v>
      </c>
      <c r="K361" t="n">
        <v>0.01</v>
      </c>
      <c r="M361" t="inlineStr">
        <is>
          <t>Change in inventory = current inventory − prior inventory.|The movement is signed; it is not proof of cash movement.|Do not infer markdowns or management causes.</t>
        </is>
      </c>
      <c r="O361" t="inlineStr">
        <is>
          <t>pending</t>
        </is>
      </c>
      <c r="P361" t="inlineStr">
        <is>
          <t>inventory_change</t>
        </is>
      </c>
      <c r="Q361" t="n">
        <v>146</v>
      </c>
      <c r="R361" t="n">
        <v>2</v>
      </c>
      <c r="S361" t="inlineStr">
        <is>
          <t>2025-02-02</t>
        </is>
      </c>
    </row>
    <row r="362">
      <c r="A362" t="inlineStr">
        <is>
          <t>inventory_change__20260201</t>
        </is>
      </c>
      <c r="B362" t="n">
        <v>361</v>
      </c>
      <c r="C362" t="inlineStr">
        <is>
          <t>Change in inventory</t>
        </is>
      </c>
      <c r="D362" t="inlineStr">
        <is>
          <t>Change in inventory = current inventory − prior inventory (signed). Opening-period change is not practiced. This is not proof of cash movement, markdowns, or management causes.</t>
        </is>
      </c>
      <c r="E362" t="inlineStr">
        <is>
          <t>inventory_analysis.inventory_change.2026-02-01</t>
        </is>
      </c>
      <c r="F362" t="inlineStr">
        <is>
          <t>inventory_analysis</t>
        </is>
      </c>
      <c r="G362" t="inlineStr">
        <is>
          <t>ALT DuPont</t>
        </is>
      </c>
      <c r="H362" t="inlineStr">
        <is>
          <t>E129</t>
        </is>
      </c>
      <c r="I362">
        <f>E126-D126</f>
        <v/>
      </c>
      <c r="J362" t="n">
        <v>258672</v>
      </c>
      <c r="K362" t="n">
        <v>0.01</v>
      </c>
      <c r="M362" t="inlineStr">
        <is>
          <t>Change in inventory = current inventory − prior inventory.|The movement is signed; it is not proof of cash movement.|Do not infer markdowns or management causes.</t>
        </is>
      </c>
      <c r="O362" t="inlineStr">
        <is>
          <t>pending</t>
        </is>
      </c>
      <c r="P362" t="inlineStr">
        <is>
          <t>inventory_change</t>
        </is>
      </c>
      <c r="Q362" t="n">
        <v>146</v>
      </c>
      <c r="R362" t="n">
        <v>3</v>
      </c>
      <c r="S362" t="inlineStr">
        <is>
          <t>2026-02-01</t>
        </is>
      </c>
    </row>
    <row r="363">
      <c r="A363" t="inlineStr">
        <is>
          <t>inventory_revenue_scale_effect__20240128</t>
        </is>
      </c>
      <c r="B363" t="n">
        <v>362</v>
      </c>
      <c r="C363" t="inlineStr">
        <is>
          <t>Revenue-scale effect on inventory</t>
        </is>
      </c>
      <c r="D363" t="inlineStr">
        <is>
          <t>Revenue-scale effect = prior inventory intensity × (current revenue − prior revenue). Uses the prior-intensity / current-revenue attribution convention. Signed; not a cash-movement proof.</t>
        </is>
      </c>
      <c r="E363" t="inlineStr">
        <is>
          <t>inventory_analysis.inventory_revenue_scale_effect.2024-01-28</t>
        </is>
      </c>
      <c r="F363" t="inlineStr">
        <is>
          <t>inventory_analysis</t>
        </is>
      </c>
      <c r="G363" t="inlineStr">
        <is>
          <t>ALT DuPont</t>
        </is>
      </c>
      <c r="H363" t="inlineStr">
        <is>
          <t>C130</t>
        </is>
      </c>
      <c r="I363">
        <f>B128*(C127-B127)</f>
        <v/>
      </c>
      <c r="J363" t="n">
        <v>269246.6048309121</v>
      </c>
      <c r="K363" t="n">
        <v>0.01</v>
      </c>
      <c r="L363" t="inlineStr">
        <is>
          <t>inventory_intensity__20230129</t>
        </is>
      </c>
      <c r="M363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3" t="inlineStr">
        <is>
          <t>pending</t>
        </is>
      </c>
      <c r="P363" t="inlineStr">
        <is>
          <t>inventory_revenue_scale_effect</t>
        </is>
      </c>
      <c r="Q363" t="n">
        <v>147</v>
      </c>
      <c r="R363" t="n">
        <v>1</v>
      </c>
      <c r="S363" t="inlineStr">
        <is>
          <t>2024-01-28</t>
        </is>
      </c>
    </row>
    <row r="364">
      <c r="A364" t="inlineStr">
        <is>
          <t>inventory_revenue_scale_effect__20250202</t>
        </is>
      </c>
      <c r="B364" t="n">
        <v>363</v>
      </c>
      <c r="C364" t="inlineStr">
        <is>
          <t>Revenue-scale effect on inventory</t>
        </is>
      </c>
      <c r="D364" t="inlineStr">
        <is>
          <t>Revenue-scale effect = prior inventory intensity × (current revenue − prior revenue). Uses the prior-intensity / current-revenue attribution convention. Signed; not a cash-movement proof.</t>
        </is>
      </c>
      <c r="E364" t="inlineStr">
        <is>
          <t>inventory_analysis.inventory_revenue_scale_effect.2025-02-02</t>
        </is>
      </c>
      <c r="F364" t="inlineStr">
        <is>
          <t>inventory_analysis</t>
        </is>
      </c>
      <c r="G364" t="inlineStr">
        <is>
          <t>ALT DuPont</t>
        </is>
      </c>
      <c r="H364" t="inlineStr">
        <is>
          <t>D130</t>
        </is>
      </c>
      <c r="I364">
        <f>C128*(D127-C127)</f>
        <v/>
      </c>
      <c r="J364" t="n">
        <v>133312.4118562745</v>
      </c>
      <c r="K364" t="n">
        <v>0.01</v>
      </c>
      <c r="L364" t="inlineStr">
        <is>
          <t>inventory_intensity__20240128</t>
        </is>
      </c>
      <c r="M364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4" t="inlineStr">
        <is>
          <t>pending</t>
        </is>
      </c>
      <c r="P364" t="inlineStr">
        <is>
          <t>inventory_revenue_scale_effect</t>
        </is>
      </c>
      <c r="Q364" t="n">
        <v>147</v>
      </c>
      <c r="R364" t="n">
        <v>2</v>
      </c>
      <c r="S364" t="inlineStr">
        <is>
          <t>2025-02-02</t>
        </is>
      </c>
    </row>
    <row r="365">
      <c r="A365" t="inlineStr">
        <is>
          <t>inventory_revenue_scale_effect__20260201</t>
        </is>
      </c>
      <c r="B365" t="n">
        <v>364</v>
      </c>
      <c r="C365" t="inlineStr">
        <is>
          <t>Revenue-scale effect on inventory</t>
        </is>
      </c>
      <c r="D365" t="inlineStr">
        <is>
          <t>Revenue-scale effect = prior inventory intensity × (current revenue − prior revenue). Uses the prior-intensity / current-revenue attribution convention. Signed; not a cash-movement proof.</t>
        </is>
      </c>
      <c r="E365" t="inlineStr">
        <is>
          <t>inventory_analysis.inventory_revenue_scale_effect.2026-02-01</t>
        </is>
      </c>
      <c r="F365" t="inlineStr">
        <is>
          <t>inventory_analysis</t>
        </is>
      </c>
      <c r="G365" t="inlineStr">
        <is>
          <t>ALT DuPont</t>
        </is>
      </c>
      <c r="H365" t="inlineStr">
        <is>
          <t>E130</t>
        </is>
      </c>
      <c r="I365">
        <f>D128*(E127-D127)</f>
        <v/>
      </c>
      <c r="J365" t="n">
        <v>70070.30142954475</v>
      </c>
      <c r="K365" t="n">
        <v>0.01</v>
      </c>
      <c r="L365" t="inlineStr">
        <is>
          <t>inventory_intensity__20250202</t>
        </is>
      </c>
      <c r="M365" t="inlineStr">
        <is>
          <t>Revenue-scale effect = prior inventory intensity × (current revenue − prior revenue).|This uses the prior-intensity / current-revenue convention.|Signed arithmetic only; not proof of cash movement.</t>
        </is>
      </c>
      <c r="O365" t="inlineStr">
        <is>
          <t>pending</t>
        </is>
      </c>
      <c r="P365" t="inlineStr">
        <is>
          <t>inventory_revenue_scale_effect</t>
        </is>
      </c>
      <c r="Q365" t="n">
        <v>147</v>
      </c>
      <c r="R365" t="n">
        <v>3</v>
      </c>
      <c r="S365" t="inlineStr">
        <is>
          <t>2026-02-01</t>
        </is>
      </c>
    </row>
    <row r="366">
      <c r="A366" t="inlineStr">
        <is>
          <t>inventory_intensity_effect__20240128</t>
        </is>
      </c>
      <c r="B366" t="n">
        <v>365</v>
      </c>
      <c r="C366" t="inlineStr">
        <is>
          <t>Intensity effect on inventory</t>
        </is>
      </c>
      <c r="D366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6" t="inlineStr">
        <is>
          <t>inventory_analysis.inventory_intensity_effect.2024-01-28</t>
        </is>
      </c>
      <c r="F366" t="inlineStr">
        <is>
          <t>inventory_analysis</t>
        </is>
      </c>
      <c r="G366" t="inlineStr">
        <is>
          <t>ALT DuPont</t>
        </is>
      </c>
      <c r="H366" t="inlineStr">
        <is>
          <t>C131</t>
        </is>
      </c>
      <c r="I366">
        <f>C127*(C128-B128)</f>
        <v/>
      </c>
      <c r="J366" t="n">
        <v>-393011.604830912</v>
      </c>
      <c r="K366" t="n">
        <v>0.01</v>
      </c>
      <c r="L366" t="inlineStr">
        <is>
          <t>inventory_intensity__20240128,inventory_intensity__20230129</t>
        </is>
      </c>
      <c r="M366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6" t="inlineStr">
        <is>
          <t>pending</t>
        </is>
      </c>
      <c r="P366" t="inlineStr">
        <is>
          <t>inventory_intensity_effect</t>
        </is>
      </c>
      <c r="Q366" t="n">
        <v>148</v>
      </c>
      <c r="R366" t="n">
        <v>1</v>
      </c>
      <c r="S366" t="inlineStr">
        <is>
          <t>2024-01-28</t>
        </is>
      </c>
    </row>
    <row r="367">
      <c r="A367" t="inlineStr">
        <is>
          <t>inventory_intensity_effect__20250202</t>
        </is>
      </c>
      <c r="B367" t="n">
        <v>366</v>
      </c>
      <c r="C367" t="inlineStr">
        <is>
          <t>Intensity effect on inventory</t>
        </is>
      </c>
      <c r="D367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7" t="inlineStr">
        <is>
          <t>inventory_analysis.inventory_intensity_effect.2025-02-02</t>
        </is>
      </c>
      <c r="F367" t="inlineStr">
        <is>
          <t>inventory_analysis</t>
        </is>
      </c>
      <c r="G367" t="inlineStr">
        <is>
          <t>ALT DuPont</t>
        </is>
      </c>
      <c r="H367" t="inlineStr">
        <is>
          <t>D131</t>
        </is>
      </c>
      <c r="I367">
        <f>D127*(D128-C128)</f>
        <v/>
      </c>
      <c r="J367" t="n">
        <v>-14833.41185627456</v>
      </c>
      <c r="K367" t="n">
        <v>0.01</v>
      </c>
      <c r="L367" t="inlineStr">
        <is>
          <t>inventory_intensity__20250202,inventory_intensity__20240128</t>
        </is>
      </c>
      <c r="M367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7" t="inlineStr">
        <is>
          <t>pending</t>
        </is>
      </c>
      <c r="P367" t="inlineStr">
        <is>
          <t>inventory_intensity_effect</t>
        </is>
      </c>
      <c r="Q367" t="n">
        <v>148</v>
      </c>
      <c r="R367" t="n">
        <v>2</v>
      </c>
      <c r="S367" t="inlineStr">
        <is>
          <t>2025-02-02</t>
        </is>
      </c>
    </row>
    <row r="368">
      <c r="A368" t="inlineStr">
        <is>
          <t>inventory_intensity_effect__20260201</t>
        </is>
      </c>
      <c r="B368" t="n">
        <v>367</v>
      </c>
      <c r="C368" t="inlineStr">
        <is>
          <t>Intensity effect on inventory</t>
        </is>
      </c>
      <c r="D368" t="inlineStr">
        <is>
          <t>Intensity effect = current revenue × (current inventory intensity − prior inventory intensity). Uses the prior-intensity / current-revenue attribution convention. Signed; not proof of deterioration, seasonality, or markdowns.</t>
        </is>
      </c>
      <c r="E368" t="inlineStr">
        <is>
          <t>inventory_analysis.inventory_intensity_effect.2026-02-01</t>
        </is>
      </c>
      <c r="F368" t="inlineStr">
        <is>
          <t>inventory_analysis</t>
        </is>
      </c>
      <c r="G368" t="inlineStr">
        <is>
          <t>ALT DuPont</t>
        </is>
      </c>
      <c r="H368" t="inlineStr">
        <is>
          <t>E131</t>
        </is>
      </c>
      <c r="I368">
        <f>E127*(E128-D128)</f>
        <v/>
      </c>
      <c r="J368" t="n">
        <v>188601.6985704551</v>
      </c>
      <c r="K368" t="n">
        <v>0.01</v>
      </c>
      <c r="L368" t="inlineStr">
        <is>
          <t>inventory_intensity__20260201,inventory_intensity__20250202</t>
        </is>
      </c>
      <c r="M368" t="inlineStr">
        <is>
          <t>Intensity effect = current revenue × (current intensity − prior intensity).|This uses the prior-intensity / current-revenue convention.|Signed arithmetic only; not proof of deterioration, seasonality, or markdowns.</t>
        </is>
      </c>
      <c r="O368" t="inlineStr">
        <is>
          <t>pending</t>
        </is>
      </c>
      <c r="P368" t="inlineStr">
        <is>
          <t>inventory_intensity_effect</t>
        </is>
      </c>
      <c r="Q368" t="n">
        <v>148</v>
      </c>
      <c r="R368" t="n">
        <v>3</v>
      </c>
      <c r="S368" t="inlineStr">
        <is>
          <t>2026-02-01</t>
        </is>
      </c>
    </row>
    <row r="369">
      <c r="A369" t="inlineStr">
        <is>
          <t>reconstructed_inventory_change__20240128</t>
        </is>
      </c>
      <c r="B369" t="n">
        <v>368</v>
      </c>
      <c r="C369" t="inlineStr">
        <is>
          <t>Reconstructed change in inventory</t>
        </is>
      </c>
      <c r="D369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69" t="inlineStr">
        <is>
          <t>inventory_analysis.reconstructed_inventory_change.2024-01-28</t>
        </is>
      </c>
      <c r="F369" t="inlineStr">
        <is>
          <t>inventory_analysis</t>
        </is>
      </c>
      <c r="G369" t="inlineStr">
        <is>
          <t>ALT DuPont</t>
        </is>
      </c>
      <c r="H369" t="inlineStr">
        <is>
          <t>C132</t>
        </is>
      </c>
      <c r="I369">
        <f>C130+C131</f>
        <v/>
      </c>
      <c r="J369" t="n">
        <v>-123764.9999999998</v>
      </c>
      <c r="K369" t="n">
        <v>0.01</v>
      </c>
      <c r="L369" t="inlineStr">
        <is>
          <t>inventory_revenue_scale_effect__20240128,inventory_intensity_effect__20240128</t>
        </is>
      </c>
      <c r="M369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69" t="inlineStr">
        <is>
          <t>pending</t>
        </is>
      </c>
      <c r="P369" t="inlineStr">
        <is>
          <t>reconstructed_inventory_change</t>
        </is>
      </c>
      <c r="Q369" t="n">
        <v>149</v>
      </c>
      <c r="R369" t="n">
        <v>1</v>
      </c>
      <c r="S369" t="inlineStr">
        <is>
          <t>2024-01-28</t>
        </is>
      </c>
    </row>
    <row r="370">
      <c r="A370" t="inlineStr">
        <is>
          <t>reconstructed_inventory_change__20250202</t>
        </is>
      </c>
      <c r="B370" t="n">
        <v>369</v>
      </c>
      <c r="C370" t="inlineStr">
        <is>
          <t>Reconstructed change in inventory</t>
        </is>
      </c>
      <c r="D370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70" t="inlineStr">
        <is>
          <t>inventory_analysis.reconstructed_inventory_change.2025-02-02</t>
        </is>
      </c>
      <c r="F370" t="inlineStr">
        <is>
          <t>inventory_analysis</t>
        </is>
      </c>
      <c r="G370" t="inlineStr">
        <is>
          <t>ALT DuPont</t>
        </is>
      </c>
      <c r="H370" t="inlineStr">
        <is>
          <t>D132</t>
        </is>
      </c>
      <c r="I370">
        <f>D130+D131</f>
        <v/>
      </c>
      <c r="J370" t="n">
        <v>118478.9999999999</v>
      </c>
      <c r="K370" t="n">
        <v>0.01</v>
      </c>
      <c r="L370" t="inlineStr">
        <is>
          <t>inventory_revenue_scale_effect__20250202,inventory_intensity_effect__20250202</t>
        </is>
      </c>
      <c r="M370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70" t="inlineStr">
        <is>
          <t>pending</t>
        </is>
      </c>
      <c r="P370" t="inlineStr">
        <is>
          <t>reconstructed_inventory_change</t>
        </is>
      </c>
      <c r="Q370" t="n">
        <v>149</v>
      </c>
      <c r="R370" t="n">
        <v>2</v>
      </c>
      <c r="S370" t="inlineStr">
        <is>
          <t>2025-02-02</t>
        </is>
      </c>
    </row>
    <row r="371">
      <c r="A371" t="inlineStr">
        <is>
          <t>reconstructed_inventory_change__20260201</t>
        </is>
      </c>
      <c r="B371" t="n">
        <v>370</v>
      </c>
      <c r="C371" t="inlineStr">
        <is>
          <t>Reconstructed change in inventory</t>
        </is>
      </c>
      <c r="D371" t="inlineStr">
        <is>
          <t>Reconstructed inventory change = revenue-scale effect + intensity effect. Arithmetic decomposition that reconciles to the inventory change when defined. Not inventory days/turnover and not proof of cash movement, deterioration, seasonality, markdowns, or management causes.</t>
        </is>
      </c>
      <c r="E371" t="inlineStr">
        <is>
          <t>inventory_analysis.reconstructed_inventory_change.2026-02-01</t>
        </is>
      </c>
      <c r="F371" t="inlineStr">
        <is>
          <t>inventory_analysis</t>
        </is>
      </c>
      <c r="G371" t="inlineStr">
        <is>
          <t>ALT DuPont</t>
        </is>
      </c>
      <c r="H371" t="inlineStr">
        <is>
          <t>E132</t>
        </is>
      </c>
      <c r="I371">
        <f>E130+E131</f>
        <v/>
      </c>
      <c r="J371" t="n">
        <v>258671.9999999998</v>
      </c>
      <c r="K371" t="n">
        <v>0.01</v>
      </c>
      <c r="L371" t="inlineStr">
        <is>
          <t>inventory_revenue_scale_effect__20260201,inventory_intensity_effect__20260201</t>
        </is>
      </c>
      <c r="M371" t="inlineStr">
        <is>
          <t>Reconstructed inventory change = revenue-scale effect + intensity effect.|When defined, this reconciles to the adjacent inventory change.|Arithmetic decomposition only; not cash movement, deterioration, seasonality, markdowns, or management causes.</t>
        </is>
      </c>
      <c r="O371" t="inlineStr">
        <is>
          <t>pending</t>
        </is>
      </c>
      <c r="P371" t="inlineStr">
        <is>
          <t>reconstructed_inventory_change</t>
        </is>
      </c>
      <c r="Q371" t="n">
        <v>149</v>
      </c>
      <c r="R371" t="n">
        <v>3</v>
      </c>
      <c r="S371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2026-09-15T09:12:08Z</dcterms:created>
  <dcterms:modified xsi:type="dcterms:W3CDTF">2026-09-15T09:12:08Z</dcterms:modified>
</cp:coreProperties>
</file>