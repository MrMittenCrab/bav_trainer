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C87:E87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C88:E88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C89:E89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C90:E90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C92:E92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C93:E93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C94:E94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C95:E95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C97:E97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C98:E98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C99:E99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C100:E100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GOODWILL &amp; INTANGIBLES CONTEXT</t>
        </is>
      </c>
    </row>
    <row r="86">
      <c r="A86" s="10" t="inlineStr">
        <is>
          <t>Goodwill</t>
        </is>
      </c>
      <c r="B86" s="12">
        <f>'Balance Sheet'!B22</f>
        <v/>
      </c>
      <c r="C86" s="12">
        <f>'Balance Sheet'!C22</f>
        <v/>
      </c>
      <c r="D86" s="12">
        <f>'Balance Sheet'!D22</f>
        <v/>
      </c>
      <c r="E86" s="12">
        <f>'Balance Sheet'!E22</f>
        <v/>
      </c>
    </row>
    <row r="87">
      <c r="A87" s="10" t="inlineStr">
        <is>
          <t>Change in Goodwill</t>
        </is>
      </c>
      <c r="C87" s="15">
        <f>C86-B86</f>
        <v/>
      </c>
      <c r="D87" s="15">
        <f>D86-C86</f>
        <v/>
      </c>
      <c r="E87" s="15">
        <f>E86-D86</f>
        <v/>
      </c>
    </row>
    <row r="88">
      <c r="A88" s="10" t="inlineStr">
        <is>
          <t>Goodwill Growth</t>
        </is>
      </c>
      <c r="C88" s="14">
        <f>IF(B86=0,NA(),C86/B86-1)</f>
        <v/>
      </c>
      <c r="D88" s="14">
        <f>IF(C86=0,NA(),D86/C86-1)</f>
        <v/>
      </c>
      <c r="E88" s="14">
        <f>IF(D86=0,NA(),E86/D86-1)</f>
        <v/>
      </c>
    </row>
    <row r="89">
      <c r="A89" s="10" t="inlineStr">
        <is>
          <t>Average Goodwill</t>
        </is>
      </c>
      <c r="C89" s="15">
        <f>(B86+C86)/2</f>
        <v/>
      </c>
      <c r="D89" s="15">
        <f>(C86+D86)/2</f>
        <v/>
      </c>
      <c r="E89" s="15">
        <f>(D86+E86)/2</f>
        <v/>
      </c>
    </row>
    <row r="90">
      <c r="A90" s="10" t="inlineStr">
        <is>
          <t>Average Goodwill / Revenue</t>
        </is>
      </c>
      <c r="C90" s="14">
        <f>IF('Condensed Financials'!C34=0,NA(),C89/'Condensed Financials'!C34)</f>
        <v/>
      </c>
      <c r="D90" s="14">
        <f>IF('Condensed Financials'!D34=0,NA(),D89/'Condensed Financials'!D34)</f>
        <v/>
      </c>
      <c r="E90" s="14">
        <f>IF('Condensed Financials'!E34=0,NA(),E89/'Condensed Financials'!E34)</f>
        <v/>
      </c>
    </row>
    <row r="91">
      <c r="A91" s="10" t="inlineStr">
        <is>
          <t>Intangible Assets</t>
        </is>
      </c>
      <c r="B91" s="12">
        <f>'Balance Sheet'!B23</f>
        <v/>
      </c>
      <c r="C91" s="12">
        <f>'Balance Sheet'!C23</f>
        <v/>
      </c>
      <c r="D91" s="12">
        <f>'Balance Sheet'!D23</f>
        <v/>
      </c>
      <c r="E91" s="12">
        <f>'Balance Sheet'!E23</f>
        <v/>
      </c>
    </row>
    <row r="92">
      <c r="A92" s="10" t="inlineStr">
        <is>
          <t>Change in Intangible Assets</t>
        </is>
      </c>
      <c r="C92" s="15">
        <f>C91-B91</f>
        <v/>
      </c>
      <c r="D92" s="15">
        <f>D91-C91</f>
        <v/>
      </c>
      <c r="E92" s="15">
        <f>E91-D91</f>
        <v/>
      </c>
    </row>
    <row r="93">
      <c r="A93" s="10" t="inlineStr">
        <is>
          <t>Intangible Assets Growth</t>
        </is>
      </c>
      <c r="C93" s="14">
        <f>IF(B91=0,NA(),C91/B91-1)</f>
        <v/>
      </c>
      <c r="D93" s="14">
        <f>IF(C91=0,NA(),D91/C91-1)</f>
        <v/>
      </c>
      <c r="E93" s="14">
        <f>IF(D91=0,NA(),E91/D91-1)</f>
        <v/>
      </c>
    </row>
    <row r="94">
      <c r="A94" s="10" t="inlineStr">
        <is>
          <t>Average Intangible Assets</t>
        </is>
      </c>
      <c r="C94" s="15">
        <f>(B91+C91)/2</f>
        <v/>
      </c>
      <c r="D94" s="15">
        <f>(C91+D91)/2</f>
        <v/>
      </c>
      <c r="E94" s="15">
        <f>(D91+E91)/2</f>
        <v/>
      </c>
    </row>
    <row r="95">
      <c r="A95" s="10" t="inlineStr">
        <is>
          <t>Average Intangible Assets / Revenue</t>
        </is>
      </c>
      <c r="C95" s="14">
        <f>IF('Condensed Financials'!C34=0,NA(),C94/'Condensed Financials'!C34)</f>
        <v/>
      </c>
      <c r="D95" s="14">
        <f>IF('Condensed Financials'!D34=0,NA(),D94/'Condensed Financials'!D34)</f>
        <v/>
      </c>
      <c r="E95" s="14">
        <f>IF('Condensed Financials'!E34=0,NA(),E94/'Condensed Financials'!E34)</f>
        <v/>
      </c>
    </row>
    <row r="96">
      <c r="A96" s="10" t="inlineStr">
        <is>
          <t>Goodwill &amp; Intangibles</t>
        </is>
      </c>
      <c r="B96" s="12">
        <f>B86+B91</f>
        <v/>
      </c>
      <c r="C96" s="12">
        <f>C86+C91</f>
        <v/>
      </c>
      <c r="D96" s="12">
        <f>D86+D91</f>
        <v/>
      </c>
      <c r="E96" s="12">
        <f>E86+E91</f>
        <v/>
      </c>
    </row>
    <row r="97">
      <c r="A97" s="10" t="inlineStr">
        <is>
          <t>Change in Goodwill &amp; Intangibles</t>
        </is>
      </c>
      <c r="C97" s="15">
        <f>C96-B96</f>
        <v/>
      </c>
      <c r="D97" s="15">
        <f>D96-C96</f>
        <v/>
      </c>
      <c r="E97" s="15">
        <f>E96-D96</f>
        <v/>
      </c>
    </row>
    <row r="98">
      <c r="A98" s="10" t="inlineStr">
        <is>
          <t>Goodwill &amp; Intangibles Growth</t>
        </is>
      </c>
      <c r="C98" s="14">
        <f>IF(B96=0,NA(),C96/B96-1)</f>
        <v/>
      </c>
      <c r="D98" s="14">
        <f>IF(C96=0,NA(),D96/C96-1)</f>
        <v/>
      </c>
      <c r="E98" s="14">
        <f>IF(D96=0,NA(),E96/D96-1)</f>
        <v/>
      </c>
    </row>
    <row r="99">
      <c r="A99" s="10" t="inlineStr">
        <is>
          <t>Average Goodwill &amp; Intangibles</t>
        </is>
      </c>
      <c r="C99" s="15">
        <f>(B96+C96)/2</f>
        <v/>
      </c>
      <c r="D99" s="15">
        <f>(C96+D96)/2</f>
        <v/>
      </c>
      <c r="E99" s="15">
        <f>(D96+E96)/2</f>
        <v/>
      </c>
    </row>
    <row r="100">
      <c r="A100" s="10" t="inlineStr">
        <is>
          <t>Average Goodwill &amp; Intangibles / Revenue</t>
        </is>
      </c>
      <c r="C100" s="14">
        <f>IF('Condensed Financials'!C34=0,NA(),C99/'Condensed Financials'!C34)</f>
        <v/>
      </c>
      <c r="D100" s="14">
        <f>IF('Condensed Financials'!D34=0,NA(),D99/'Condensed Financials'!D34)</f>
        <v/>
      </c>
      <c r="E100" s="14">
        <f>IF('Condensed Financials'!E34=0,NA(),E99/'Condensed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C87</t>
        </is>
      </c>
      <c r="I218">
        <f>C86-B86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D87</t>
        </is>
      </c>
      <c r="I219">
        <f>D86-C86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E87</t>
        </is>
      </c>
      <c r="I220">
        <f>E86-D86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C88</t>
        </is>
      </c>
      <c r="I221">
        <f>IF(B86=0,NA(),C86/B86-1)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D88</t>
        </is>
      </c>
      <c r="I222">
        <f>IF(C86=0,NA(),D86/C86-1)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E88</t>
        </is>
      </c>
      <c r="I223">
        <f>IF(D86=0,NA(),E86/D86-1)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C89</t>
        </is>
      </c>
      <c r="I224">
        <f>(B86+C86)/2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D89</t>
        </is>
      </c>
      <c r="I225">
        <f>(C86+D86)/2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E89</t>
        </is>
      </c>
      <c r="I226">
        <f>(D86+E86)/2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C90</t>
        </is>
      </c>
      <c r="I227">
        <f>IF('Condensed Financials'!C34=0,NA(),C89/'Condensed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D90</t>
        </is>
      </c>
      <c r="I228">
        <f>IF('Condensed Financials'!D34=0,NA(),D89/'Condensed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E90</t>
        </is>
      </c>
      <c r="I229">
        <f>IF('Condensed Financials'!E34=0,NA(),E89/'Condensed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C92</t>
        </is>
      </c>
      <c r="I230">
        <f>C91-B91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D92</t>
        </is>
      </c>
      <c r="I231">
        <f>D91-C91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E92</t>
        </is>
      </c>
      <c r="I232">
        <f>E91-D91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C93</t>
        </is>
      </c>
      <c r="I233">
        <f>IF(B91=0,NA(),C91/B91-1)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D93</t>
        </is>
      </c>
      <c r="I234">
        <f>IF(C91=0,NA(),D91/C91-1)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E93</t>
        </is>
      </c>
      <c r="I235">
        <f>IF(D91=0,NA(),E91/D91-1)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C94</t>
        </is>
      </c>
      <c r="I236">
        <f>(B91+C91)/2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D94</t>
        </is>
      </c>
      <c r="I237">
        <f>(C91+D91)/2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E94</t>
        </is>
      </c>
      <c r="I238">
        <f>(D91+E91)/2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C95</t>
        </is>
      </c>
      <c r="I239">
        <f>IF('Condensed Financials'!C34=0,NA(),C94/'Condensed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D95</t>
        </is>
      </c>
      <c r="I240">
        <f>IF('Condensed Financials'!D34=0,NA(),D94/'Condensed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E95</t>
        </is>
      </c>
      <c r="I241">
        <f>IF('Condensed Financials'!E34=0,NA(),E94/'Condensed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C97</t>
        </is>
      </c>
      <c r="I242">
        <f>C96-B96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D97</t>
        </is>
      </c>
      <c r="I243">
        <f>D96-C96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E97</t>
        </is>
      </c>
      <c r="I244">
        <f>E96-D96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C98</t>
        </is>
      </c>
      <c r="I245">
        <f>IF(B96=0,NA(),C96/B96-1)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D98</t>
        </is>
      </c>
      <c r="I246">
        <f>IF(C96=0,NA(),D96/C96-1)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E98</t>
        </is>
      </c>
      <c r="I247">
        <f>IF(D96=0,NA(),E96/D96-1)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C99</t>
        </is>
      </c>
      <c r="I248">
        <f>(B96+C96)/2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D99</t>
        </is>
      </c>
      <c r="I249">
        <f>(C96+D96)/2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E99</t>
        </is>
      </c>
      <c r="I250">
        <f>(D96+E96)/2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C100</t>
        </is>
      </c>
      <c r="I251">
        <f>IF('Condensed Financials'!C34=0,NA(),C99/'Condensed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D100</t>
        </is>
      </c>
      <c r="I252">
        <f>IF('Condensed Financials'!D34=0,NA(),D99/'Condensed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E100</t>
        </is>
      </c>
      <c r="I253">
        <f>IF('Condensed Financials'!E34=0,NA(),E99/'Condensed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2026-09-15T07:28:12Z</dcterms:created>
  <dcterms:modified xsi:type="dcterms:W3CDTF">2026-09-15T07:28:12Z</dcterms:modified>
</cp:coreProperties>
</file>