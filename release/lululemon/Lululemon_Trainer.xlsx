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er" sheetId="1" state="visible" r:id="rId1"/>
    <sheet name="Income Statement" sheetId="2" state="visible" r:id="rId2"/>
    <sheet name="Balance Sheet" sheetId="3" state="visible" r:id="rId3"/>
    <sheet name="Cash Flow Statement" sheetId="4" state="visible" r:id="rId4"/>
    <sheet name="Condensed Financials" sheetId="5" state="visible" r:id="rId5"/>
    <sheet name="ALT DuPont" sheetId="6" state="visible" r:id="rId6"/>
    <sheet name="Accounting Judgment" sheetId="7" state="visible" r:id="rId7"/>
    <sheet name="Earnings Quality" sheetId="8" state="visible" r:id="rId8"/>
    <sheet name="Working Capital Analysis" sheetId="9" state="visible" r:id="rId9"/>
    <sheet name="Per Share Analysis" sheetId="10" state="visible" r:id="rId10"/>
    <sheet name="Model_Bear" sheetId="11" state="hidden" r:id="rId11"/>
    <sheet name="Model_Base" sheetId="12" state="hidden" r:id="rId12"/>
    <sheet name="Model_Bull" sheetId="13" state="hidden" r:id="rId13"/>
    <sheet name="Scenario_Summary" sheetId="14" state="hidden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m dd, yyyy"/>
    <numFmt numFmtId="165" formatCode="#,##0;(#,##0)"/>
    <numFmt numFmtId="166" formatCode="0.0%"/>
    <numFmt numFmtId="167" formatCode="0.00x"/>
    <numFmt numFmtId="168" formatCode="#,##0.0;(#,##0.0)"/>
    <numFmt numFmtId="169" formatCode="0.000"/>
  </numFmts>
  <fonts count="4">
    <font>
      <name val="Calibri"/>
      <family val="2"/>
      <color theme="1"/>
      <sz val="11"/>
      <scheme val="minor"/>
    </font>
    <font>
      <b val="1"/>
    </font>
    <font/>
    <font>
      <name val="Aptos Narrow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2" borderId="0" applyAlignment="1" pivotButton="0" quotePrefix="0" xfId="0">
      <alignment vertical="top" wrapText="1"/>
    </xf>
    <xf numFmtId="168" fontId="0" fillId="0" borderId="0" pivotButton="0" quotePrefix="0" xfId="0"/>
    <xf numFmtId="169" fontId="0" fillId="0" borderId="0" pivotButton="0" quotePrefix="0" xfId="0"/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3" fillId="2" borderId="1" pivotButton="0" quotePrefix="0" xfId="0"/>
    <xf numFmtId="166" fontId="3" fillId="2" borderId="1" pivotButton="0" quotePrefix="0" xfId="0"/>
    <xf numFmtId="165" fontId="3" fillId="2" borderId="1" pivotButton="0" quotePrefix="0" xfId="0"/>
    <xf numFmtId="167" fontId="3" fillId="2" borderId="1" pivotButton="0" quotePrefix="0" xfId="0"/>
    <xf numFmtId="0" fontId="3" fillId="2" borderId="1" applyAlignment="1" pivotButton="0" quotePrefix="0" xfId="0">
      <alignment vertical="top" wrapText="1"/>
    </xf>
    <xf numFmtId="168" fontId="3" fillId="3" borderId="1" pivotButton="0" quotePrefix="0" xfId="0"/>
    <xf numFmtId="169" fontId="3" fillId="2" borderId="1" pivotButton="0" quotePrefix="0" xfId="0"/>
    <xf numFmtId="168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22" customWidth="1" min="4" max="4"/>
    <col width="28" customWidth="1" min="5" max="5"/>
    <col width="28" customWidth="1" min="6" max="6"/>
  </cols>
  <sheetData>
    <row r="1">
      <c r="A1" s="10" t="inlineStr">
        <is>
          <t>BAV Excel Trainer</t>
        </is>
      </c>
    </row>
    <row r="2">
      <c r="A2" s="10" t="inlineStr">
        <is>
          <t>Complete each historical model-construction and earnings-quality diagnostic formula schedule left-to-right in dependency order. Run Check to validate the yellow formula cells against the treatment currently selected in Accounting Judgment column F (blank F uses the supplied reference treatment). Generated Condensed Financials classification links are system-controlled and validated by Check—do not edit them or columns D:E. When Normalization Judgment is present, choose Recurring vs Non-recurring in column F (blank uses the supplied reference); Earnings Normalization formulas are checked against that choice. Also complete Accounting Judgment and Normalization Judgment rationale/consequence when cases are present; those responses are not graded by Check. Compare them with the matching Answer Key.</t>
        </is>
      </c>
    </row>
    <row r="4">
      <c r="A4" s="10" t="inlineStr">
        <is>
          <t>Order</t>
        </is>
      </c>
      <c r="B4" s="10" t="inlineStr">
        <is>
          <t>Schedule</t>
        </is>
      </c>
      <c r="C4" s="10" t="inlineStr">
        <is>
          <t>Period scope</t>
        </is>
      </c>
      <c r="D4" s="10" t="inlineStr">
        <is>
          <t>Tab</t>
        </is>
      </c>
      <c r="E4" s="10" t="inlineStr">
        <is>
          <t>Practice cells</t>
        </is>
      </c>
      <c r="F4" s="10" t="inlineStr">
        <is>
          <t>Depends on</t>
        </is>
      </c>
    </row>
    <row r="5">
      <c r="A5" s="10" t="n">
        <v>1</v>
      </c>
      <c r="B5" s="10" t="inlineStr">
        <is>
          <t>Revenue historical source link</t>
        </is>
      </c>
      <c r="C5" s="10" t="inlineStr">
        <is>
          <t>2023–2026 (4 cells)</t>
        </is>
      </c>
      <c r="D5" s="10" t="inlineStr">
        <is>
          <t>Condensed Financials</t>
        </is>
      </c>
      <c r="E5" s="10" t="inlineStr">
        <is>
          <t>B34:E34</t>
        </is>
      </c>
      <c r="F5" s="10" t="inlineStr">
        <is>
          <t>—</t>
        </is>
      </c>
    </row>
    <row r="6">
      <c r="A6" s="10" t="n">
        <v>2</v>
      </c>
      <c r="B6" s="10" t="inlineStr">
        <is>
          <t>Net Income historical source link</t>
        </is>
      </c>
      <c r="C6" s="10" t="inlineStr">
        <is>
          <t>2023–2026 (4 cells)</t>
        </is>
      </c>
      <c r="D6" s="10" t="inlineStr">
        <is>
          <t>Condensed Financials</t>
        </is>
      </c>
      <c r="E6" s="10" t="inlineStr">
        <is>
          <t>B35:E35</t>
        </is>
      </c>
      <c r="F6" s="10" t="inlineStr">
        <is>
          <t>—</t>
        </is>
      </c>
    </row>
    <row r="7">
      <c r="A7" s="10" t="n">
        <v>3</v>
      </c>
      <c r="B7" s="10" t="inlineStr">
        <is>
          <t>Effective tax rate</t>
        </is>
      </c>
      <c r="C7" s="10" t="inlineStr">
        <is>
          <t>2023–2026 (4 cells)</t>
        </is>
      </c>
      <c r="D7" s="10" t="inlineStr">
        <is>
          <t>Condensed Financials</t>
        </is>
      </c>
      <c r="E7" s="10" t="inlineStr">
        <is>
          <t>B38:E38</t>
        </is>
      </c>
      <c r="F7" s="10" t="inlineStr">
        <is>
          <t>—</t>
        </is>
      </c>
    </row>
    <row r="8">
      <c r="A8" s="10" t="n">
        <v>7</v>
      </c>
      <c r="B8" s="10" t="inlineStr">
        <is>
          <t>Operating working capital assets</t>
        </is>
      </c>
      <c r="C8" s="10" t="inlineStr">
        <is>
          <t>2023–2026 (4 cells)</t>
        </is>
      </c>
      <c r="D8" s="10" t="inlineStr">
        <is>
          <t>Condensed Financials</t>
        </is>
      </c>
      <c r="E8" s="10" t="inlineStr">
        <is>
          <t>B44:E44</t>
        </is>
      </c>
      <c r="F8" s="10" t="inlineStr">
        <is>
          <t>—</t>
        </is>
      </c>
    </row>
    <row r="9">
      <c r="A9" s="10" t="n">
        <v>8</v>
      </c>
      <c r="B9" s="10" t="inlineStr">
        <is>
          <t>Operating working capital liabilities</t>
        </is>
      </c>
      <c r="C9" s="10" t="inlineStr">
        <is>
          <t>2023–2026 (4 cells)</t>
        </is>
      </c>
      <c r="D9" s="10" t="inlineStr">
        <is>
          <t>Condensed Financials</t>
        </is>
      </c>
      <c r="E9" s="10" t="inlineStr">
        <is>
          <t>B45:E45</t>
        </is>
      </c>
      <c r="F9" s="10" t="inlineStr">
        <is>
          <t>—</t>
        </is>
      </c>
    </row>
    <row r="10">
      <c r="A10" s="10" t="n">
        <v>9</v>
      </c>
      <c r="B10" s="10" t="inlineStr">
        <is>
          <t>Net Operating Working Capital (NOWC)</t>
        </is>
      </c>
      <c r="C10" s="10" t="inlineStr">
        <is>
          <t>2023–2026 (4 cells)</t>
        </is>
      </c>
      <c r="D10" s="10" t="inlineStr">
        <is>
          <t>Condensed Financials</t>
        </is>
      </c>
      <c r="E10" s="10" t="inlineStr">
        <is>
          <t>B46:E46</t>
        </is>
      </c>
      <c r="F10" s="10" t="inlineStr">
        <is>
          <t>owca_agg, owcl_agg</t>
        </is>
      </c>
    </row>
    <row r="11">
      <c r="A11" s="10" t="n">
        <v>10</v>
      </c>
      <c r="B11" s="10" t="inlineStr">
        <is>
          <t>Operating long-term assets</t>
        </is>
      </c>
      <c r="C11" s="10" t="inlineStr">
        <is>
          <t>2023–2026 (4 cells)</t>
        </is>
      </c>
      <c r="D11" s="10" t="inlineStr">
        <is>
          <t>Condensed Financials</t>
        </is>
      </c>
      <c r="E11" s="10" t="inlineStr">
        <is>
          <t>B47:E47</t>
        </is>
      </c>
      <c r="F11" s="10" t="inlineStr">
        <is>
          <t>—</t>
        </is>
      </c>
    </row>
    <row r="12">
      <c r="A12" s="10" t="n">
        <v>11</v>
      </c>
      <c r="B12" s="10" t="inlineStr">
        <is>
          <t>Operating long-term liabilities</t>
        </is>
      </c>
      <c r="C12" s="10" t="inlineStr">
        <is>
          <t>2023–2026 (4 cells)</t>
        </is>
      </c>
      <c r="D12" s="10" t="inlineStr">
        <is>
          <t>Condensed Financials</t>
        </is>
      </c>
      <c r="E12" s="10" t="inlineStr">
        <is>
          <t>B48:E48</t>
        </is>
      </c>
      <c r="F12" s="10" t="inlineStr">
        <is>
          <t>—</t>
        </is>
      </c>
    </row>
    <row r="13">
      <c r="A13" s="10" t="n">
        <v>12</v>
      </c>
      <c r="B13" s="10" t="inlineStr">
        <is>
          <t>Net operating long-term assets (NOLA)</t>
        </is>
      </c>
      <c r="C13" s="10" t="inlineStr">
        <is>
          <t>2023–2026 (4 cells)</t>
        </is>
      </c>
      <c r="D13" s="10" t="inlineStr">
        <is>
          <t>Condensed Financials</t>
        </is>
      </c>
      <c r="E13" s="10" t="inlineStr">
        <is>
          <t>B49:E49</t>
        </is>
      </c>
      <c r="F13" s="10" t="inlineStr">
        <is>
          <t>olta_agg, oltl_agg</t>
        </is>
      </c>
    </row>
    <row r="14">
      <c r="A14" s="10" t="n">
        <v>13</v>
      </c>
      <c r="B14" s="10" t="inlineStr">
        <is>
          <t>Net Operating Assets (NOA)</t>
        </is>
      </c>
      <c r="C14" s="10" t="inlineStr">
        <is>
          <t>2023–2026 (4 cells)</t>
        </is>
      </c>
      <c r="D14" s="10" t="inlineStr">
        <is>
          <t>Condensed Financials</t>
        </is>
      </c>
      <c r="E14" s="10" t="inlineStr">
        <is>
          <t>B50:E50</t>
        </is>
      </c>
      <c r="F14" s="10" t="inlineStr">
        <is>
          <t>nowc_agg, nola_agg</t>
        </is>
      </c>
    </row>
    <row r="15">
      <c r="A15" s="10" t="n">
        <v>14</v>
      </c>
      <c r="B15" s="10" t="inlineStr">
        <is>
          <t>Financial assets</t>
        </is>
      </c>
      <c r="C15" s="10" t="inlineStr">
        <is>
          <t>2023–2026 (4 cells)</t>
        </is>
      </c>
      <c r="D15" s="10" t="inlineStr">
        <is>
          <t>Condensed Financials</t>
        </is>
      </c>
      <c r="E15" s="10" t="inlineStr">
        <is>
          <t>B51:E51</t>
        </is>
      </c>
      <c r="F15" s="10" t="inlineStr">
        <is>
          <t>—</t>
        </is>
      </c>
    </row>
    <row r="16">
      <c r="A16" s="10" t="n">
        <v>15</v>
      </c>
      <c r="B16" s="10" t="inlineStr">
        <is>
          <t>Financial liabilities</t>
        </is>
      </c>
      <c r="C16" s="10" t="inlineStr">
        <is>
          <t>2023–2026 (4 cells)</t>
        </is>
      </c>
      <c r="D16" s="10" t="inlineStr">
        <is>
          <t>Condensed Financials</t>
        </is>
      </c>
      <c r="E16" s="10" t="inlineStr">
        <is>
          <t>B52:E52</t>
        </is>
      </c>
      <c r="F16" s="10" t="inlineStr">
        <is>
          <t>—</t>
        </is>
      </c>
    </row>
    <row r="17">
      <c r="A17" s="10" t="n">
        <v>16</v>
      </c>
      <c r="B17" s="10" t="inlineStr">
        <is>
          <t>Net Debt</t>
        </is>
      </c>
      <c r="C17" s="10" t="inlineStr">
        <is>
          <t>2023–2026 (4 cells)</t>
        </is>
      </c>
      <c r="D17" s="10" t="inlineStr">
        <is>
          <t>Condensed Financials</t>
        </is>
      </c>
      <c r="E17" s="10" t="inlineStr">
        <is>
          <t>B53:E53</t>
        </is>
      </c>
      <c r="F17" s="10" t="inlineStr">
        <is>
          <t>financial_assets_agg, financial_liabilities_agg</t>
        </is>
      </c>
    </row>
    <row r="18">
      <c r="A18" s="10" t="n">
        <v>17</v>
      </c>
      <c r="B18" s="10" t="inlineStr">
        <is>
          <t>Reformulated equity</t>
        </is>
      </c>
      <c r="C18" s="10" t="inlineStr">
        <is>
          <t>2023–2026 (4 cells)</t>
        </is>
      </c>
      <c r="D18" s="10" t="inlineStr">
        <is>
          <t>Condensed Financials</t>
        </is>
      </c>
      <c r="E18" s="10" t="inlineStr">
        <is>
          <t>B54:E54</t>
        </is>
      </c>
      <c r="F18" s="10" t="inlineStr">
        <is>
          <t>noa_agg, net_debt</t>
        </is>
      </c>
    </row>
    <row r="19">
      <c r="A19" s="10" t="n">
        <v>18</v>
      </c>
      <c r="B19" s="10" t="inlineStr">
        <is>
          <t>Sales Growth</t>
        </is>
      </c>
      <c r="C19" s="10" t="inlineStr">
        <is>
          <t>2024–2026 (3 cells)</t>
        </is>
      </c>
      <c r="D19" s="10" t="inlineStr">
        <is>
          <t>ALT DuPont</t>
        </is>
      </c>
      <c r="E19" s="10" t="inlineStr">
        <is>
          <t>C5:E5</t>
        </is>
      </c>
      <c r="F19" s="10" t="inlineStr">
        <is>
          <t>revenue_link</t>
        </is>
      </c>
    </row>
    <row r="20">
      <c r="A20" s="10" t="n">
        <v>23</v>
      </c>
      <c r="B20" s="10" t="inlineStr">
        <is>
          <t>Financial leverage (FLEV)</t>
        </is>
      </c>
      <c r="C20" s="10" t="inlineStr">
        <is>
          <t>2024–2026 (3 cells)</t>
        </is>
      </c>
      <c r="D20" s="10" t="inlineStr">
        <is>
          <t>ALT DuPont</t>
        </is>
      </c>
      <c r="E20" s="10" t="inlineStr">
        <is>
          <t>C10:E10</t>
        </is>
      </c>
      <c r="F20" s="10" t="inlineStr">
        <is>
          <t>net_debt, equity_reformulated_fy</t>
        </is>
      </c>
    </row>
    <row r="21">
      <c r="A21" s="10" t="n">
        <v>25</v>
      </c>
      <c r="B21" s="10" t="inlineStr">
        <is>
          <t>Actual ROE</t>
        </is>
      </c>
      <c r="C21" s="10" t="inlineStr">
        <is>
          <t>2024–2026 (3 cells)</t>
        </is>
      </c>
      <c r="D21" s="10" t="inlineStr">
        <is>
          <t>ALT DuPont</t>
        </is>
      </c>
      <c r="E21" s="10" t="inlineStr">
        <is>
          <t>C12:E12</t>
        </is>
      </c>
      <c r="F21" s="10" t="inlineStr">
        <is>
          <t>net_income_link, equity_reformulated_fy</t>
        </is>
      </c>
    </row>
    <row r="22">
      <c r="A22" s="10" t="n">
        <v>30</v>
      </c>
      <c r="B22" s="10" t="inlineStr">
        <is>
          <t>Operating cash flow historical source link</t>
        </is>
      </c>
      <c r="C22" s="10" t="inlineStr">
        <is>
          <t>2023–2026 (4 cells)</t>
        </is>
      </c>
      <c r="D22" s="10" t="inlineStr">
        <is>
          <t>Earnings Quality</t>
        </is>
      </c>
      <c r="E22" s="10" t="inlineStr">
        <is>
          <t>B5:E5</t>
        </is>
      </c>
      <c r="F22" s="10" t="inlineStr">
        <is>
          <t>—</t>
        </is>
      </c>
    </row>
    <row r="23">
      <c r="A23" s="10" t="n">
        <v>31</v>
      </c>
      <c r="B23" s="10" t="inlineStr">
        <is>
          <t>Cash conversion ratio</t>
        </is>
      </c>
      <c r="C23" s="10" t="inlineStr">
        <is>
          <t>2023–2026 (4 cells)</t>
        </is>
      </c>
      <c r="D23" s="10" t="inlineStr">
        <is>
          <t>Earnings Quality</t>
        </is>
      </c>
      <c r="E23" s="10" t="inlineStr">
        <is>
          <t>B7:E7</t>
        </is>
      </c>
      <c r="F23" s="10" t="inlineStr">
        <is>
          <t>operating_cash_flow_link, net_income_link</t>
        </is>
      </c>
    </row>
    <row r="24">
      <c r="A24" s="10" t="n">
        <v>32</v>
      </c>
      <c r="B24" s="10" t="inlineStr">
        <is>
          <t>Total accruals</t>
        </is>
      </c>
      <c r="C24" s="10" t="inlineStr">
        <is>
          <t>2023–2026 (4 cells)</t>
        </is>
      </c>
      <c r="D24" s="10" t="inlineStr">
        <is>
          <t>Earnings Quality</t>
        </is>
      </c>
      <c r="E24" s="10" t="inlineStr">
        <is>
          <t>B8:E8</t>
        </is>
      </c>
      <c r="F24" s="10" t="inlineStr">
        <is>
          <t>operating_cash_flow_link, net_income_link</t>
        </is>
      </c>
    </row>
    <row r="25">
      <c r="A25" s="10" t="n">
        <v>33</v>
      </c>
      <c r="B25" s="10" t="inlineStr">
        <is>
          <t>Average total assets</t>
        </is>
      </c>
      <c r="C25" s="10" t="inlineStr">
        <is>
          <t>2024–2026 (3 cells)</t>
        </is>
      </c>
      <c r="D25" s="10" t="inlineStr">
        <is>
          <t>Earnings Quality</t>
        </is>
      </c>
      <c r="E25" s="10" t="inlineStr">
        <is>
          <t>C11:E11</t>
        </is>
      </c>
      <c r="F25" s="10" t="inlineStr">
        <is>
          <t>—</t>
        </is>
      </c>
    </row>
    <row r="26">
      <c r="A26" s="10" t="n">
        <v>34</v>
      </c>
      <c r="B26" s="10" t="inlineStr">
        <is>
          <t>Accrual ratio</t>
        </is>
      </c>
      <c r="C26" s="10" t="inlineStr">
        <is>
          <t>2024–2026 (3 cells)</t>
        </is>
      </c>
      <c r="D26" s="10" t="inlineStr">
        <is>
          <t>Earnings Quality</t>
        </is>
      </c>
      <c r="E26" s="10" t="inlineStr">
        <is>
          <t>C12:E12</t>
        </is>
      </c>
      <c r="F26" s="10" t="inlineStr">
        <is>
          <t>total_accruals, average_total_assets</t>
        </is>
      </c>
    </row>
    <row r="27">
      <c r="A27" s="10" t="n">
        <v>35</v>
      </c>
      <c r="B27" s="10" t="inlineStr">
        <is>
          <t>Operating working capital assets / Revenue</t>
        </is>
      </c>
      <c r="C27" s="10" t="inlineStr">
        <is>
          <t>2023–2026 (4 cells)</t>
        </is>
      </c>
      <c r="D27" s="10" t="inlineStr">
        <is>
          <t>Working Capital Analysis</t>
        </is>
      </c>
      <c r="E27" s="10" t="inlineStr">
        <is>
          <t>B11:E11</t>
        </is>
      </c>
      <c r="F27" s="10" t="inlineStr">
        <is>
          <t>—</t>
        </is>
      </c>
    </row>
    <row r="28">
      <c r="A28" s="10" t="n">
        <v>36</v>
      </c>
      <c r="B28" s="10" t="inlineStr">
        <is>
          <t>Operating working capital liabilities / Revenue</t>
        </is>
      </c>
      <c r="C28" s="10" t="inlineStr">
        <is>
          <t>2023–2026 (4 cells)</t>
        </is>
      </c>
      <c r="D28" s="10" t="inlineStr">
        <is>
          <t>Working Capital Analysis</t>
        </is>
      </c>
      <c r="E28" s="10" t="inlineStr">
        <is>
          <t>B12:E12</t>
        </is>
      </c>
      <c r="F28" s="10" t="inlineStr">
        <is>
          <t>—</t>
        </is>
      </c>
    </row>
    <row r="29">
      <c r="A29" s="10" t="n">
        <v>37</v>
      </c>
      <c r="B29" s="10" t="inlineStr">
        <is>
          <t>NOWC / Revenue</t>
        </is>
      </c>
      <c r="C29" s="10" t="inlineStr">
        <is>
          <t>2023–2026 (4 cells)</t>
        </is>
      </c>
      <c r="D29" s="10" t="inlineStr">
        <is>
          <t>Working Capital Analysis</t>
        </is>
      </c>
      <c r="E29" s="10" t="inlineStr">
        <is>
          <t>B13:E13</t>
        </is>
      </c>
      <c r="F29" s="10" t="inlineStr">
        <is>
          <t>—</t>
        </is>
      </c>
    </row>
    <row r="30">
      <c r="A30" s="10" t="n">
        <v>38</v>
      </c>
      <c r="B30" s="10" t="inlineStr">
        <is>
          <t>Change in Revenue</t>
        </is>
      </c>
      <c r="C30" s="10" t="inlineStr">
        <is>
          <t>2024–2026 (3 cells)</t>
        </is>
      </c>
      <c r="D30" s="10" t="inlineStr">
        <is>
          <t>Working Capital Analysis</t>
        </is>
      </c>
      <c r="E30" s="10" t="inlineStr">
        <is>
          <t>C14:E14</t>
        </is>
      </c>
      <c r="F30" s="10" t="inlineStr">
        <is>
          <t>—</t>
        </is>
      </c>
    </row>
    <row r="31">
      <c r="A31" s="10" t="n">
        <v>39</v>
      </c>
      <c r="B31" s="10" t="inlineStr">
        <is>
          <t>Change in NOWC</t>
        </is>
      </c>
      <c r="C31" s="10" t="inlineStr">
        <is>
          <t>2024–2026 (3 cells)</t>
        </is>
      </c>
      <c r="D31" s="10" t="inlineStr">
        <is>
          <t>Working Capital Analysis</t>
        </is>
      </c>
      <c r="E31" s="10" t="inlineStr">
        <is>
          <t>C15:E15</t>
        </is>
      </c>
      <c r="F31" s="10" t="inlineStr">
        <is>
          <t>—</t>
        </is>
      </c>
    </row>
    <row r="32">
      <c r="A32" s="10" t="n">
        <v>40</v>
      </c>
      <c r="B32" s="10" t="inlineStr">
        <is>
          <t>Incremental NOWC / Change in Revenue</t>
        </is>
      </c>
      <c r="C32" s="10" t="inlineStr">
        <is>
          <t>2024–2026 (3 cells)</t>
        </is>
      </c>
      <c r="D32" s="10" t="inlineStr">
        <is>
          <t>Working Capital Analysis</t>
        </is>
      </c>
      <c r="E32" s="10" t="inlineStr">
        <is>
          <t>C16:E16</t>
        </is>
      </c>
      <c r="F32" s="10" t="inlineStr">
        <is>
          <t>nowc_change, revenue_change</t>
        </is>
      </c>
    </row>
    <row r="33">
      <c r="A33" s="10" t="n">
        <v>41</v>
      </c>
      <c r="B33" s="10" t="inlineStr">
        <is>
          <t>Change in Operating Working Capital Assets</t>
        </is>
      </c>
      <c r="C33" s="10" t="inlineStr">
        <is>
          <t>2024–2026 (3 cells)</t>
        </is>
      </c>
      <c r="D33" s="10" t="inlineStr">
        <is>
          <t>Working Capital Analysis</t>
        </is>
      </c>
      <c r="E33" s="10" t="inlineStr">
        <is>
          <t>C19:E19</t>
        </is>
      </c>
      <c r="F33" s="10" t="inlineStr">
        <is>
          <t>owca_agg</t>
        </is>
      </c>
    </row>
    <row r="34">
      <c r="A34" s="10" t="n">
        <v>42</v>
      </c>
      <c r="B34" s="10" t="inlineStr">
        <is>
          <t>Change in Operating Working Capital Liabilities</t>
        </is>
      </c>
      <c r="C34" s="10" t="inlineStr">
        <is>
          <t>2024–2026 (3 cells)</t>
        </is>
      </c>
      <c r="D34" s="10" t="inlineStr">
        <is>
          <t>Working Capital Analysis</t>
        </is>
      </c>
      <c r="E34" s="10" t="inlineStr">
        <is>
          <t>C20:E20</t>
        </is>
      </c>
      <c r="F34" s="10" t="inlineStr">
        <is>
          <t>owcl_agg</t>
        </is>
      </c>
    </row>
    <row r="35">
      <c r="A35" s="10" t="n">
        <v>43</v>
      </c>
      <c r="B35" s="10" t="inlineStr">
        <is>
          <t>Change in NOWC from OWCA / OWCL bridge</t>
        </is>
      </c>
      <c r="C35" s="10" t="inlineStr">
        <is>
          <t>2024–2026 (3 cells)</t>
        </is>
      </c>
      <c r="D35" s="10" t="inlineStr">
        <is>
          <t>Working Capital Analysis</t>
        </is>
      </c>
      <c r="E35" s="10" t="inlineStr">
        <is>
          <t>C21:E21</t>
        </is>
      </c>
      <c r="F35" s="10" t="inlineStr">
        <is>
          <t>owca_change, owcl_change</t>
        </is>
      </c>
    </row>
    <row r="36">
      <c r="A36" s="10" t="n">
        <v>44</v>
      </c>
      <c r="B36" s="10" t="inlineStr">
        <is>
          <t>Incremental OWCA / Change in Revenue</t>
        </is>
      </c>
      <c r="C36" s="10" t="inlineStr">
        <is>
          <t>2024–2026 (3 cells)</t>
        </is>
      </c>
      <c r="D36" s="10" t="inlineStr">
        <is>
          <t>Working Capital Analysis</t>
        </is>
      </c>
      <c r="E36" s="10" t="inlineStr">
        <is>
          <t>C22:E22</t>
        </is>
      </c>
      <c r="F36" s="10" t="inlineStr">
        <is>
          <t>owca_change, revenue_change</t>
        </is>
      </c>
    </row>
    <row r="37">
      <c r="A37" s="10" t="n">
        <v>45</v>
      </c>
      <c r="B37" s="10" t="inlineStr">
        <is>
          <t>Incremental OWCL / Change in Revenue</t>
        </is>
      </c>
      <c r="C37" s="10" t="inlineStr">
        <is>
          <t>2024–2026 (3 cells)</t>
        </is>
      </c>
      <c r="D37" s="10" t="inlineStr">
        <is>
          <t>Working Capital Analysis</t>
        </is>
      </c>
      <c r="E37" s="10" t="inlineStr">
        <is>
          <t>C23:E23</t>
        </is>
      </c>
      <c r="F37" s="10" t="inlineStr">
        <is>
          <t>owcl_change, revenue_change</t>
        </is>
      </c>
    </row>
    <row r="38">
      <c r="A38" s="10" t="n">
        <v>46</v>
      </c>
      <c r="B38" s="10" t="inlineStr">
        <is>
          <t>Average Net Operating Assets</t>
        </is>
      </c>
      <c r="C38" s="10" t="inlineStr">
        <is>
          <t>2024–2026 (3 cells)</t>
        </is>
      </c>
      <c r="D38" s="10" t="inlineStr">
        <is>
          <t>ALT DuPont</t>
        </is>
      </c>
      <c r="E38" s="10" t="inlineStr">
        <is>
          <t>C15:E15</t>
        </is>
      </c>
      <c r="F38" s="10" t="inlineStr">
        <is>
          <t>noa_agg</t>
        </is>
      </c>
    </row>
    <row r="39">
      <c r="A39" s="10" t="n">
        <v>47</v>
      </c>
      <c r="B39" s="10" t="inlineStr">
        <is>
          <t>Net Operating Asset Turnover</t>
        </is>
      </c>
      <c r="C39" s="10" t="inlineStr">
        <is>
          <t>2024–2026 (3 cells)</t>
        </is>
      </c>
      <c r="D39" s="10" t="inlineStr">
        <is>
          <t>ALT DuPont</t>
        </is>
      </c>
      <c r="E39" s="10" t="inlineStr">
        <is>
          <t>C16:E16</t>
        </is>
      </c>
      <c r="F39" s="10" t="inlineStr">
        <is>
          <t>revenue_link, average_noa</t>
        </is>
      </c>
    </row>
    <row r="40">
      <c r="A40" s="10" t="n">
        <v>48</v>
      </c>
      <c r="B40" s="10" t="inlineStr">
        <is>
          <t>Net Operating Asset Intensity</t>
        </is>
      </c>
      <c r="C40" s="10" t="inlineStr">
        <is>
          <t>2024–2026 (3 cells)</t>
        </is>
      </c>
      <c r="D40" s="10" t="inlineStr">
        <is>
          <t>ALT DuPont</t>
        </is>
      </c>
      <c r="E40" s="10" t="inlineStr">
        <is>
          <t>C17:E17</t>
        </is>
      </c>
      <c r="F40" s="10" t="inlineStr">
        <is>
          <t>average_noa, revenue_link</t>
        </is>
      </c>
    </row>
    <row r="41">
      <c r="A41" s="10" t="n">
        <v>51</v>
      </c>
      <c r="B41" s="10" t="inlineStr">
        <is>
          <t>Change in NOA Turnover</t>
        </is>
      </c>
      <c r="C41" s="10" t="inlineStr">
        <is>
          <t>2025–2026 (2 cells)</t>
        </is>
      </c>
      <c r="D41" s="10" t="inlineStr">
        <is>
          <t>ALT DuPont</t>
        </is>
      </c>
      <c r="E41" s="10" t="inlineStr">
        <is>
          <t>D23:E23</t>
        </is>
      </c>
      <c r="F41" s="10" t="inlineStr">
        <is>
          <t>noa_turnover</t>
        </is>
      </c>
    </row>
    <row r="42">
      <c r="A42" s="10" t="n">
        <v>63</v>
      </c>
      <c r="B42" s="10" t="inlineStr">
        <is>
          <t>Change in Operating Cash Flow</t>
        </is>
      </c>
      <c r="C42" s="10" t="inlineStr">
        <is>
          <t>2024–2026 (3 cells)</t>
        </is>
      </c>
      <c r="D42" s="10" t="inlineStr">
        <is>
          <t>Earnings Quality</t>
        </is>
      </c>
      <c r="E42" s="10" t="inlineStr">
        <is>
          <t>C15:E15</t>
        </is>
      </c>
      <c r="F42" s="10" t="inlineStr">
        <is>
          <t>operating_cash_flow_link</t>
        </is>
      </c>
    </row>
    <row r="43">
      <c r="A43" s="10" t="n">
        <v>64</v>
      </c>
      <c r="B43" s="10" t="inlineStr">
        <is>
          <t>Change in Cash Conversion Ratio</t>
        </is>
      </c>
      <c r="C43" s="10" t="inlineStr">
        <is>
          <t>2024–2026 (3 cells)</t>
        </is>
      </c>
      <c r="D43" s="10" t="inlineStr">
        <is>
          <t>Earnings Quality</t>
        </is>
      </c>
      <c r="E43" s="10" t="inlineStr">
        <is>
          <t>C16:E16</t>
        </is>
      </c>
      <c r="F43" s="10" t="inlineStr">
        <is>
          <t>cash_conversion_ratio</t>
        </is>
      </c>
    </row>
    <row r="44">
      <c r="A44" s="10" t="n">
        <v>65</v>
      </c>
      <c r="B44" s="10" t="inlineStr">
        <is>
          <t>Change in Total Accruals</t>
        </is>
      </c>
      <c r="C44" s="10" t="inlineStr">
        <is>
          <t>2024–2026 (3 cells)</t>
        </is>
      </c>
      <c r="D44" s="10" t="inlineStr">
        <is>
          <t>Earnings Quality</t>
        </is>
      </c>
      <c r="E44" s="10" t="inlineStr">
        <is>
          <t>C17:E17</t>
        </is>
      </c>
      <c r="F44" s="10" t="inlineStr">
        <is>
          <t>total_accruals</t>
        </is>
      </c>
    </row>
    <row r="45">
      <c r="A45" s="10" t="n">
        <v>66</v>
      </c>
      <c r="B45" s="10" t="inlineStr">
        <is>
          <t>Change in Accrual Ratio</t>
        </is>
      </c>
      <c r="C45" s="10" t="inlineStr">
        <is>
          <t>2025–2026 (2 cells)</t>
        </is>
      </c>
      <c r="D45" s="10" t="inlineStr">
        <is>
          <t>Earnings Quality</t>
        </is>
      </c>
      <c r="E45" s="10" t="inlineStr">
        <is>
          <t>D18:E18</t>
        </is>
      </c>
      <c r="F45" s="10" t="inlineStr">
        <is>
          <t>accrual_ratio</t>
        </is>
      </c>
    </row>
    <row r="46">
      <c r="A46" s="10" t="n">
        <v>67</v>
      </c>
      <c r="B46" s="10" t="inlineStr">
        <is>
          <t>Diluted EPS (Comparable Basis)</t>
        </is>
      </c>
      <c r="C46" s="10" t="inlineStr">
        <is>
          <t>2023–2026 (4 cells)</t>
        </is>
      </c>
      <c r="D46" s="10" t="inlineStr">
        <is>
          <t>Per Share Analysis</t>
        </is>
      </c>
      <c r="E46" s="10" t="inlineStr">
        <is>
          <t>B9:E9</t>
        </is>
      </c>
      <c r="F46" s="10" t="inlineStr">
        <is>
          <t>net_income_link</t>
        </is>
      </c>
    </row>
    <row r="47">
      <c r="A47" s="10" t="n">
        <v>69</v>
      </c>
      <c r="B47" s="10" t="inlineStr">
        <is>
          <t>Change in Diluted EPS</t>
        </is>
      </c>
      <c r="C47" s="10" t="inlineStr">
        <is>
          <t>2024–2026 (3 cells)</t>
        </is>
      </c>
      <c r="D47" s="10" t="inlineStr">
        <is>
          <t>Per Share Analysis</t>
        </is>
      </c>
      <c r="E47" s="10" t="inlineStr">
        <is>
          <t>C12:E12</t>
        </is>
      </c>
      <c r="F47" s="10" t="inlineStr">
        <is>
          <t>reported_diluted_eps</t>
        </is>
      </c>
    </row>
    <row r="48">
      <c r="A48" s="10" t="n">
        <v>70</v>
      </c>
      <c r="B48" s="10" t="inlineStr">
        <is>
          <t>Change in Diluted Weighted-Average Shares</t>
        </is>
      </c>
      <c r="C48" s="10" t="inlineStr">
        <is>
          <t>2024–2026 (3 cells)</t>
        </is>
      </c>
      <c r="D48" s="10" t="inlineStr">
        <is>
          <t>Per Share Analysis</t>
        </is>
      </c>
      <c r="E48" s="10" t="inlineStr">
        <is>
          <t>C13:E13</t>
        </is>
      </c>
      <c r="F48" s="10" t="inlineStr">
        <is>
          <t>—</t>
        </is>
      </c>
    </row>
    <row r="49">
      <c r="A49" s="10" t="n">
        <v>71</v>
      </c>
      <c r="B49" s="10" t="inlineStr">
        <is>
          <t>Change in Per-Share Earnings Numerator</t>
        </is>
      </c>
      <c r="C49" s="10" t="inlineStr">
        <is>
          <t>2024–2026 (3 cells)</t>
        </is>
      </c>
      <c r="D49" s="10" t="inlineStr">
        <is>
          <t>Per Share Analysis</t>
        </is>
      </c>
      <c r="E49" s="10" t="inlineStr">
        <is>
          <t>C16:E16</t>
        </is>
      </c>
      <c r="F49" s="10" t="inlineStr">
        <is>
          <t>net_income_link</t>
        </is>
      </c>
    </row>
    <row r="50">
      <c r="A50" s="10" t="n">
        <v>72</v>
      </c>
      <c r="B50" s="10" t="inlineStr">
        <is>
          <t>Earnings Effect on Change in Diluted EPS</t>
        </is>
      </c>
      <c r="C50" s="10" t="inlineStr">
        <is>
          <t>2024–2026 (3 cells)</t>
        </is>
      </c>
      <c r="D50" s="10" t="inlineStr">
        <is>
          <t>Per Share Analysis</t>
        </is>
      </c>
      <c r="E50" s="10" t="inlineStr">
        <is>
          <t>C17:E17</t>
        </is>
      </c>
      <c r="F50" s="10" t="inlineStr">
        <is>
          <t>reported_net_income_change</t>
        </is>
      </c>
    </row>
    <row r="51">
      <c r="A51" s="10" t="n">
        <v>73</v>
      </c>
      <c r="B51" s="10" t="inlineStr">
        <is>
          <t>Share-Count Effect on Change in Diluted EPS</t>
        </is>
      </c>
      <c r="C51" s="10" t="inlineStr">
        <is>
          <t>2024–2026 (3 cells)</t>
        </is>
      </c>
      <c r="D51" s="10" t="inlineStr">
        <is>
          <t>Per Share Analysis</t>
        </is>
      </c>
      <c r="E51" s="10" t="inlineStr">
        <is>
          <t>C18:E18</t>
        </is>
      </c>
      <c r="F51" s="10" t="inlineStr">
        <is>
          <t>diluted_share_count_change, net_income_link</t>
        </is>
      </c>
    </row>
    <row r="52">
      <c r="A52" s="10" t="n">
        <v>74</v>
      </c>
      <c r="B52" s="10" t="inlineStr">
        <is>
          <t>Change in Diluted EPS from Earnings + Share-Count Effects</t>
        </is>
      </c>
      <c r="C52" s="10" t="inlineStr">
        <is>
          <t>2024–2026 (3 cells)</t>
        </is>
      </c>
      <c r="D52" s="10" t="inlineStr">
        <is>
          <t>Per Share Analysis</t>
        </is>
      </c>
      <c r="E52" s="10" t="inlineStr">
        <is>
          <t>C19:E19</t>
        </is>
      </c>
      <c r="F52" s="10" t="inlineStr">
        <is>
          <t>earnings_effect_on_diluted_eps_change, share_count_effect_on_diluted_eps_change</t>
        </is>
      </c>
    </row>
    <row r="53">
      <c r="A53" s="10" t="n">
        <v>79</v>
      </c>
      <c r="B53" s="10" t="inlineStr">
        <is>
          <t>Property, Plant &amp; Equipment</t>
        </is>
      </c>
      <c r="C53" s="10" t="inlineStr">
        <is>
          <t>2023–2026 (4 cells)</t>
        </is>
      </c>
      <c r="D53" s="10" t="inlineStr">
        <is>
          <t>ALT DuPont</t>
        </is>
      </c>
      <c r="E53" s="10" t="inlineStr">
        <is>
          <t>B44:E44</t>
        </is>
      </c>
      <c r="F53" s="10" t="inlineStr">
        <is>
          <t>—</t>
        </is>
      </c>
    </row>
    <row r="54">
      <c r="A54" s="10" t="n">
        <v>80</v>
      </c>
      <c r="B54" s="10" t="inlineStr">
        <is>
          <t>Depreciation &amp; Amortisation</t>
        </is>
      </c>
      <c r="C54" s="10" t="inlineStr">
        <is>
          <t>2023–2026 (4 cells)</t>
        </is>
      </c>
      <c r="D54" s="10" t="inlineStr">
        <is>
          <t>ALT DuPont</t>
        </is>
      </c>
      <c r="E54" s="10" t="inlineStr">
        <is>
          <t>B45:E45</t>
        </is>
      </c>
      <c r="F54" s="10" t="inlineStr">
        <is>
          <t>—</t>
        </is>
      </c>
    </row>
    <row r="55">
      <c r="A55" s="10" t="n">
        <v>81</v>
      </c>
      <c r="B55" s="10" t="inlineStr">
        <is>
          <t>Average PP&amp;E</t>
        </is>
      </c>
      <c r="C55" s="10" t="inlineStr">
        <is>
          <t>2024–2026 (3 cells)</t>
        </is>
      </c>
      <c r="D55" s="10" t="inlineStr">
        <is>
          <t>ALT DuPont</t>
        </is>
      </c>
      <c r="E55" s="10" t="inlineStr">
        <is>
          <t>C46:E46</t>
        </is>
      </c>
      <c r="F55" s="10" t="inlineStr">
        <is>
          <t>ppe_source_link</t>
        </is>
      </c>
    </row>
    <row r="56">
      <c r="A56" s="10" t="n">
        <v>82</v>
      </c>
      <c r="B56" s="10" t="inlineStr">
        <is>
          <t>PP&amp;E Turnover</t>
        </is>
      </c>
      <c r="C56" s="10" t="inlineStr">
        <is>
          <t>2024–2026 (3 cells)</t>
        </is>
      </c>
      <c r="D56" s="10" t="inlineStr">
        <is>
          <t>ALT DuPont</t>
        </is>
      </c>
      <c r="E56" s="10" t="inlineStr">
        <is>
          <t>C47:E47</t>
        </is>
      </c>
      <c r="F56" s="10" t="inlineStr">
        <is>
          <t>revenue_link, average_ppe</t>
        </is>
      </c>
    </row>
    <row r="57">
      <c r="A57" s="10" t="n">
        <v>83</v>
      </c>
      <c r="B57" s="10" t="inlineStr">
        <is>
          <t>PP&amp;E Intensity</t>
        </is>
      </c>
      <c r="C57" s="10" t="inlineStr">
        <is>
          <t>2024–2026 (3 cells)</t>
        </is>
      </c>
      <c r="D57" s="10" t="inlineStr">
        <is>
          <t>ALT DuPont</t>
        </is>
      </c>
      <c r="E57" s="10" t="inlineStr">
        <is>
          <t>C48:E48</t>
        </is>
      </c>
      <c r="F57" s="10" t="inlineStr">
        <is>
          <t>revenue_link, average_ppe</t>
        </is>
      </c>
    </row>
    <row r="58">
      <c r="A58" s="10" t="n">
        <v>84</v>
      </c>
      <c r="B58" s="10" t="inlineStr">
        <is>
          <t>Change in PP&amp;E</t>
        </is>
      </c>
      <c r="C58" s="10" t="inlineStr">
        <is>
          <t>2024–2026 (3 cells)</t>
        </is>
      </c>
      <c r="D58" s="10" t="inlineStr">
        <is>
          <t>ALT DuPont</t>
        </is>
      </c>
      <c r="E58" s="10" t="inlineStr">
        <is>
          <t>C49:E49</t>
        </is>
      </c>
      <c r="F58" s="10" t="inlineStr">
        <is>
          <t>ppe_source_link</t>
        </is>
      </c>
    </row>
    <row r="59">
      <c r="A59" s="10" t="n">
        <v>85</v>
      </c>
      <c r="B59" s="10" t="inlineStr">
        <is>
          <t>D&amp;A / Revenue</t>
        </is>
      </c>
      <c r="C59" s="10" t="inlineStr">
        <is>
          <t>2023–2026 (4 cells)</t>
        </is>
      </c>
      <c r="D59" s="10" t="inlineStr">
        <is>
          <t>ALT DuPont</t>
        </is>
      </c>
      <c r="E59" s="10" t="inlineStr">
        <is>
          <t>B50:E50</t>
        </is>
      </c>
      <c r="F59" s="10" t="inlineStr">
        <is>
          <t>da_source_link, revenue_link</t>
        </is>
      </c>
    </row>
    <row r="60">
      <c r="A60" s="10" t="n">
        <v>86</v>
      </c>
      <c r="B60" s="10" t="inlineStr">
        <is>
          <t>D&amp;A / Average PP&amp;E</t>
        </is>
      </c>
      <c r="C60" s="10" t="inlineStr">
        <is>
          <t>2024–2026 (3 cells)</t>
        </is>
      </c>
      <c r="D60" s="10" t="inlineStr">
        <is>
          <t>ALT DuPont</t>
        </is>
      </c>
      <c r="E60" s="10" t="inlineStr">
        <is>
          <t>C51:E51</t>
        </is>
      </c>
      <c r="F60" s="10" t="inlineStr">
        <is>
          <t>da_source_link, average_ppe</t>
        </is>
      </c>
    </row>
    <row r="61">
      <c r="A61" s="10" t="n">
        <v>87</v>
      </c>
      <c r="B61" s="10" t="inlineStr">
        <is>
          <t>Lease Liability</t>
        </is>
      </c>
      <c r="C61" s="10" t="inlineStr">
        <is>
          <t>2023–2026 (4 cells)</t>
        </is>
      </c>
      <c r="D61" s="10" t="inlineStr">
        <is>
          <t>ALT DuPont</t>
        </is>
      </c>
      <c r="E61" s="10" t="inlineStr">
        <is>
          <t>B55:E55</t>
        </is>
      </c>
      <c r="F61" s="10" t="inlineStr">
        <is>
          <t>—</t>
        </is>
      </c>
    </row>
    <row r="62">
      <c r="A62" s="10" t="n">
        <v>88</v>
      </c>
      <c r="B62" s="10" t="inlineStr">
        <is>
          <t>Lease Liability / Revenue</t>
        </is>
      </c>
      <c r="C62" s="10" t="inlineStr">
        <is>
          <t>2023–2026 (4 cells)</t>
        </is>
      </c>
      <c r="D62" s="10" t="inlineStr">
        <is>
          <t>ALT DuPont</t>
        </is>
      </c>
      <c r="E62" s="10" t="inlineStr">
        <is>
          <t>B56:E56</t>
        </is>
      </c>
      <c r="F62" s="10" t="inlineStr">
        <is>
          <t>lease_liability_source_link, revenue_link</t>
        </is>
      </c>
    </row>
    <row r="63">
      <c r="A63" s="10" t="n">
        <v>89</v>
      </c>
      <c r="B63" s="10" t="inlineStr">
        <is>
          <t>Change in Lease Liability</t>
        </is>
      </c>
      <c r="C63" s="10" t="inlineStr">
        <is>
          <t>2024–2026 (3 cells)</t>
        </is>
      </c>
      <c r="D63" s="10" t="inlineStr">
        <is>
          <t>ALT DuPont</t>
        </is>
      </c>
      <c r="E63" s="10" t="inlineStr">
        <is>
          <t>C57:E57</t>
        </is>
      </c>
      <c r="F63" s="10" t="inlineStr">
        <is>
          <t>lease_liability_source_link</t>
        </is>
      </c>
    </row>
    <row r="64">
      <c r="A64" s="10" t="n">
        <v>90</v>
      </c>
      <c r="B64" s="10" t="inlineStr">
        <is>
          <t>Lease Liability Growth</t>
        </is>
      </c>
      <c r="C64" s="10" t="inlineStr">
        <is>
          <t>2024–2026 (3 cells)</t>
        </is>
      </c>
      <c r="D64" s="10" t="inlineStr">
        <is>
          <t>ALT DuPont</t>
        </is>
      </c>
      <c r="E64" s="10" t="inlineStr">
        <is>
          <t>C58:E58</t>
        </is>
      </c>
      <c r="F64" s="10" t="inlineStr">
        <is>
          <t>lease_liability_source_link</t>
        </is>
      </c>
    </row>
    <row r="65">
      <c r="A65" s="10" t="n">
        <v>98</v>
      </c>
      <c r="B65" s="10" t="inlineStr">
        <is>
          <t>Change in Goodwill</t>
        </is>
      </c>
      <c r="C65" s="10" t="inlineStr">
        <is>
          <t>2024–2026 (3 cells)</t>
        </is>
      </c>
      <c r="D65" s="10" t="inlineStr">
        <is>
          <t>ALT DuPont</t>
        </is>
      </c>
      <c r="E65" s="10" t="inlineStr">
        <is>
          <t>C67:E67</t>
        </is>
      </c>
      <c r="F65" s="10" t="inlineStr">
        <is>
          <t>—</t>
        </is>
      </c>
    </row>
    <row r="66">
      <c r="A66" s="10" t="n">
        <v>99</v>
      </c>
      <c r="B66" s="10" t="inlineStr">
        <is>
          <t>Goodwill Growth</t>
        </is>
      </c>
      <c r="C66" s="10" t="inlineStr">
        <is>
          <t>2024–2026 (3 cells)</t>
        </is>
      </c>
      <c r="D66" s="10" t="inlineStr">
        <is>
          <t>ALT DuPont</t>
        </is>
      </c>
      <c r="E66" s="10" t="inlineStr">
        <is>
          <t>C68:E68</t>
        </is>
      </c>
      <c r="F66" s="10" t="inlineStr">
        <is>
          <t>goodwill_change</t>
        </is>
      </c>
    </row>
    <row r="67">
      <c r="A67" s="10" t="n">
        <v>100</v>
      </c>
      <c r="B67" s="10" t="inlineStr">
        <is>
          <t>Average Goodwill</t>
        </is>
      </c>
      <c r="C67" s="10" t="inlineStr">
        <is>
          <t>2024–2026 (3 cells)</t>
        </is>
      </c>
      <c r="D67" s="10" t="inlineStr">
        <is>
          <t>ALT DuPont</t>
        </is>
      </c>
      <c r="E67" s="10" t="inlineStr">
        <is>
          <t>C69:E69</t>
        </is>
      </c>
      <c r="F67" s="10" t="inlineStr">
        <is>
          <t>—</t>
        </is>
      </c>
    </row>
    <row r="68">
      <c r="A68" s="10" t="n">
        <v>101</v>
      </c>
      <c r="B68" s="10" t="inlineStr">
        <is>
          <t>Average Goodwill / Revenue</t>
        </is>
      </c>
      <c r="C68" s="10" t="inlineStr">
        <is>
          <t>2024–2026 (3 cells)</t>
        </is>
      </c>
      <c r="D68" s="10" t="inlineStr">
        <is>
          <t>ALT DuPont</t>
        </is>
      </c>
      <c r="E68" s="10" t="inlineStr">
        <is>
          <t>C70:E70</t>
        </is>
      </c>
      <c r="F68" s="10" t="inlineStr">
        <is>
          <t>average_goodwill, revenue_link</t>
        </is>
      </c>
    </row>
    <row r="69">
      <c r="A69" s="10" t="n">
        <v>102</v>
      </c>
      <c r="B69" s="10" t="inlineStr">
        <is>
          <t>Change in Intangible Assets</t>
        </is>
      </c>
      <c r="C69" s="10" t="inlineStr">
        <is>
          <t>2024–2026 (3 cells)</t>
        </is>
      </c>
      <c r="D69" s="10" t="inlineStr">
        <is>
          <t>ALT DuPont</t>
        </is>
      </c>
      <c r="E69" s="10" t="inlineStr">
        <is>
          <t>C72:E72</t>
        </is>
      </c>
      <c r="F69" s="10" t="inlineStr">
        <is>
          <t>—</t>
        </is>
      </c>
    </row>
    <row r="70">
      <c r="A70" s="10" t="n">
        <v>103</v>
      </c>
      <c r="B70" s="10" t="inlineStr">
        <is>
          <t>Intangible Assets Growth</t>
        </is>
      </c>
      <c r="C70" s="10" t="inlineStr">
        <is>
          <t>2024–2026 (3 cells)</t>
        </is>
      </c>
      <c r="D70" s="10" t="inlineStr">
        <is>
          <t>ALT DuPont</t>
        </is>
      </c>
      <c r="E70" s="10" t="inlineStr">
        <is>
          <t>C73:E73</t>
        </is>
      </c>
      <c r="F70" s="10" t="inlineStr">
        <is>
          <t>intangible_assets_change</t>
        </is>
      </c>
    </row>
    <row r="71">
      <c r="A71" s="10" t="n">
        <v>104</v>
      </c>
      <c r="B71" s="10" t="inlineStr">
        <is>
          <t>Average Intangible Assets</t>
        </is>
      </c>
      <c r="C71" s="10" t="inlineStr">
        <is>
          <t>2024–2026 (3 cells)</t>
        </is>
      </c>
      <c r="D71" s="10" t="inlineStr">
        <is>
          <t>ALT DuPont</t>
        </is>
      </c>
      <c r="E71" s="10" t="inlineStr">
        <is>
          <t>C74:E74</t>
        </is>
      </c>
      <c r="F71" s="10" t="inlineStr">
        <is>
          <t>—</t>
        </is>
      </c>
    </row>
    <row r="72">
      <c r="A72" s="10" t="n">
        <v>105</v>
      </c>
      <c r="B72" s="10" t="inlineStr">
        <is>
          <t>Average Intangible Assets / Revenue</t>
        </is>
      </c>
      <c r="C72" s="10" t="inlineStr">
        <is>
          <t>2024–2026 (3 cells)</t>
        </is>
      </c>
      <c r="D72" s="10" t="inlineStr">
        <is>
          <t>ALT DuPont</t>
        </is>
      </c>
      <c r="E72" s="10" t="inlineStr">
        <is>
          <t>C75:E75</t>
        </is>
      </c>
      <c r="F72" s="10" t="inlineStr">
        <is>
          <t>average_intangible_assets, revenue_link</t>
        </is>
      </c>
    </row>
    <row r="73">
      <c r="A73" s="10" t="n">
        <v>106</v>
      </c>
      <c r="B73" s="10" t="inlineStr">
        <is>
          <t>Change in Goodwill &amp; Intangibles</t>
        </is>
      </c>
      <c r="C73" s="10" t="inlineStr">
        <is>
          <t>2024–2026 (3 cells)</t>
        </is>
      </c>
      <c r="D73" s="10" t="inlineStr">
        <is>
          <t>ALT DuPont</t>
        </is>
      </c>
      <c r="E73" s="10" t="inlineStr">
        <is>
          <t>C77:E77</t>
        </is>
      </c>
      <c r="F73" s="10" t="inlineStr">
        <is>
          <t>—</t>
        </is>
      </c>
    </row>
    <row r="74">
      <c r="A74" s="10" t="n">
        <v>107</v>
      </c>
      <c r="B74" s="10" t="inlineStr">
        <is>
          <t>Goodwill &amp; Intangibles Growth</t>
        </is>
      </c>
      <c r="C74" s="10" t="inlineStr">
        <is>
          <t>2024–2026 (3 cells)</t>
        </is>
      </c>
      <c r="D74" s="10" t="inlineStr">
        <is>
          <t>ALT DuPont</t>
        </is>
      </c>
      <c r="E74" s="10" t="inlineStr">
        <is>
          <t>C78:E78</t>
        </is>
      </c>
      <c r="F74" s="10" t="inlineStr">
        <is>
          <t>goodwill_and_intangibles_change</t>
        </is>
      </c>
    </row>
    <row r="75">
      <c r="A75" s="10" t="n">
        <v>108</v>
      </c>
      <c r="B75" s="10" t="inlineStr">
        <is>
          <t>Average Goodwill &amp; Intangibles</t>
        </is>
      </c>
      <c r="C75" s="10" t="inlineStr">
        <is>
          <t>2024–2026 (3 cells)</t>
        </is>
      </c>
      <c r="D75" s="10" t="inlineStr">
        <is>
          <t>ALT DuPont</t>
        </is>
      </c>
      <c r="E75" s="10" t="inlineStr">
        <is>
          <t>C79:E79</t>
        </is>
      </c>
      <c r="F75" s="10" t="inlineStr">
        <is>
          <t>—</t>
        </is>
      </c>
    </row>
    <row r="76">
      <c r="A76" s="10" t="n">
        <v>109</v>
      </c>
      <c r="B76" s="10" t="inlineStr">
        <is>
          <t>Average Goodwill &amp; Intangibles / Revenue</t>
        </is>
      </c>
      <c r="C76" s="10" t="inlineStr">
        <is>
          <t>2024–2026 (3 cells)</t>
        </is>
      </c>
      <c r="D76" s="10" t="inlineStr">
        <is>
          <t>ALT DuPont</t>
        </is>
      </c>
      <c r="E76" s="10" t="inlineStr">
        <is>
          <t>C80:E80</t>
        </is>
      </c>
      <c r="F76" s="10" t="inlineStr">
        <is>
          <t>average_goodwill_and_intangibles, revenue_link</t>
        </is>
      </c>
    </row>
    <row r="77">
      <c r="A77" s="10" t="n">
        <v>120</v>
      </c>
      <c r="B77" s="10" t="inlineStr">
        <is>
          <t>PP&amp;E Capex (−reported)</t>
        </is>
      </c>
      <c r="C77" s="10" t="inlineStr">
        <is>
          <t>2023–2026 (4 cells)</t>
        </is>
      </c>
      <c r="D77" s="10" t="inlineStr">
        <is>
          <t>ALT DuPont</t>
        </is>
      </c>
      <c r="E77" s="10" t="inlineStr">
        <is>
          <t>B62:E62</t>
        </is>
      </c>
      <c r="F77" s="10" t="inlineStr">
        <is>
          <t>—</t>
        </is>
      </c>
    </row>
    <row r="78">
      <c r="A78" s="10" t="n">
        <v>121</v>
      </c>
      <c r="B78" s="10" t="inlineStr">
        <is>
          <t>PP&amp;E Capex / Revenue</t>
        </is>
      </c>
      <c r="C78" s="10" t="inlineStr">
        <is>
          <t>2023–2026 (4 cells)</t>
        </is>
      </c>
      <c r="D78" s="10" t="inlineStr">
        <is>
          <t>ALT DuPont</t>
        </is>
      </c>
      <c r="E78" s="10" t="inlineStr">
        <is>
          <t>B63:E63</t>
        </is>
      </c>
      <c r="F78" s="10" t="inlineStr">
        <is>
          <t>ppe_capex, revenue_link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0" t="inlineStr">
        <is>
          <t>Company: lululemon athletica inc. (LULU)</t>
        </is>
      </c>
    </row>
    <row r="2">
      <c r="A2" s="10" t="inlineStr">
        <is>
          <t>Statement: Income Statement</t>
        </is>
      </c>
    </row>
    <row r="3">
      <c r="A3" s="10" t="inlineStr">
        <is>
          <t>Units: USD in Thousands</t>
        </is>
      </c>
    </row>
    <row r="4">
      <c r="A4" s="10" t="inlineStr">
        <is>
          <t>Source: manual ingestion (US)</t>
        </is>
      </c>
    </row>
    <row r="6">
      <c r="A6" s="10" t="inlineStr">
        <is>
          <t>Line Item</t>
        </is>
      </c>
      <c r="B6" s="11" t="n">
        <v>44955</v>
      </c>
      <c r="C6" s="11" t="n">
        <v>45319</v>
      </c>
      <c r="D6" s="11" t="n">
        <v>45690</v>
      </c>
      <c r="E6" s="11" t="n">
        <v>46054</v>
      </c>
    </row>
    <row r="7">
      <c r="A7" s="10" t="inlineStr">
        <is>
          <t>Foreign currency translation adjustment</t>
        </is>
      </c>
      <c r="B7" s="12" t="n">
        <v>-65571</v>
      </c>
      <c r="C7" s="12" t="n">
        <v>-23077</v>
      </c>
      <c r="D7" s="12" t="n">
        <v>-253209</v>
      </c>
      <c r="E7" s="12" t="n">
        <v>253160</v>
      </c>
    </row>
    <row r="8">
      <c r="A8" s="10" t="inlineStr">
        <is>
          <t>Net investment hedge gains (losses)</t>
        </is>
      </c>
      <c r="B8" s="12" t="n">
        <v>8904</v>
      </c>
      <c r="C8" s="12" t="n">
        <v>11405</v>
      </c>
      <c r="D8" s="12" t="n">
        <v>93024</v>
      </c>
      <c r="E8" s="12" t="n">
        <v>-59409</v>
      </c>
    </row>
    <row r="9">
      <c r="A9" s="10" t="inlineStr">
        <is>
          <t>Amortization of intangible assets</t>
        </is>
      </c>
      <c r="B9" s="12" t="n">
        <v>8752</v>
      </c>
      <c r="C9" s="12" t="n">
        <v>5010</v>
      </c>
      <c r="D9" s="12" t="n">
        <v>2735</v>
      </c>
      <c r="E9" s="12" t="n">
        <v>6961</v>
      </c>
    </row>
    <row r="10">
      <c r="A10" s="10" t="inlineStr">
        <is>
          <t>Basic earnings per share</t>
        </is>
      </c>
      <c r="B10" s="12" t="n">
        <v>6.7</v>
      </c>
      <c r="C10" s="12" t="n">
        <v>12.23</v>
      </c>
      <c r="D10" s="12" t="n">
        <v>14.67</v>
      </c>
      <c r="E10" s="12" t="n">
        <v>13.27</v>
      </c>
    </row>
    <row r="11">
      <c r="A11" s="10" t="inlineStr">
        <is>
          <t>Comprehensive income</t>
        </is>
      </c>
      <c r="B11" s="12" t="n">
        <v>798133</v>
      </c>
      <c r="C11" s="12" t="n">
        <v>1538518</v>
      </c>
      <c r="D11" s="12" t="n">
        <v>1654431</v>
      </c>
      <c r="E11" s="12" t="n">
        <v>1772934</v>
      </c>
    </row>
    <row r="12">
      <c r="A12" s="10" t="inlineStr">
        <is>
          <t>Cost of goods sold</t>
        </is>
      </c>
      <c r="B12" s="12" t="n">
        <v>3618178</v>
      </c>
      <c r="C12" s="12" t="n">
        <v>4009873</v>
      </c>
      <c r="D12" s="12" t="n">
        <v>4317315</v>
      </c>
      <c r="E12" s="12" t="n">
        <v>4818468</v>
      </c>
    </row>
    <row r="13">
      <c r="A13" s="10" t="inlineStr">
        <is>
          <t>Diluted earnings per share</t>
        </is>
      </c>
      <c r="B13" s="12" t="n">
        <v>6.68</v>
      </c>
      <c r="C13" s="12" t="n">
        <v>12.2</v>
      </c>
      <c r="D13" s="12" t="n">
        <v>14.64</v>
      </c>
      <c r="E13" s="12" t="n">
        <v>13.26</v>
      </c>
    </row>
    <row r="14">
      <c r="A14" s="10" t="inlineStr">
        <is>
          <t>Gross profit</t>
        </is>
      </c>
      <c r="B14" s="12" t="n">
        <v>4492340</v>
      </c>
      <c r="C14" s="12" t="n">
        <v>5609405</v>
      </c>
      <c r="D14" s="12" t="n">
        <v>6270811</v>
      </c>
      <c r="E14" s="12" t="n">
        <v>6284132</v>
      </c>
    </row>
    <row r="15">
      <c r="A15" s="10" t="inlineStr">
        <is>
          <t>Income before income tax expense</t>
        </is>
      </c>
      <c r="B15" s="12" t="n">
        <v>1332571</v>
      </c>
      <c r="C15" s="12" t="n">
        <v>2175735</v>
      </c>
      <c r="D15" s="12" t="n">
        <v>2576077</v>
      </c>
      <c r="E15" s="12" t="n">
        <v>2238967</v>
      </c>
    </row>
    <row r="16">
      <c r="A16" s="10" t="inlineStr">
        <is>
          <t>Income from operations</t>
        </is>
      </c>
      <c r="B16" s="12" t="n">
        <v>1328408</v>
      </c>
      <c r="C16" s="12" t="n">
        <v>2132676</v>
      </c>
      <c r="D16" s="12" t="n">
        <v>2505697</v>
      </c>
      <c r="E16" s="12" t="n">
        <v>2210615</v>
      </c>
    </row>
    <row r="17">
      <c r="A17" s="10" t="inlineStr">
        <is>
          <t>Income tax expense</t>
        </is>
      </c>
      <c r="B17" s="12" t="n">
        <v>477771</v>
      </c>
      <c r="C17" s="12" t="n">
        <v>625545</v>
      </c>
      <c r="D17" s="12" t="n">
        <v>761461</v>
      </c>
      <c r="E17" s="12" t="n">
        <v>659784</v>
      </c>
    </row>
    <row r="18">
      <c r="A18" s="10" t="inlineStr">
        <is>
          <t>Net income</t>
        </is>
      </c>
      <c r="B18" s="12" t="n">
        <v>854800</v>
      </c>
      <c r="C18" s="12" t="n">
        <v>1550190</v>
      </c>
      <c r="D18" s="12" t="n">
        <v>1814616</v>
      </c>
      <c r="E18" s="12" t="n">
        <v>1579183</v>
      </c>
    </row>
    <row r="19">
      <c r="A19" s="10" t="inlineStr">
        <is>
          <t>Net revenue</t>
        </is>
      </c>
      <c r="B19" s="12" t="n">
        <v>8110518</v>
      </c>
      <c r="C19" s="12" t="n">
        <v>9619278</v>
      </c>
      <c r="D19" s="12" t="n">
        <v>10588126</v>
      </c>
      <c r="E19" s="12" t="n">
        <v>11102600</v>
      </c>
    </row>
    <row r="20">
      <c r="A20" s="10" t="inlineStr">
        <is>
          <t>Other comprehensive income (loss), net of tax</t>
        </is>
      </c>
      <c r="B20" s="12" t="n">
        <v>-56667</v>
      </c>
      <c r="C20" s="12" t="n">
        <v>-11672</v>
      </c>
      <c r="D20" s="12" t="n">
        <v>-160185</v>
      </c>
      <c r="E20" s="12" t="n">
        <v>193751</v>
      </c>
    </row>
    <row r="21">
      <c r="A21" s="10" t="inlineStr">
        <is>
          <t>Other income (expense), net</t>
        </is>
      </c>
      <c r="B21" s="12" t="n">
        <v>4163</v>
      </c>
      <c r="C21" s="12" t="n">
        <v>43059</v>
      </c>
      <c r="D21" s="12" t="n">
        <v>70380</v>
      </c>
      <c r="E21" s="12" t="n">
        <v>28352</v>
      </c>
    </row>
    <row r="22">
      <c r="A22" s="10" t="inlineStr">
        <is>
          <t>Selling, general and administrative expenses</t>
        </is>
      </c>
      <c r="B22" s="12" t="n">
        <v>2757447</v>
      </c>
      <c r="C22" s="12" t="n">
        <v>3397218</v>
      </c>
      <c r="D22" s="12" t="n">
        <v>3762379</v>
      </c>
      <c r="E22" s="12" t="n">
        <v>4066556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0" t="inlineStr">
        <is>
          <t>Company: lululemon athletica inc. (LULU)</t>
        </is>
      </c>
    </row>
    <row r="2">
      <c r="A2" s="10" t="inlineStr">
        <is>
          <t>Statement: Balance Sheet</t>
        </is>
      </c>
    </row>
    <row r="3">
      <c r="A3" s="10" t="inlineStr">
        <is>
          <t>Units: USD in Thousands</t>
        </is>
      </c>
    </row>
    <row r="4">
      <c r="A4" s="10" t="inlineStr">
        <is>
          <t>Source: manual ingestion (US)</t>
        </is>
      </c>
    </row>
    <row r="6">
      <c r="A6" s="10" t="inlineStr">
        <is>
          <t>Line Item</t>
        </is>
      </c>
      <c r="B6" s="11" t="n">
        <v>44955</v>
      </c>
      <c r="C6" s="11" t="n">
        <v>45319</v>
      </c>
      <c r="D6" s="11" t="n">
        <v>45690</v>
      </c>
      <c r="E6" s="11" t="n">
        <v>46054</v>
      </c>
    </row>
    <row r="7">
      <c r="A7" s="10" t="inlineStr">
        <is>
          <t>Accounts receivable, net</t>
        </is>
      </c>
      <c r="B7" s="12" t="n">
        <v>132906</v>
      </c>
      <c r="C7" s="12" t="n">
        <v>124769</v>
      </c>
      <c r="D7" s="12" t="n">
        <v>120173</v>
      </c>
      <c r="E7" s="12" t="n">
        <v>190657</v>
      </c>
    </row>
    <row r="8">
      <c r="A8" s="10" t="inlineStr">
        <is>
          <t>Cash and cash equivalents</t>
        </is>
      </c>
      <c r="B8" s="12" t="n">
        <v>1154867</v>
      </c>
      <c r="C8" s="12" t="n">
        <v>2243971</v>
      </c>
      <c r="D8" s="12" t="n">
        <v>1984336</v>
      </c>
      <c r="E8" s="12" t="n">
        <v>1807202</v>
      </c>
    </row>
    <row r="9">
      <c r="A9" s="10" t="inlineStr">
        <is>
          <t>Inventories</t>
        </is>
      </c>
      <c r="B9" s="12" t="n">
        <v>1447367</v>
      </c>
      <c r="C9" s="12" t="n">
        <v>1323602</v>
      </c>
      <c r="D9" s="12" t="n">
        <v>1442081</v>
      </c>
      <c r="E9" s="12" t="n">
        <v>1700753</v>
      </c>
    </row>
    <row r="10">
      <c r="A10" s="10" t="inlineStr">
        <is>
          <t>Prepaid and receivable income taxes</t>
        </is>
      </c>
      <c r="B10" s="12" t="n">
        <v>185641</v>
      </c>
      <c r="C10" s="12" t="n">
        <v>183733</v>
      </c>
      <c r="D10" s="12" t="n">
        <v>182253</v>
      </c>
      <c r="E10" s="12" t="n">
        <v>352469</v>
      </c>
    </row>
    <row r="11">
      <c r="A11" s="10" t="inlineStr">
        <is>
          <t>Prepaid expenses and other current assets</t>
        </is>
      </c>
      <c r="B11" s="12" t="n">
        <v>238672</v>
      </c>
      <c r="C11" s="12" t="n">
        <v>184502</v>
      </c>
      <c r="D11" s="12" t="n">
        <v>251459</v>
      </c>
      <c r="E11" s="12" t="n">
        <v>211620</v>
      </c>
    </row>
    <row r="12">
      <c r="A12" s="10" t="inlineStr">
        <is>
          <t>Total current assets</t>
        </is>
      </c>
      <c r="B12" s="12" t="n">
        <v>3159453</v>
      </c>
      <c r="C12" s="12" t="n">
        <v>4060577</v>
      </c>
      <c r="D12" s="12" t="n">
        <v>3980302</v>
      </c>
      <c r="E12" s="12" t="n">
        <v>4262701</v>
      </c>
    </row>
    <row r="13">
      <c r="A13" s="10" t="inlineStr">
        <is>
          <t>Accounts payable</t>
        </is>
      </c>
      <c r="B13" s="12" t="n">
        <v>172732</v>
      </c>
      <c r="C13" s="12" t="n">
        <v>348441</v>
      </c>
      <c r="D13" s="12" t="n">
        <v>271406</v>
      </c>
      <c r="E13" s="12" t="n">
        <v>331421</v>
      </c>
    </row>
    <row r="14">
      <c r="A14" s="10" t="inlineStr">
        <is>
          <t>Accrued compensation and related expenses</t>
        </is>
      </c>
      <c r="B14" s="12" t="n">
        <v>248167</v>
      </c>
      <c r="C14" s="12" t="n">
        <v>326110</v>
      </c>
      <c r="D14" s="12" t="n">
        <v>204543</v>
      </c>
      <c r="E14" s="12" t="n">
        <v>187887</v>
      </c>
    </row>
    <row r="15">
      <c r="A15" s="10" t="inlineStr">
        <is>
          <t>Accrued liabilities and other</t>
        </is>
      </c>
      <c r="B15" s="12" t="n">
        <v>399223</v>
      </c>
      <c r="C15" s="12" t="n">
        <v>348555</v>
      </c>
      <c r="D15" s="12" t="n">
        <v>559463</v>
      </c>
      <c r="E15" s="12" t="n">
        <v>662982</v>
      </c>
    </row>
    <row r="16">
      <c r="A16" s="10" t="inlineStr">
        <is>
          <t>Current income taxes payable</t>
        </is>
      </c>
      <c r="B16" s="12" t="n">
        <v>174221</v>
      </c>
      <c r="C16" s="12" t="n">
        <v>12098</v>
      </c>
      <c r="D16" s="12" t="n">
        <v>183126</v>
      </c>
      <c r="E16" s="12" t="n">
        <v>43948</v>
      </c>
    </row>
    <row r="17">
      <c r="A17" s="10" t="inlineStr">
        <is>
          <t>Current lease liabilities</t>
        </is>
      </c>
      <c r="B17" s="12" t="n">
        <v>207972</v>
      </c>
      <c r="C17" s="12" t="n">
        <v>249270</v>
      </c>
      <c r="D17" s="12" t="n">
        <v>275154</v>
      </c>
      <c r="E17" s="12" t="n">
        <v>298724</v>
      </c>
    </row>
    <row r="18">
      <c r="A18" s="10" t="inlineStr">
        <is>
          <t>Other current liabilities</t>
        </is>
      </c>
      <c r="B18" s="12" t="n">
        <v>38405</v>
      </c>
      <c r="C18" s="12" t="n">
        <v>40308</v>
      </c>
      <c r="D18" s="12" t="n">
        <v>37586</v>
      </c>
      <c r="E18" s="12" t="n">
        <v>45954</v>
      </c>
    </row>
    <row r="19">
      <c r="A19" s="10" t="inlineStr">
        <is>
          <t>Total current liabilities</t>
        </is>
      </c>
      <c r="B19" s="12" t="n">
        <v>1492198</v>
      </c>
      <c r="C19" s="12" t="n">
        <v>1631261</v>
      </c>
      <c r="D19" s="12" t="n">
        <v>1839630</v>
      </c>
      <c r="E19" s="12" t="n">
        <v>1887548</v>
      </c>
    </row>
    <row r="20">
      <c r="A20" s="10" t="inlineStr">
        <is>
          <t>Unredeemed gift card liability</t>
        </is>
      </c>
      <c r="B20" s="12" t="n">
        <v>251478</v>
      </c>
      <c r="C20" s="12" t="n">
        <v>306479</v>
      </c>
      <c r="D20" s="12" t="n">
        <v>308352</v>
      </c>
      <c r="E20" s="12" t="n">
        <v>316632</v>
      </c>
    </row>
    <row r="21">
      <c r="A21" s="10" t="inlineStr">
        <is>
          <t>Deferred income tax assets</t>
        </is>
      </c>
      <c r="B21" s="12" t="n">
        <v>6402</v>
      </c>
      <c r="C21" s="12" t="n">
        <v>9176</v>
      </c>
      <c r="D21" s="12" t="n">
        <v>17085</v>
      </c>
      <c r="E21" s="12" t="n">
        <v>24037</v>
      </c>
    </row>
    <row r="22">
      <c r="A22" s="10" t="inlineStr">
        <is>
          <t>Goodwill</t>
        </is>
      </c>
      <c r="B22" s="12" t="n">
        <v>24144</v>
      </c>
      <c r="C22" s="12" t="n">
        <v>24083</v>
      </c>
      <c r="D22" s="12" t="n">
        <v>159518</v>
      </c>
      <c r="E22" s="12" t="n">
        <v>184911</v>
      </c>
    </row>
    <row r="23">
      <c r="A23" s="10" t="inlineStr">
        <is>
          <t>Intangible assets, net</t>
        </is>
      </c>
      <c r="B23" s="12" t="n">
        <v>21961</v>
      </c>
      <c r="C23" s="12" t="n">
        <v>0</v>
      </c>
      <c r="D23" s="12" t="n">
        <v>11673</v>
      </c>
      <c r="E23" s="12" t="n">
        <v>6283</v>
      </c>
    </row>
    <row r="24">
      <c r="A24" s="10" t="inlineStr">
        <is>
          <t>Other non-current assets</t>
        </is>
      </c>
      <c r="B24" s="12" t="n">
        <v>156045</v>
      </c>
      <c r="C24" s="12" t="n">
        <v>186684</v>
      </c>
      <c r="D24" s="12" t="n">
        <v>237841</v>
      </c>
      <c r="E24" s="12" t="n">
        <v>314910</v>
      </c>
    </row>
    <row r="25">
      <c r="A25" s="10" t="inlineStr">
        <is>
          <t>Property and equipment, net</t>
        </is>
      </c>
      <c r="B25" s="12" t="n">
        <v>1269614</v>
      </c>
      <c r="C25" s="12" t="n">
        <v>1545811</v>
      </c>
      <c r="D25" s="12" t="n">
        <v>1780617</v>
      </c>
      <c r="E25" s="12" t="n">
        <v>2033720</v>
      </c>
    </row>
    <row r="26">
      <c r="A26" s="10" t="inlineStr">
        <is>
          <t>Right-of-use lease assets</t>
        </is>
      </c>
      <c r="B26" s="12" t="n">
        <v>969419</v>
      </c>
      <c r="C26" s="12" t="n">
        <v>1265610</v>
      </c>
      <c r="D26" s="12" t="n">
        <v>1416256</v>
      </c>
      <c r="E26" s="12" t="n">
        <v>1630181</v>
      </c>
    </row>
    <row r="27">
      <c r="A27" s="10" t="inlineStr">
        <is>
          <t>Deferred income tax liabilities</t>
        </is>
      </c>
      <c r="B27" s="12" t="n">
        <v>55084</v>
      </c>
      <c r="C27" s="12" t="n">
        <v>29522</v>
      </c>
      <c r="D27" s="12" t="n">
        <v>98188</v>
      </c>
      <c r="E27" s="12" t="n">
        <v>52278</v>
      </c>
    </row>
    <row r="28">
      <c r="A28" s="10" t="inlineStr">
        <is>
          <t>Non-current income taxes payable</t>
        </is>
      </c>
      <c r="B28" s="12" t="n">
        <v>28555</v>
      </c>
      <c r="C28" s="12" t="n">
        <v>15864</v>
      </c>
      <c r="D28" s="12" t="n">
        <v>0</v>
      </c>
      <c r="E28" s="12" t="n"/>
    </row>
    <row r="29">
      <c r="A29" s="10" t="inlineStr">
        <is>
          <t>Non-current lease liabilities</t>
        </is>
      </c>
      <c r="B29" s="12" t="n">
        <v>862362</v>
      </c>
      <c r="C29" s="12" t="n">
        <v>1154012</v>
      </c>
      <c r="D29" s="12" t="n">
        <v>1300637</v>
      </c>
      <c r="E29" s="12" t="n">
        <v>1499717</v>
      </c>
    </row>
    <row r="30">
      <c r="A30" s="10" t="inlineStr">
        <is>
          <t>Other non-current liabilities</t>
        </is>
      </c>
      <c r="B30" s="12" t="n">
        <v>20040</v>
      </c>
      <c r="C30" s="12" t="n">
        <v>29201</v>
      </c>
      <c r="D30" s="12" t="n">
        <v>40790</v>
      </c>
      <c r="E30" s="12" t="n">
        <v>55360</v>
      </c>
    </row>
    <row r="31">
      <c r="A31" s="10" t="inlineStr">
        <is>
          <t>Accumulated other comprehensive loss</t>
        </is>
      </c>
      <c r="B31" s="12" t="n">
        <v>-252584</v>
      </c>
      <c r="C31" s="12" t="n">
        <v>-264256</v>
      </c>
      <c r="D31" s="12" t="n">
        <v>-424441</v>
      </c>
      <c r="E31" s="12" t="n">
        <v>-230690</v>
      </c>
    </row>
    <row r="32">
      <c r="A32" s="10" t="inlineStr">
        <is>
          <t>Additional paid-in capital</t>
        </is>
      </c>
      <c r="B32" s="12" t="n">
        <v>474645</v>
      </c>
      <c r="C32" s="12" t="n">
        <v>575369</v>
      </c>
      <c r="D32" s="12" t="n">
        <v>638190</v>
      </c>
      <c r="E32" s="12" t="n">
        <v>669392</v>
      </c>
    </row>
    <row r="33">
      <c r="A33" s="10" t="inlineStr">
        <is>
          <t>Common stock</t>
        </is>
      </c>
      <c r="B33" s="12" t="n">
        <v>611</v>
      </c>
      <c r="C33" s="12" t="n">
        <v>606</v>
      </c>
      <c r="D33" s="12" t="n">
        <v>581</v>
      </c>
      <c r="E33" s="12" t="n">
        <v>557</v>
      </c>
    </row>
    <row r="34">
      <c r="A34" s="10" t="inlineStr">
        <is>
          <t>Retained earnings</t>
        </is>
      </c>
      <c r="B34" s="12" t="n">
        <v>2926127</v>
      </c>
      <c r="C34" s="12" t="n">
        <v>3920362</v>
      </c>
      <c r="D34" s="12" t="n">
        <v>4109717</v>
      </c>
      <c r="E34" s="12" t="n">
        <v>4522581</v>
      </c>
    </row>
    <row r="35">
      <c r="A35" s="10" t="inlineStr">
        <is>
          <t>Total stockholders' equity</t>
        </is>
      </c>
      <c r="B35" s="12" t="n">
        <v>3148799</v>
      </c>
      <c r="C35" s="12" t="n">
        <v>4232081</v>
      </c>
      <c r="D35" s="12" t="n">
        <v>4324047</v>
      </c>
      <c r="E35" s="12" t="n">
        <v>4961840</v>
      </c>
    </row>
    <row r="36">
      <c r="A36" s="10" t="inlineStr">
        <is>
          <t>Total assets</t>
        </is>
      </c>
      <c r="B36" s="12" t="n">
        <v>5607038</v>
      </c>
      <c r="C36" s="12" t="n">
        <v>7091941</v>
      </c>
      <c r="D36" s="12" t="n">
        <v>7603292</v>
      </c>
      <c r="E36" s="12" t="n">
        <v>8456743</v>
      </c>
    </row>
    <row r="37">
      <c r="A37" s="10" t="inlineStr">
        <is>
          <t>Total liabilities and stockholders' equity</t>
        </is>
      </c>
      <c r="B37" s="12" t="n">
        <v>5607038</v>
      </c>
      <c r="C37" s="12" t="n">
        <v>7091941</v>
      </c>
      <c r="D37" s="12" t="n">
        <v>7603292</v>
      </c>
      <c r="E37" s="12" t="n">
        <v>8456743</v>
      </c>
    </row>
    <row r="38">
      <c r="A38" s="10" t="inlineStr">
        <is>
          <t>Total liabilities</t>
        </is>
      </c>
      <c r="B38" s="12" t="n">
        <v>2458239</v>
      </c>
      <c r="C38" s="12" t="n">
        <v>2859860</v>
      </c>
      <c r="D38" s="12" t="n">
        <v>3279245</v>
      </c>
      <c r="E38" s="12" t="n">
        <v>3494903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0" t="inlineStr">
        <is>
          <t>Company: lululemon athletica inc. (LULU)</t>
        </is>
      </c>
    </row>
    <row r="2">
      <c r="A2" s="10" t="inlineStr">
        <is>
          <t>Statement: Cash Flow Statement</t>
        </is>
      </c>
    </row>
    <row r="3">
      <c r="A3" s="10" t="inlineStr">
        <is>
          <t>Units: USD in Thousands</t>
        </is>
      </c>
    </row>
    <row r="4">
      <c r="A4" s="10" t="inlineStr">
        <is>
          <t>Source: manual ingestion (US)</t>
        </is>
      </c>
    </row>
    <row r="6">
      <c r="A6" s="10" t="inlineStr">
        <is>
          <t>Line Item</t>
        </is>
      </c>
      <c r="B6" s="11" t="n">
        <v>44955</v>
      </c>
      <c r="C6" s="11" t="n">
        <v>45319</v>
      </c>
      <c r="D6" s="11" t="n">
        <v>45690</v>
      </c>
      <c r="E6" s="11" t="n">
        <v>46054</v>
      </c>
    </row>
    <row r="7">
      <c r="A7" s="10" t="inlineStr">
        <is>
          <t>Net cash used in financing activities</t>
        </is>
      </c>
      <c r="B7" s="12" t="n">
        <v>-467487</v>
      </c>
      <c r="C7" s="12" t="n">
        <v>-548828</v>
      </c>
      <c r="D7" s="12" t="n">
        <v>-1652508</v>
      </c>
      <c r="E7" s="12" t="n">
        <v>-1208656</v>
      </c>
    </row>
    <row r="8">
      <c r="A8" s="10" t="inlineStr">
        <is>
          <t>Other financing activities</t>
        </is>
      </c>
      <c r="B8" s="12" t="n">
        <v>-32</v>
      </c>
      <c r="C8" s="12" t="n">
        <v>-32</v>
      </c>
      <c r="D8" s="12" t="n">
        <v>-32</v>
      </c>
      <c r="E8" s="12" t="n">
        <v>-11312</v>
      </c>
    </row>
    <row r="9">
      <c r="A9" s="10" t="inlineStr">
        <is>
          <t>Proceeds from settlement of stock-based compensation</t>
        </is>
      </c>
      <c r="B9" s="12" t="n">
        <v>11704</v>
      </c>
      <c r="C9" s="12" t="n">
        <v>42430</v>
      </c>
      <c r="D9" s="12" t="n">
        <v>19813</v>
      </c>
      <c r="E9" s="12" t="n">
        <v>8377</v>
      </c>
    </row>
    <row r="10">
      <c r="A10" s="10" t="inlineStr">
        <is>
          <t>Repurchase of common stock</t>
        </is>
      </c>
      <c r="B10" s="12" t="n">
        <v>-444001</v>
      </c>
      <c r="C10" s="12" t="n">
        <v>-558652</v>
      </c>
      <c r="D10" s="12" t="n">
        <v>-1636879</v>
      </c>
      <c r="E10" s="12" t="n">
        <v>-1178349</v>
      </c>
    </row>
    <row r="11">
      <c r="A11" s="10" t="inlineStr">
        <is>
          <t>Shares withheld related to net share settlement of stock-based compensation</t>
        </is>
      </c>
      <c r="B11" s="12" t="n">
        <v>-35158</v>
      </c>
      <c r="C11" s="12" t="n">
        <v>-32574</v>
      </c>
      <c r="D11" s="12" t="n">
        <v>-35410</v>
      </c>
      <c r="E11" s="12" t="n">
        <v>-27372</v>
      </c>
    </row>
    <row r="12">
      <c r="A12" s="10" t="inlineStr">
        <is>
          <t>Acquisition, net of cash acquired</t>
        </is>
      </c>
      <c r="B12" s="12" t="n">
        <v>0</v>
      </c>
      <c r="C12" s="12" t="n">
        <v>0</v>
      </c>
      <c r="D12" s="12" t="n">
        <v>-154146</v>
      </c>
      <c r="E12" s="12" t="n">
        <v>0</v>
      </c>
    </row>
    <row r="13">
      <c r="A13" s="10" t="inlineStr">
        <is>
          <t>Net cash used in investing activities</t>
        </is>
      </c>
      <c r="B13" s="12" t="n">
        <v>-569937</v>
      </c>
      <c r="C13" s="12" t="n">
        <v>-654132</v>
      </c>
      <c r="D13" s="12" t="n">
        <v>-798174</v>
      </c>
      <c r="E13" s="12" t="n">
        <v>-662118</v>
      </c>
    </row>
    <row r="14">
      <c r="A14" s="10" t="inlineStr">
        <is>
          <t>Other investing activities</t>
        </is>
      </c>
      <c r="B14" s="12" t="n">
        <v>20916</v>
      </c>
      <c r="C14" s="12" t="n">
        <v>-658</v>
      </c>
      <c r="D14" s="12" t="n">
        <v>-5009</v>
      </c>
      <c r="E14" s="12" t="n">
        <v>-8521</v>
      </c>
    </row>
    <row r="15">
      <c r="A15" s="10" t="inlineStr">
        <is>
          <t>Purchase of property and equipment</t>
        </is>
      </c>
      <c r="B15" s="12" t="n">
        <v>-638657</v>
      </c>
      <c r="C15" s="12" t="n">
        <v>-651865</v>
      </c>
      <c r="D15" s="12" t="n">
        <v>-689232</v>
      </c>
      <c r="E15" s="12" t="n">
        <v>-680802</v>
      </c>
    </row>
    <row r="16">
      <c r="A16" s="10" t="inlineStr">
        <is>
          <t>Settlement of net investment hedges</t>
        </is>
      </c>
      <c r="B16" s="12" t="n">
        <v>47804</v>
      </c>
      <c r="C16" s="12" t="n">
        <v>-1609</v>
      </c>
      <c r="D16" s="12" t="n">
        <v>50213</v>
      </c>
      <c r="E16" s="12" t="n">
        <v>27205</v>
      </c>
    </row>
    <row r="17">
      <c r="A17" s="10" t="inlineStr">
        <is>
          <t>Accounts payable</t>
        </is>
      </c>
      <c r="B17" s="12" t="n">
        <v>-107280</v>
      </c>
      <c r="C17" s="12" t="n">
        <v>177367</v>
      </c>
      <c r="D17" s="12" t="n">
        <v>-57044</v>
      </c>
      <c r="E17" s="12" t="n">
        <v>45856</v>
      </c>
    </row>
    <row r="18">
      <c r="A18" s="10" t="inlineStr">
        <is>
          <t>Accounts receivable, net</t>
        </is>
      </c>
      <c r="B18" s="12" t="n">
        <v>-58987</v>
      </c>
      <c r="C18" s="12" t="n">
        <v>6580</v>
      </c>
      <c r="D18" s="12" t="n">
        <v>1626</v>
      </c>
      <c r="E18" s="12" t="n">
        <v>-65755</v>
      </c>
    </row>
    <row r="19">
      <c r="A19" s="10" t="inlineStr">
        <is>
          <t>Accrued compensation and related expenses</t>
        </is>
      </c>
      <c r="B19" s="12" t="n">
        <v>47254</v>
      </c>
      <c r="C19" s="12" t="n">
        <v>70327</v>
      </c>
      <c r="D19" s="12" t="n">
        <v>-112110</v>
      </c>
      <c r="E19" s="12" t="n">
        <v>-24737</v>
      </c>
    </row>
    <row r="20">
      <c r="A20" s="10" t="inlineStr">
        <is>
          <t>Accrued liabilities and other</t>
        </is>
      </c>
      <c r="B20" s="12" t="n">
        <v>65364</v>
      </c>
      <c r="C20" s="12" t="n">
        <v>-71734</v>
      </c>
      <c r="D20" s="12" t="n">
        <v>193139</v>
      </c>
      <c r="E20" s="12" t="n">
        <v>98421</v>
      </c>
    </row>
    <row r="21">
      <c r="A21" s="10" t="inlineStr">
        <is>
          <t>Current and non-current income taxes payable</t>
        </is>
      </c>
      <c r="B21" s="12" t="n">
        <v>35986</v>
      </c>
      <c r="C21" s="12" t="n">
        <v>-173196</v>
      </c>
      <c r="D21" s="12" t="n">
        <v>157205</v>
      </c>
      <c r="E21" s="12" t="n">
        <v>-150496</v>
      </c>
    </row>
    <row r="22">
      <c r="A22" s="10" t="inlineStr">
        <is>
          <t>Deferred income taxes</t>
        </is>
      </c>
      <c r="B22" s="12" t="n">
        <v>3042</v>
      </c>
      <c r="C22" s="12" t="n">
        <v>-28383</v>
      </c>
      <c r="D22" s="12" t="n">
        <v>57451</v>
      </c>
      <c r="E22" s="12" t="n">
        <v>-53379</v>
      </c>
    </row>
    <row r="23">
      <c r="A23" s="10" t="inlineStr">
        <is>
          <t>Depreciation and amortization</t>
        </is>
      </c>
      <c r="B23" s="12" t="n">
        <v>291791</v>
      </c>
      <c r="C23" s="12" t="n">
        <v>379384</v>
      </c>
      <c r="D23" s="12" t="n">
        <v>446524</v>
      </c>
      <c r="E23" s="12" t="n">
        <v>496228</v>
      </c>
    </row>
    <row r="24">
      <c r="A24" s="10" t="inlineStr">
        <is>
          <t>Derecognition of unredeemed gift card liability</t>
        </is>
      </c>
      <c r="B24" s="12" t="n">
        <v>-23337</v>
      </c>
      <c r="C24" s="12" t="n">
        <v>-28547</v>
      </c>
      <c r="D24" s="12" t="n">
        <v>-36231</v>
      </c>
      <c r="E24" s="12" t="n">
        <v>-37766</v>
      </c>
    </row>
    <row r="25">
      <c r="A25" s="10" t="inlineStr">
        <is>
          <t>Inventories</t>
        </is>
      </c>
      <c r="B25" s="12" t="n">
        <v>-573438</v>
      </c>
      <c r="C25" s="12" t="n">
        <v>66584</v>
      </c>
      <c r="D25" s="12" t="n">
        <v>-156085</v>
      </c>
      <c r="E25" s="12" t="n">
        <v>-188710</v>
      </c>
    </row>
    <row r="26">
      <c r="A26" s="10" t="inlineStr">
        <is>
          <t>lululemon Studio obsolescence provision</t>
        </is>
      </c>
      <c r="B26" s="12" t="n">
        <v>62928</v>
      </c>
      <c r="C26" s="12" t="n">
        <v>23709</v>
      </c>
      <c r="D26" s="12" t="n">
        <v>0</v>
      </c>
      <c r="E26" s="12" t="n">
        <v>0</v>
      </c>
    </row>
    <row r="27">
      <c r="A27" s="10" t="inlineStr">
        <is>
          <t>Net cash provided by operating activities</t>
        </is>
      </c>
      <c r="B27" s="12" t="n">
        <v>966463</v>
      </c>
      <c r="C27" s="12" t="n">
        <v>2296164</v>
      </c>
      <c r="D27" s="12" t="n">
        <v>2272713</v>
      </c>
      <c r="E27" s="12" t="n">
        <v>1602477</v>
      </c>
    </row>
    <row r="28">
      <c r="A28" s="10" t="inlineStr">
        <is>
          <t>Net income</t>
        </is>
      </c>
      <c r="B28" s="12" t="n">
        <v>854800</v>
      </c>
      <c r="C28" s="12" t="n">
        <v>1550190</v>
      </c>
      <c r="D28" s="12" t="n">
        <v>1814616</v>
      </c>
      <c r="E28" s="12" t="n">
        <v>1579183</v>
      </c>
    </row>
    <row r="29">
      <c r="A29" s="10" t="inlineStr">
        <is>
          <t>Other current and non-current liabilities</t>
        </is>
      </c>
      <c r="B29" s="12" t="n">
        <v>-2925</v>
      </c>
      <c r="C29" s="12" t="n">
        <v>12230</v>
      </c>
      <c r="D29" s="12" t="n">
        <v>2488</v>
      </c>
      <c r="E29" s="12" t="n">
        <v>20632</v>
      </c>
    </row>
    <row r="30">
      <c r="A30" s="10" t="inlineStr">
        <is>
          <t>Other non-current assets</t>
        </is>
      </c>
      <c r="B30" s="12" t="n">
        <v>-36518</v>
      </c>
      <c r="C30" s="12" t="n">
        <v>-53280</v>
      </c>
      <c r="D30" s="12" t="n">
        <v>-73205</v>
      </c>
      <c r="E30" s="12" t="n">
        <v>-70351</v>
      </c>
    </row>
    <row r="31">
      <c r="A31" s="10" t="inlineStr">
        <is>
          <t>Prepaid and receivable income taxes</t>
        </is>
      </c>
      <c r="B31" s="12" t="n">
        <v>-66714</v>
      </c>
      <c r="C31" s="12" t="n">
        <v>1908</v>
      </c>
      <c r="D31" s="12" t="n">
        <v>-2031</v>
      </c>
      <c r="E31" s="12" t="n">
        <v>-170216</v>
      </c>
    </row>
    <row r="32">
      <c r="A32" s="10" t="inlineStr">
        <is>
          <t>Prepaid expenses and other current assets</t>
        </is>
      </c>
      <c r="B32" s="12" t="n">
        <v>-54833</v>
      </c>
      <c r="C32" s="12" t="n">
        <v>40587</v>
      </c>
      <c r="D32" s="12" t="n">
        <v>-71789</v>
      </c>
      <c r="E32" s="12" t="n">
        <v>47779</v>
      </c>
    </row>
    <row r="33">
      <c r="A33" s="10" t="inlineStr">
        <is>
          <t>Right-of-use lease assets and current and non-current lease liabilities</t>
        </is>
      </c>
      <c r="B33" s="12" t="n">
        <v>23905</v>
      </c>
      <c r="C33" s="12" t="n">
        <v>37535</v>
      </c>
      <c r="D33" s="12" t="n">
        <v>23501</v>
      </c>
      <c r="E33" s="12" t="n">
        <v>6884</v>
      </c>
    </row>
    <row r="34">
      <c r="A34" s="10" t="inlineStr">
        <is>
          <t>Settlement of derivatives not designated in a hedging relationship</t>
        </is>
      </c>
      <c r="B34" s="12" t="n">
        <v>-38649</v>
      </c>
      <c r="C34" s="12" t="n">
        <v>32527</v>
      </c>
      <c r="D34" s="12" t="n">
        <v>-47763</v>
      </c>
      <c r="E34" s="12" t="n">
        <v>-34552</v>
      </c>
    </row>
    <row r="35">
      <c r="A35" s="10" t="inlineStr">
        <is>
          <t>Stock-based compensation expense</t>
        </is>
      </c>
      <c r="B35" s="12" t="n">
        <v>78075</v>
      </c>
      <c r="C35" s="12" t="n">
        <v>93560</v>
      </c>
      <c r="D35" s="12" t="n">
        <v>90011</v>
      </c>
      <c r="E35" s="12" t="n">
        <v>62203</v>
      </c>
    </row>
    <row r="36">
      <c r="A36" s="10" t="inlineStr">
        <is>
          <t>Unredeemed gift card liability</t>
        </is>
      </c>
      <c r="B36" s="12" t="n">
        <v>68266</v>
      </c>
      <c r="C36" s="12" t="n">
        <v>84315</v>
      </c>
      <c r="D36" s="12" t="n">
        <v>42410</v>
      </c>
      <c r="E36" s="12" t="n">
        <v>41253</v>
      </c>
    </row>
    <row r="37">
      <c r="A37" s="10" t="inlineStr">
        <is>
          <t>Cash and cash equivalents, beginning of period</t>
        </is>
      </c>
      <c r="B37" s="12" t="n">
        <v>1259871</v>
      </c>
      <c r="C37" s="12" t="n">
        <v>1154867</v>
      </c>
      <c r="D37" s="12" t="n">
        <v>2243971</v>
      </c>
      <c r="E37" s="12" t="n">
        <v>1984336</v>
      </c>
    </row>
    <row r="38">
      <c r="A38" s="10" t="inlineStr">
        <is>
          <t>Cash and cash equivalents, end of period</t>
        </is>
      </c>
      <c r="B38" s="12" t="n">
        <v>1154867</v>
      </c>
      <c r="C38" s="12" t="n">
        <v>2243971</v>
      </c>
      <c r="D38" s="12" t="n">
        <v>1984336</v>
      </c>
      <c r="E38" s="12" t="n">
        <v>1807202</v>
      </c>
    </row>
    <row r="39">
      <c r="A39" s="10" t="inlineStr">
        <is>
          <t>Effect of foreign currency exchange rate changes on cash and cash equivalents</t>
        </is>
      </c>
      <c r="B39" s="12" t="n">
        <v>-34043</v>
      </c>
      <c r="C39" s="12" t="n">
        <v>-4100</v>
      </c>
      <c r="D39" s="12" t="n">
        <v>-81666</v>
      </c>
      <c r="E39" s="12" t="n">
        <v>91163</v>
      </c>
    </row>
    <row r="40">
      <c r="A40" s="10" t="inlineStr">
        <is>
          <t>Increase (decrease) in cash and cash equivalents</t>
        </is>
      </c>
      <c r="B40" s="12" t="n">
        <v>-105004</v>
      </c>
      <c r="C40" s="12" t="n">
        <v>1089104</v>
      </c>
      <c r="D40" s="12" t="n">
        <v>-259635</v>
      </c>
      <c r="E40" s="12" t="n">
        <v>-177134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>
      <c r="A1" s="10" t="inlineStr">
        <is>
          <t>lululemon athletica inc. (LULU) — Condensed Financials</t>
        </is>
      </c>
    </row>
    <row r="4">
      <c r="A4" s="10" t="inlineStr">
        <is>
          <t>BALANCE SHEET CLASSIFICATION</t>
        </is>
      </c>
    </row>
    <row r="5">
      <c r="A5" s="10" t="inlineStr">
        <is>
          <t>Line Item</t>
        </is>
      </c>
      <c r="B5" s="10" t="inlineStr">
        <is>
          <t>Classification</t>
        </is>
      </c>
      <c r="C5" s="11" t="n">
        <v>44955</v>
      </c>
      <c r="D5" s="11" t="n">
        <v>45319</v>
      </c>
      <c r="E5" s="11" t="n">
        <v>45690</v>
      </c>
      <c r="F5" s="11" t="n">
        <v>46054</v>
      </c>
      <c r="G5" s="10" t="inlineStr">
        <is>
          <t>Notes</t>
        </is>
      </c>
    </row>
    <row r="6">
      <c r="A6" s="10" t="inlineStr">
        <is>
          <t>Accounts receivable, net</t>
        </is>
      </c>
      <c r="B6" s="10" t="inlineStr">
        <is>
          <t>Operating Working Capital Asset</t>
        </is>
      </c>
      <c r="C6" s="12" t="n">
        <v>132906</v>
      </c>
      <c r="D6" s="12" t="n">
        <v>124769</v>
      </c>
      <c r="E6" s="12" t="n">
        <v>120173</v>
      </c>
      <c r="F6" s="12" t="n">
        <v>190657</v>
      </c>
    </row>
    <row r="7">
      <c r="A7" s="10" t="inlineStr">
        <is>
          <t>Cash and cash equivalents</t>
        </is>
      </c>
      <c r="B7" s="10" t="inlineStr">
        <is>
          <t>Financial Asset</t>
        </is>
      </c>
      <c r="C7" s="12" t="n">
        <v>1154867</v>
      </c>
      <c r="D7" s="12" t="n">
        <v>2243971</v>
      </c>
      <c r="E7" s="12" t="n">
        <v>1984336</v>
      </c>
      <c r="F7" s="12" t="n">
        <v>1807202</v>
      </c>
    </row>
    <row r="8">
      <c r="A8" s="10" t="inlineStr">
        <is>
          <t>Inventories</t>
        </is>
      </c>
      <c r="B8" s="10" t="inlineStr">
        <is>
          <t>Operating Working Capital Asset</t>
        </is>
      </c>
      <c r="C8" s="12" t="n">
        <v>1447367</v>
      </c>
      <c r="D8" s="12" t="n">
        <v>1323602</v>
      </c>
      <c r="E8" s="12" t="n">
        <v>1442081</v>
      </c>
      <c r="F8" s="12" t="n">
        <v>1700753</v>
      </c>
    </row>
    <row r="9">
      <c r="A9" s="10" t="inlineStr">
        <is>
          <t>Prepaid and receivable income taxes</t>
        </is>
      </c>
      <c r="B9" s="10" t="inlineStr">
        <is>
          <t>Operating Working Capital Asset</t>
        </is>
      </c>
      <c r="C9" s="12" t="n">
        <v>185641</v>
      </c>
      <c r="D9" s="12" t="n">
        <v>183733</v>
      </c>
      <c r="E9" s="12" t="n">
        <v>182253</v>
      </c>
      <c r="F9" s="12" t="n">
        <v>352469</v>
      </c>
    </row>
    <row r="10">
      <c r="A10" s="10" t="inlineStr">
        <is>
          <t>Prepaid expenses and other current assets</t>
        </is>
      </c>
      <c r="B10" s="10" t="inlineStr">
        <is>
          <t>Operating Working Capital Asset</t>
        </is>
      </c>
      <c r="C10" s="12" t="n">
        <v>238672</v>
      </c>
      <c r="D10" s="12" t="n">
        <v>184502</v>
      </c>
      <c r="E10" s="12" t="n">
        <v>251459</v>
      </c>
      <c r="F10" s="12" t="n">
        <v>211620</v>
      </c>
    </row>
    <row r="11">
      <c r="A11" s="10" t="inlineStr">
        <is>
          <t>Accounts payable</t>
        </is>
      </c>
      <c r="B11" s="10" t="inlineStr">
        <is>
          <t>Operating Working Capital Liability</t>
        </is>
      </c>
      <c r="C11" s="12" t="n">
        <v>172732</v>
      </c>
      <c r="D11" s="12" t="n">
        <v>348441</v>
      </c>
      <c r="E11" s="12" t="n">
        <v>271406</v>
      </c>
      <c r="F11" s="12" t="n">
        <v>331421</v>
      </c>
    </row>
    <row r="12">
      <c r="A12" s="10" t="inlineStr">
        <is>
          <t>Accrued compensation and related expenses</t>
        </is>
      </c>
      <c r="B12" s="10" t="inlineStr">
        <is>
          <t>Operating Working Capital Liability</t>
        </is>
      </c>
      <c r="C12" s="12" t="n">
        <v>248167</v>
      </c>
      <c r="D12" s="12" t="n">
        <v>326110</v>
      </c>
      <c r="E12" s="12" t="n">
        <v>204543</v>
      </c>
      <c r="F12" s="12" t="n">
        <v>187887</v>
      </c>
    </row>
    <row r="13">
      <c r="A13" s="10" t="inlineStr">
        <is>
          <t>Accrued liabilities and other</t>
        </is>
      </c>
      <c r="B13" s="10" t="inlineStr">
        <is>
          <t>Operating Working Capital Liability</t>
        </is>
      </c>
      <c r="C13" s="12" t="n">
        <v>399223</v>
      </c>
      <c r="D13" s="12" t="n">
        <v>348555</v>
      </c>
      <c r="E13" s="12" t="n">
        <v>559463</v>
      </c>
      <c r="F13" s="12" t="n">
        <v>662982</v>
      </c>
    </row>
    <row r="14">
      <c r="A14" s="10" t="inlineStr">
        <is>
          <t>Current income taxes payable</t>
        </is>
      </c>
      <c r="B14" s="10" t="inlineStr">
        <is>
          <t>Operating Working Capital Liability</t>
        </is>
      </c>
      <c r="C14" s="12" t="n">
        <v>174221</v>
      </c>
      <c r="D14" s="12" t="n">
        <v>12098</v>
      </c>
      <c r="E14" s="12" t="n">
        <v>183126</v>
      </c>
      <c r="F14" s="12" t="n">
        <v>43948</v>
      </c>
    </row>
    <row r="15">
      <c r="A15" s="10" t="inlineStr">
        <is>
          <t>Current lease liabilities</t>
        </is>
      </c>
      <c r="B15" s="10">
        <f>IF('Accounting Judgment'!$F$5="","Operating Long-Term Liability",'Accounting Judgment'!$F$5)</f>
        <v/>
      </c>
      <c r="C15" s="12" t="n">
        <v>207972</v>
      </c>
      <c r="D15" s="12" t="n">
        <v>249270</v>
      </c>
      <c r="E15" s="12" t="n">
        <v>275154</v>
      </c>
      <c r="F15" s="12" t="n">
        <v>298724</v>
      </c>
      <c r="G15" s="10" t="inlineStr">
        <is>
          <t>⚠ Review: Lease liability concept — operating vs financial judgment</t>
        </is>
      </c>
    </row>
    <row r="16">
      <c r="A16" s="10" t="inlineStr">
        <is>
          <t>Other current liabilities</t>
        </is>
      </c>
      <c r="B16" s="10">
        <f>IF('Accounting Judgment'!$F$6="","Operating Working Capital Liability",'Accounting Judgment'!$F$6)</f>
        <v/>
      </c>
      <c r="C16" s="12" t="n">
        <v>38405</v>
      </c>
      <c r="D16" s="12" t="n">
        <v>40308</v>
      </c>
      <c r="E16" s="12" t="n">
        <v>37586</v>
      </c>
      <c r="F16" s="12" t="n">
        <v>45954</v>
      </c>
      <c r="G16" s="10" t="inlineStr">
        <is>
          <t>⚠ Review: Explicit residual balance-sheet concept identifies side/horizon but not economic nature — operating vs financial judgment</t>
        </is>
      </c>
    </row>
    <row r="17">
      <c r="A17" s="10" t="inlineStr">
        <is>
          <t>Unredeemed gift card liability</t>
        </is>
      </c>
      <c r="B17" s="10" t="inlineStr">
        <is>
          <t>Operating Working Capital Liability</t>
        </is>
      </c>
      <c r="C17" s="12" t="n">
        <v>251478</v>
      </c>
      <c r="D17" s="12" t="n">
        <v>306479</v>
      </c>
      <c r="E17" s="12" t="n">
        <v>308352</v>
      </c>
      <c r="F17" s="12" t="n">
        <v>316632</v>
      </c>
    </row>
    <row r="18">
      <c r="A18" s="10" t="inlineStr">
        <is>
          <t>Deferred income tax assets</t>
        </is>
      </c>
      <c r="B18" s="10" t="inlineStr">
        <is>
          <t>Operating Long-Term Asset</t>
        </is>
      </c>
      <c r="C18" s="12" t="n">
        <v>6402</v>
      </c>
      <c r="D18" s="12" t="n">
        <v>9176</v>
      </c>
      <c r="E18" s="12" t="n">
        <v>17085</v>
      </c>
      <c r="F18" s="12" t="n">
        <v>24037</v>
      </c>
      <c r="G18" s="10" t="inlineStr">
        <is>
          <t>⚠ Review: Deferred tax asset concept — operating vs exclude judgment</t>
        </is>
      </c>
    </row>
    <row r="19">
      <c r="A19" s="10" t="inlineStr">
        <is>
          <t>Goodwill</t>
        </is>
      </c>
      <c r="B19" s="10" t="inlineStr">
        <is>
          <t>Operating Long-Term Asset</t>
        </is>
      </c>
      <c r="C19" s="12" t="n">
        <v>24144</v>
      </c>
      <c r="D19" s="12" t="n">
        <v>24083</v>
      </c>
      <c r="E19" s="12" t="n">
        <v>159518</v>
      </c>
      <c r="F19" s="12" t="n">
        <v>184911</v>
      </c>
    </row>
    <row r="20">
      <c r="A20" s="10" t="inlineStr">
        <is>
          <t>Intangible assets, net</t>
        </is>
      </c>
      <c r="B20" s="10" t="inlineStr">
        <is>
          <t>Operating Long-Term Asset</t>
        </is>
      </c>
      <c r="C20" s="12" t="n">
        <v>21961</v>
      </c>
      <c r="D20" s="12" t="n">
        <v>0</v>
      </c>
      <c r="E20" s="12" t="n">
        <v>11673</v>
      </c>
      <c r="F20" s="12" t="n">
        <v>6283</v>
      </c>
    </row>
    <row r="21">
      <c r="A21" s="10" t="inlineStr">
        <is>
          <t>Other non-current assets</t>
        </is>
      </c>
      <c r="B21" s="10">
        <f>IF('Accounting Judgment'!$F$7="","Operating Long-Term Asset",'Accounting Judgment'!$F$7)</f>
        <v/>
      </c>
      <c r="C21" s="12" t="n">
        <v>156045</v>
      </c>
      <c r="D21" s="12" t="n">
        <v>186684</v>
      </c>
      <c r="E21" s="12" t="n">
        <v>237841</v>
      </c>
      <c r="F21" s="12" t="n">
        <v>314910</v>
      </c>
      <c r="G21" s="10" t="inlineStr">
        <is>
          <t>⚠ Review: Explicit residual balance-sheet concept identifies side/horizon but not economic nature — operating vs financial judgment</t>
        </is>
      </c>
    </row>
    <row r="22">
      <c r="A22" s="10" t="inlineStr">
        <is>
          <t>Property and equipment, net</t>
        </is>
      </c>
      <c r="B22" s="10" t="inlineStr">
        <is>
          <t>Operating Long-Term Asset</t>
        </is>
      </c>
      <c r="C22" s="12" t="n">
        <v>1269614</v>
      </c>
      <c r="D22" s="12" t="n">
        <v>1545811</v>
      </c>
      <c r="E22" s="12" t="n">
        <v>1780617</v>
      </c>
      <c r="F22" s="12" t="n">
        <v>2033720</v>
      </c>
    </row>
    <row r="23">
      <c r="A23" s="10" t="inlineStr">
        <is>
          <t>Right-of-use lease assets</t>
        </is>
      </c>
      <c r="B23" s="10" t="inlineStr">
        <is>
          <t>Operating Long-Term Asset</t>
        </is>
      </c>
      <c r="C23" s="12" t="n">
        <v>969419</v>
      </c>
      <c r="D23" s="12" t="n">
        <v>1265610</v>
      </c>
      <c r="E23" s="12" t="n">
        <v>1416256</v>
      </c>
      <c r="F23" s="12" t="n">
        <v>1630181</v>
      </c>
      <c r="G23" s="10" t="inlineStr">
        <is>
          <t>⚠ Review: Lease/ROU asset concept — operating vs financial judgment</t>
        </is>
      </c>
    </row>
    <row r="24">
      <c r="A24" s="10" t="inlineStr">
        <is>
          <t>Deferred income tax liabilities</t>
        </is>
      </c>
      <c r="B24" s="10" t="inlineStr">
        <is>
          <t>Operating Long-Term Liability</t>
        </is>
      </c>
      <c r="C24" s="12" t="n">
        <v>55084</v>
      </c>
      <c r="D24" s="12" t="n">
        <v>29522</v>
      </c>
      <c r="E24" s="12" t="n">
        <v>98188</v>
      </c>
      <c r="F24" s="12" t="n">
        <v>52278</v>
      </c>
      <c r="G24" s="10" t="inlineStr">
        <is>
          <t>⚠ Review: Deferred tax liability concept — operating vs exclude judgment</t>
        </is>
      </c>
    </row>
    <row r="25">
      <c r="A25" s="10" t="inlineStr">
        <is>
          <t>Non-current income taxes payable</t>
        </is>
      </c>
      <c r="B25" s="10" t="inlineStr">
        <is>
          <t>Operating Working Capital Liability</t>
        </is>
      </c>
      <c r="C25" s="12" t="n">
        <v>28555</v>
      </c>
      <c r="D25" s="12" t="n">
        <v>15864</v>
      </c>
      <c r="E25" s="12" t="n">
        <v>0</v>
      </c>
      <c r="F25" s="12" t="n"/>
    </row>
    <row r="26">
      <c r="A26" s="10" t="inlineStr">
        <is>
          <t>Non-current lease liabilities</t>
        </is>
      </c>
      <c r="B26" s="10">
        <f>IF('Accounting Judgment'!$F$8="","Operating Long-Term Liability",'Accounting Judgment'!$F$8)</f>
        <v/>
      </c>
      <c r="C26" s="12" t="n">
        <v>862362</v>
      </c>
      <c r="D26" s="12" t="n">
        <v>1154012</v>
      </c>
      <c r="E26" s="12" t="n">
        <v>1300637</v>
      </c>
      <c r="F26" s="12" t="n">
        <v>1499717</v>
      </c>
      <c r="G26" s="10" t="inlineStr">
        <is>
          <t>⚠ Review: Lease liability concept — operating vs financial judgment</t>
        </is>
      </c>
    </row>
    <row r="27">
      <c r="A27" s="10" t="inlineStr">
        <is>
          <t>Other non-current liabilities</t>
        </is>
      </c>
      <c r="B27" s="10">
        <f>IF('Accounting Judgment'!$F$9="","Operating Long-Term Liability",'Accounting Judgment'!$F$9)</f>
        <v/>
      </c>
      <c r="C27" s="12" t="n">
        <v>20040</v>
      </c>
      <c r="D27" s="12" t="n">
        <v>29201</v>
      </c>
      <c r="E27" s="12" t="n">
        <v>40790</v>
      </c>
      <c r="F27" s="12" t="n">
        <v>55360</v>
      </c>
      <c r="G27" s="10" t="inlineStr">
        <is>
          <t>⚠ Review: Explicit residual balance-sheet concept identifies side/horizon but not economic nature — operating vs financial judgment</t>
        </is>
      </c>
    </row>
    <row r="28">
      <c r="A28" s="10" t="inlineStr">
        <is>
          <t>Accumulated other comprehensive loss</t>
        </is>
      </c>
      <c r="B28" s="10" t="inlineStr">
        <is>
          <t>Equity</t>
        </is>
      </c>
      <c r="C28" s="12" t="n">
        <v>-252584</v>
      </c>
      <c r="D28" s="12" t="n">
        <v>-264256</v>
      </c>
      <c r="E28" s="12" t="n">
        <v>-424441</v>
      </c>
      <c r="F28" s="12" t="n">
        <v>-230690</v>
      </c>
    </row>
    <row r="29">
      <c r="A29" s="10" t="inlineStr">
        <is>
          <t>Additional paid-in capital</t>
        </is>
      </c>
      <c r="B29" s="10" t="inlineStr">
        <is>
          <t>Equity</t>
        </is>
      </c>
      <c r="C29" s="12" t="n">
        <v>474645</v>
      </c>
      <c r="D29" s="12" t="n">
        <v>575369</v>
      </c>
      <c r="E29" s="12" t="n">
        <v>638190</v>
      </c>
      <c r="F29" s="12" t="n">
        <v>669392</v>
      </c>
    </row>
    <row r="30">
      <c r="A30" s="10" t="inlineStr">
        <is>
          <t>Common stock</t>
        </is>
      </c>
      <c r="B30" s="10" t="inlineStr">
        <is>
          <t>Equity</t>
        </is>
      </c>
      <c r="C30" s="12" t="n">
        <v>611</v>
      </c>
      <c r="D30" s="12" t="n">
        <v>606</v>
      </c>
      <c r="E30" s="12" t="n">
        <v>581</v>
      </c>
      <c r="F30" s="12" t="n">
        <v>557</v>
      </c>
    </row>
    <row r="31">
      <c r="A31" s="10" t="inlineStr">
        <is>
          <t>Retained earnings</t>
        </is>
      </c>
      <c r="B31" s="10" t="inlineStr">
        <is>
          <t>Equity</t>
        </is>
      </c>
      <c r="C31" s="12" t="n">
        <v>2926127</v>
      </c>
      <c r="D31" s="12" t="n">
        <v>3920362</v>
      </c>
      <c r="E31" s="12" t="n">
        <v>4109717</v>
      </c>
      <c r="F31" s="12" t="n">
        <v>4522581</v>
      </c>
    </row>
    <row r="33">
      <c r="A33" s="10" t="inlineStr">
        <is>
          <t>CONDENSED INCOME STATEMENT</t>
        </is>
      </c>
      <c r="B33" s="11" t="n">
        <v>44955</v>
      </c>
      <c r="C33" s="11" t="n">
        <v>45319</v>
      </c>
      <c r="D33" s="11" t="n">
        <v>45690</v>
      </c>
      <c r="E33" s="11" t="n">
        <v>46054</v>
      </c>
    </row>
    <row r="34">
      <c r="A34" s="10" t="inlineStr">
        <is>
          <t>Revenue</t>
        </is>
      </c>
      <c r="B34" s="13" t="n"/>
      <c r="C34" s="13" t="n"/>
      <c r="D34" s="13" t="n"/>
      <c r="E34" s="13" t="n"/>
    </row>
    <row r="35">
      <c r="A35" s="10" t="inlineStr">
        <is>
          <t>Net Income</t>
        </is>
      </c>
      <c r="B35" s="13" t="n"/>
      <c r="C35" s="13" t="n"/>
      <c r="D35" s="13" t="n"/>
      <c r="E35" s="13" t="n"/>
    </row>
    <row r="36">
      <c r="A36" s="10" t="inlineStr">
        <is>
          <t>Pretax Income</t>
        </is>
      </c>
      <c r="B36" s="10">
        <f>'Income Statement'!B15</f>
        <v/>
      </c>
      <c r="C36" s="10">
        <f>'Income Statement'!C15</f>
        <v/>
      </c>
      <c r="D36" s="10">
        <f>'Income Statement'!D15</f>
        <v/>
      </c>
      <c r="E36" s="10">
        <f>'Income Statement'!E15</f>
        <v/>
      </c>
    </row>
    <row r="37">
      <c r="A37" s="10" t="inlineStr">
        <is>
          <t>Tax Expense</t>
        </is>
      </c>
      <c r="B37" s="10">
        <f>'Income Statement'!B17</f>
        <v/>
      </c>
      <c r="C37" s="10">
        <f>'Income Statement'!C17</f>
        <v/>
      </c>
      <c r="D37" s="10">
        <f>'Income Statement'!D17</f>
        <v/>
      </c>
      <c r="E37" s="10">
        <f>'Income Statement'!E17</f>
        <v/>
      </c>
    </row>
    <row r="38">
      <c r="A38" s="10" t="inlineStr">
        <is>
          <t>Effective Tax Rate</t>
        </is>
      </c>
      <c r="B38" s="14" t="n"/>
      <c r="C38" s="14" t="n"/>
      <c r="D38" s="14" t="n"/>
      <c r="E38" s="14" t="n"/>
    </row>
    <row r="39">
      <c r="A39" s="10" t="inlineStr">
        <is>
          <t>Net Interest</t>
        </is>
      </c>
      <c r="B39" s="10" t="inlineStr">
        <is>
          <t>Source unavailable</t>
        </is>
      </c>
      <c r="C39" s="10" t="inlineStr">
        <is>
          <t>Source unavailable</t>
        </is>
      </c>
      <c r="D39" s="10" t="inlineStr">
        <is>
          <t>Source unavailable</t>
        </is>
      </c>
      <c r="E39" s="10" t="inlineStr">
        <is>
          <t>Source unavailable</t>
        </is>
      </c>
    </row>
    <row r="40">
      <c r="A40" s="10" t="inlineStr">
        <is>
          <t>Net Interest After Tax</t>
        </is>
      </c>
      <c r="B40" s="10" t="inlineStr">
        <is>
          <t>Source unavailable</t>
        </is>
      </c>
      <c r="C40" s="10" t="inlineStr">
        <is>
          <t>Source unavailable</t>
        </is>
      </c>
      <c r="D40" s="10" t="inlineStr">
        <is>
          <t>Source unavailable</t>
        </is>
      </c>
      <c r="E40" s="10" t="inlineStr">
        <is>
          <t>Source unavailable</t>
        </is>
      </c>
    </row>
    <row r="41">
      <c r="A41" s="10" t="inlineStr">
        <is>
          <t>NOPAT</t>
        </is>
      </c>
      <c r="B41" s="10" t="inlineStr">
        <is>
          <t>Source unavailable</t>
        </is>
      </c>
      <c r="C41" s="10" t="inlineStr">
        <is>
          <t>Source unavailable</t>
        </is>
      </c>
      <c r="D41" s="10" t="inlineStr">
        <is>
          <t>Source unavailable</t>
        </is>
      </c>
      <c r="E41" s="10" t="inlineStr">
        <is>
          <t>Source unavailable</t>
        </is>
      </c>
    </row>
    <row r="43">
      <c r="A43" s="10" t="inlineStr">
        <is>
          <t>CONDENSED BALANCE SHEET</t>
        </is>
      </c>
    </row>
    <row r="44">
      <c r="A44" s="10" t="inlineStr">
        <is>
          <t>Operating Working Capital Assets</t>
        </is>
      </c>
      <c r="B44" s="15" t="n"/>
      <c r="C44" s="15" t="n"/>
      <c r="D44" s="15" t="n"/>
      <c r="E44" s="15" t="n"/>
    </row>
    <row r="45">
      <c r="A45" s="10" t="inlineStr">
        <is>
          <t>Operating Working Capital Liabilities</t>
        </is>
      </c>
      <c r="B45" s="15" t="n"/>
      <c r="C45" s="15" t="n"/>
      <c r="D45" s="15" t="n"/>
      <c r="E45" s="15" t="n"/>
    </row>
    <row r="46">
      <c r="A46" s="10" t="inlineStr">
        <is>
          <t>NOWC</t>
        </is>
      </c>
      <c r="B46" s="15" t="n"/>
      <c r="C46" s="15" t="n"/>
      <c r="D46" s="15" t="n"/>
      <c r="E46" s="15" t="n"/>
    </row>
    <row r="47">
      <c r="A47" s="10" t="inlineStr">
        <is>
          <t>Operating Long-Term Assets</t>
        </is>
      </c>
      <c r="B47" s="15" t="n"/>
      <c r="C47" s="15" t="n"/>
      <c r="D47" s="15" t="n"/>
      <c r="E47" s="15" t="n"/>
    </row>
    <row r="48">
      <c r="A48" s="10" t="inlineStr">
        <is>
          <t>Operating Long-Term Liabilities</t>
        </is>
      </c>
      <c r="B48" s="15" t="n"/>
      <c r="C48" s="15" t="n"/>
      <c r="D48" s="15" t="n"/>
      <c r="E48" s="15" t="n"/>
    </row>
    <row r="49">
      <c r="A49" s="10" t="inlineStr">
        <is>
          <t>NOLA</t>
        </is>
      </c>
      <c r="B49" s="15" t="n"/>
      <c r="C49" s="15" t="n"/>
      <c r="D49" s="15" t="n"/>
      <c r="E49" s="15" t="n"/>
    </row>
    <row r="50">
      <c r="A50" s="10" t="inlineStr">
        <is>
          <t>NOA</t>
        </is>
      </c>
      <c r="B50" s="15" t="n"/>
      <c r="C50" s="15" t="n"/>
      <c r="D50" s="15" t="n"/>
      <c r="E50" s="15" t="n"/>
    </row>
    <row r="51">
      <c r="A51" s="10" t="inlineStr">
        <is>
          <t>Financial Assets</t>
        </is>
      </c>
      <c r="B51" s="15" t="n"/>
      <c r="C51" s="15" t="n"/>
      <c r="D51" s="15" t="n"/>
      <c r="E51" s="15" t="n"/>
    </row>
    <row r="52">
      <c r="A52" s="10" t="inlineStr">
        <is>
          <t>Financial Liabilities</t>
        </is>
      </c>
      <c r="B52" s="15" t="n"/>
      <c r="C52" s="15" t="n"/>
      <c r="D52" s="15" t="n"/>
      <c r="E52" s="15" t="n"/>
    </row>
    <row r="53">
      <c r="A53" s="10" t="inlineStr">
        <is>
          <t>Net Debt</t>
        </is>
      </c>
      <c r="B53" s="15" t="n"/>
      <c r="C53" s="15" t="n"/>
      <c r="D53" s="15" t="n"/>
      <c r="E53" s="15" t="n"/>
    </row>
    <row r="54">
      <c r="A54" s="10" t="inlineStr">
        <is>
          <t>Equity (NOA - Net Debt)</t>
        </is>
      </c>
      <c r="B54" s="15" t="n"/>
      <c r="C54" s="15" t="n"/>
      <c r="D54" s="15" t="n"/>
      <c r="E54" s="15" t="n"/>
    </row>
    <row r="55">
      <c r="A55" s="10" t="inlineStr">
        <is>
          <t>Reported Equity</t>
        </is>
      </c>
      <c r="B55" s="12">
        <f>'Balance Sheet'!B35</f>
        <v/>
      </c>
      <c r="C55" s="12">
        <f>'Balance Sheet'!C35</f>
        <v/>
      </c>
      <c r="D55" s="12">
        <f>'Balance Sheet'!D35</f>
        <v/>
      </c>
      <c r="E55" s="12">
        <f>'Balance Sheet'!E35</f>
        <v/>
      </c>
    </row>
    <row r="56">
      <c r="A56" s="10" t="inlineStr">
        <is>
          <t>Total Capital</t>
        </is>
      </c>
      <c r="B56" s="12">
        <f>B53+B54</f>
        <v/>
      </c>
      <c r="C56" s="12">
        <f>C53+C54</f>
        <v/>
      </c>
      <c r="D56" s="12">
        <f>D53+D54</f>
        <v/>
      </c>
      <c r="E56" s="12">
        <f>E53+E54</f>
        <v/>
      </c>
    </row>
    <row r="57">
      <c r="A57" s="10" t="inlineStr">
        <is>
          <t>CHECK</t>
        </is>
      </c>
      <c r="B57" s="10">
        <f>IF(ABS(B54-B55)&lt;1,"OK","CHECK")</f>
        <v/>
      </c>
      <c r="C57" s="10">
        <f>IF(ABS(C54-C55)&lt;1,"OK","CHECK")</f>
        <v/>
      </c>
      <c r="D57" s="10">
        <f>IF(ABS(D54-D55)&lt;1,"OK","CHECK")</f>
        <v/>
      </c>
      <c r="E57" s="10">
        <f>IF(ABS(E54-E55)&lt;1,"OK","CHECK")</f>
        <v/>
      </c>
    </row>
  </sheetData>
  <dataValidations count="1">
    <dataValidation sqref="B6 B7 B8 B9 B10 B11 B12 B13 B14 B17 B18 B19 B20 B22 B23 B24 B25 B28 B29 B30 B31" showDropDown="0" showInputMessage="0" showErrorMessage="0" allowBlank="0" type="list">
      <formula1>"Operating Working Capital Asset,Operating Working Capital Liability,Operating Long-Term Asset,Operating Long-Term Liability,Financial Asset,Financial Liability,Equity,Exclude"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lululemon athletica inc. — DuPont Decomposition</t>
        </is>
      </c>
    </row>
    <row r="2">
      <c r="A2" s="10" t="inlineStr">
        <is>
          <t>ROE = RNOA + FLEV × Spread</t>
        </is>
      </c>
    </row>
    <row r="4">
      <c r="A4" s="10" t="inlineStr">
        <is>
          <t>Metric</t>
        </is>
      </c>
      <c r="B4" s="11" t="n">
        <v>44955</v>
      </c>
      <c r="C4" s="11" t="n">
        <v>45319</v>
      </c>
      <c r="D4" s="11" t="n">
        <v>45690</v>
      </c>
      <c r="E4" s="11" t="n">
        <v>46054</v>
      </c>
    </row>
    <row r="5">
      <c r="A5" s="10" t="inlineStr">
        <is>
          <t>Sales Growth</t>
        </is>
      </c>
      <c r="B5" s="10" t="inlineStr">
        <is>
          <t>N/A</t>
        </is>
      </c>
      <c r="C5" s="14" t="n"/>
      <c r="D5" s="14" t="n"/>
      <c r="E5" s="14" t="n"/>
    </row>
    <row r="6">
      <c r="A6" s="10" t="inlineStr">
        <is>
          <t>NOPAT Margin</t>
        </is>
      </c>
      <c r="B6" s="10" t="inlineStr">
        <is>
          <t>Source unavailable</t>
        </is>
      </c>
      <c r="C6" s="10" t="inlineStr">
        <is>
          <t>Source unavailable</t>
        </is>
      </c>
      <c r="D6" s="10" t="inlineStr">
        <is>
          <t>Source unavailable</t>
        </is>
      </c>
      <c r="E6" s="10" t="inlineStr">
        <is>
          <t>Source unavailable</t>
        </is>
      </c>
    </row>
    <row r="7">
      <c r="A7" s="10" t="inlineStr">
        <is>
          <t>RNOA</t>
        </is>
      </c>
      <c r="B7" s="10" t="inlineStr">
        <is>
          <t>N/A</t>
        </is>
      </c>
      <c r="C7" s="10" t="inlineStr">
        <is>
          <t>Source unavailable</t>
        </is>
      </c>
      <c r="D7" s="10" t="inlineStr">
        <is>
          <t>Source unavailable</t>
        </is>
      </c>
      <c r="E7" s="10" t="inlineStr">
        <is>
          <t>Source unavailable</t>
        </is>
      </c>
    </row>
    <row r="8">
      <c r="A8" s="10" t="inlineStr">
        <is>
          <t>After-tax CoD</t>
        </is>
      </c>
      <c r="B8" s="10" t="inlineStr">
        <is>
          <t>N/A</t>
        </is>
      </c>
      <c r="C8" s="10" t="inlineStr">
        <is>
          <t>Source unavailable</t>
        </is>
      </c>
      <c r="D8" s="10" t="inlineStr">
        <is>
          <t>Source unavailable</t>
        </is>
      </c>
      <c r="E8" s="10" t="inlineStr">
        <is>
          <t>Source unavailable</t>
        </is>
      </c>
    </row>
    <row r="9">
      <c r="A9" s="10" t="inlineStr">
        <is>
          <t>Spread</t>
        </is>
      </c>
      <c r="B9" s="10" t="inlineStr">
        <is>
          <t>N/A</t>
        </is>
      </c>
      <c r="C9" s="10" t="inlineStr">
        <is>
          <t>Source unavailable</t>
        </is>
      </c>
      <c r="D9" s="10" t="inlineStr">
        <is>
          <t>Source unavailable</t>
        </is>
      </c>
      <c r="E9" s="10" t="inlineStr">
        <is>
          <t>Source unavailable</t>
        </is>
      </c>
    </row>
    <row r="10">
      <c r="A10" s="10" t="inlineStr">
        <is>
          <t>FLEV</t>
        </is>
      </c>
      <c r="B10" s="10" t="inlineStr">
        <is>
          <t>N/A</t>
        </is>
      </c>
      <c r="C10" s="13" t="n"/>
      <c r="D10" s="13" t="n"/>
      <c r="E10" s="13" t="n"/>
    </row>
    <row r="11">
      <c r="A11" s="10" t="inlineStr">
        <is>
          <t>ROE (decomposed)</t>
        </is>
      </c>
      <c r="B11" s="10" t="inlineStr">
        <is>
          <t>N/A</t>
        </is>
      </c>
      <c r="C11" s="10" t="inlineStr">
        <is>
          <t>Source unavailable</t>
        </is>
      </c>
      <c r="D11" s="10" t="inlineStr">
        <is>
          <t>Source unavailable</t>
        </is>
      </c>
      <c r="E11" s="10" t="inlineStr">
        <is>
          <t>Source unavailable</t>
        </is>
      </c>
    </row>
    <row r="12">
      <c r="A12" s="10" t="inlineStr">
        <is>
          <t>Actual ROE</t>
        </is>
      </c>
      <c r="B12" s="10" t="inlineStr">
        <is>
          <t>N/A</t>
        </is>
      </c>
      <c r="C12" s="14" t="n"/>
      <c r="D12" s="14" t="n"/>
      <c r="E12" s="14" t="n"/>
    </row>
    <row r="14">
      <c r="A14" s="10" t="inlineStr">
        <is>
          <t>RNOA DRIVER DECOMPOSITION</t>
        </is>
      </c>
    </row>
    <row r="15">
      <c r="A15" s="10" t="inlineStr">
        <is>
          <t>Average NOA</t>
        </is>
      </c>
      <c r="B15" s="10" t="inlineStr">
        <is>
          <t>N/A</t>
        </is>
      </c>
      <c r="C15" s="15" t="n"/>
      <c r="D15" s="15" t="n"/>
      <c r="E15" s="15" t="n"/>
    </row>
    <row r="16">
      <c r="A16" s="10" t="inlineStr">
        <is>
          <t>NOA Turnover</t>
        </is>
      </c>
      <c r="B16" s="10" t="inlineStr">
        <is>
          <t>N/A</t>
        </is>
      </c>
      <c r="C16" s="16" t="n"/>
      <c r="D16" s="16" t="n"/>
      <c r="E16" s="16" t="n"/>
    </row>
    <row r="17">
      <c r="A17" s="10" t="inlineStr">
        <is>
          <t>NOA Intensity</t>
        </is>
      </c>
      <c r="B17" s="10" t="inlineStr">
        <is>
          <t>N/A</t>
        </is>
      </c>
      <c r="C17" s="16" t="n"/>
      <c r="D17" s="16" t="n"/>
      <c r="E17" s="16" t="n"/>
    </row>
    <row r="18">
      <c r="A18" s="10" t="inlineStr">
        <is>
          <t>RNOA from Margin × Turnover</t>
        </is>
      </c>
      <c r="B18" s="10" t="inlineStr">
        <is>
          <t>N/A</t>
        </is>
      </c>
      <c r="C18" s="10" t="inlineStr">
        <is>
          <t>Source unavailable</t>
        </is>
      </c>
      <c r="D18" s="10" t="inlineStr">
        <is>
          <t>Source unavailable</t>
        </is>
      </c>
      <c r="E18" s="10" t="inlineStr">
        <is>
          <t>Source unavailable</t>
        </is>
      </c>
    </row>
    <row r="19">
      <c r="A19" s="10" t="inlineStr">
        <is>
          <t>RNOA DRIVER CHECK</t>
        </is>
      </c>
      <c r="B19" s="10" t="inlineStr">
        <is>
          <t>N/A</t>
        </is>
      </c>
      <c r="C19" s="10" t="inlineStr">
        <is>
          <t>Source unavailable</t>
        </is>
      </c>
      <c r="D19" s="10" t="inlineStr">
        <is>
          <t>Source unavailable</t>
        </is>
      </c>
      <c r="E19" s="10" t="inlineStr">
        <is>
          <t>Source unavailable</t>
        </is>
      </c>
    </row>
    <row r="21">
      <c r="A21" s="10" t="inlineStr">
        <is>
          <t>RNOA CHANGE ATTRIBUTION</t>
        </is>
      </c>
    </row>
    <row r="22">
      <c r="A22" s="10" t="inlineStr">
        <is>
          <t>Change in NOPAT Margin</t>
        </is>
      </c>
      <c r="B22" s="10" t="inlineStr">
        <is>
          <t>N/A</t>
        </is>
      </c>
      <c r="C22" s="10" t="inlineStr">
        <is>
          <t>N/A</t>
        </is>
      </c>
      <c r="D22" s="10" t="inlineStr">
        <is>
          <t>Source unavailable</t>
        </is>
      </c>
      <c r="E22" s="10" t="inlineStr">
        <is>
          <t>Source unavailable</t>
        </is>
      </c>
    </row>
    <row r="23">
      <c r="A23" s="10" t="inlineStr">
        <is>
          <t>Change in NOA Turnover</t>
        </is>
      </c>
      <c r="B23" s="10" t="inlineStr">
        <is>
          <t>N/A</t>
        </is>
      </c>
      <c r="C23" s="10" t="inlineStr">
        <is>
          <t>N/A</t>
        </is>
      </c>
      <c r="D23" s="16" t="n"/>
      <c r="E23" s="16" t="n"/>
    </row>
    <row r="24">
      <c r="A24" s="10" t="inlineStr">
        <is>
          <t>Direct Change in RNOA</t>
        </is>
      </c>
      <c r="B24" s="10" t="inlineStr">
        <is>
          <t>N/A</t>
        </is>
      </c>
      <c r="C24" s="10" t="inlineStr">
        <is>
          <t>N/A</t>
        </is>
      </c>
      <c r="D24" s="10" t="inlineStr">
        <is>
          <t>Source unavailable</t>
        </is>
      </c>
      <c r="E24" s="10" t="inlineStr">
        <is>
          <t>Source unavailable</t>
        </is>
      </c>
    </row>
    <row r="25">
      <c r="A25" s="10" t="inlineStr">
        <is>
          <t>Margin Effect on RNOA Change</t>
        </is>
      </c>
      <c r="B25" s="10" t="inlineStr">
        <is>
          <t>N/A</t>
        </is>
      </c>
      <c r="C25" s="10" t="inlineStr">
        <is>
          <t>N/A</t>
        </is>
      </c>
      <c r="D25" s="10" t="inlineStr">
        <is>
          <t>Source unavailable</t>
        </is>
      </c>
      <c r="E25" s="10" t="inlineStr">
        <is>
          <t>Source unavailable</t>
        </is>
      </c>
    </row>
    <row r="26">
      <c r="A26" s="10" t="inlineStr">
        <is>
          <t>Turnover Effect on RNOA Change</t>
        </is>
      </c>
      <c r="B26" s="10" t="inlineStr">
        <is>
          <t>N/A</t>
        </is>
      </c>
      <c r="C26" s="10" t="inlineStr">
        <is>
          <t>N/A</t>
        </is>
      </c>
      <c r="D26" s="10" t="inlineStr">
        <is>
          <t>Source unavailable</t>
        </is>
      </c>
      <c r="E26" s="10" t="inlineStr">
        <is>
          <t>Source unavailable</t>
        </is>
      </c>
    </row>
    <row r="27">
      <c r="A27" s="10" t="inlineStr">
        <is>
          <t>RNOA Change from Drivers</t>
        </is>
      </c>
      <c r="B27" s="10" t="inlineStr">
        <is>
          <t>N/A</t>
        </is>
      </c>
      <c r="C27" s="10" t="inlineStr">
        <is>
          <t>N/A</t>
        </is>
      </c>
      <c r="D27" s="10" t="inlineStr">
        <is>
          <t>Source unavailable</t>
        </is>
      </c>
      <c r="E27" s="10" t="inlineStr">
        <is>
          <t>Source unavailable</t>
        </is>
      </c>
    </row>
    <row r="28">
      <c r="A28" s="10" t="inlineStr">
        <is>
          <t>RNOA CHANGE DRIVER CHECK</t>
        </is>
      </c>
      <c r="B28" s="10" t="inlineStr">
        <is>
          <t>N/A</t>
        </is>
      </c>
      <c r="C28" s="10" t="inlineStr">
        <is>
          <t>N/A</t>
        </is>
      </c>
      <c r="D28" s="10" t="inlineStr">
        <is>
          <t>Source unavailable</t>
        </is>
      </c>
      <c r="E28" s="10" t="inlineStr">
        <is>
          <t>Source unavailable</t>
        </is>
      </c>
    </row>
    <row r="30">
      <c r="A30" s="10" t="inlineStr">
        <is>
          <t>ROE OPERATING / FINANCING ATTRIBUTION</t>
        </is>
      </c>
    </row>
    <row r="31">
      <c r="A31" s="10" t="inlineStr">
        <is>
          <t>Financing Contribution to ROE</t>
        </is>
      </c>
      <c r="B31" s="10" t="inlineStr">
        <is>
          <t>N/A</t>
        </is>
      </c>
      <c r="C31" s="10" t="inlineStr">
        <is>
          <t>Source unavailable</t>
        </is>
      </c>
      <c r="D31" s="10" t="inlineStr">
        <is>
          <t>Source unavailable</t>
        </is>
      </c>
      <c r="E31" s="10" t="inlineStr">
        <is>
          <t>Source unavailable</t>
        </is>
      </c>
    </row>
    <row r="32">
      <c r="A32" s="10" t="inlineStr">
        <is>
          <t>ROE LEVEL ATTRIBUTION CHECK</t>
        </is>
      </c>
      <c r="B32" s="10" t="inlineStr">
        <is>
          <t>N/A</t>
        </is>
      </c>
      <c r="C32" s="10" t="inlineStr">
        <is>
          <t>Source unavailable</t>
        </is>
      </c>
      <c r="D32" s="10" t="inlineStr">
        <is>
          <t>Source unavailable</t>
        </is>
      </c>
      <c r="E32" s="10" t="inlineStr">
        <is>
          <t>Source unavailable</t>
        </is>
      </c>
    </row>
    <row r="34">
      <c r="A34" s="10" t="inlineStr">
        <is>
          <t>ROE CHANGE ATTRIBUTION</t>
        </is>
      </c>
    </row>
    <row r="35">
      <c r="A35" s="10" t="inlineStr">
        <is>
          <t>Direct Change in Decomposed ROE</t>
        </is>
      </c>
      <c r="B35" s="10" t="inlineStr">
        <is>
          <t>N/A</t>
        </is>
      </c>
      <c r="C35" s="10" t="inlineStr">
        <is>
          <t>N/A</t>
        </is>
      </c>
      <c r="D35" s="10" t="inlineStr">
        <is>
          <t>Source unavailable</t>
        </is>
      </c>
      <c r="E35" s="10" t="inlineStr">
        <is>
          <t>Source unavailable</t>
        </is>
      </c>
    </row>
    <row r="36">
      <c r="A36" s="10" t="inlineStr">
        <is>
          <t>Operating Effect on Change in ROE</t>
        </is>
      </c>
      <c r="B36" s="10" t="inlineStr">
        <is>
          <t>N/A</t>
        </is>
      </c>
      <c r="C36" s="10" t="inlineStr">
        <is>
          <t>N/A</t>
        </is>
      </c>
      <c r="D36" s="10" t="inlineStr">
        <is>
          <t>Source unavailable</t>
        </is>
      </c>
      <c r="E36" s="10" t="inlineStr">
        <is>
          <t>Source unavailable</t>
        </is>
      </c>
    </row>
    <row r="37">
      <c r="A37" s="10" t="inlineStr">
        <is>
          <t>Leverage Effect on Change in ROE</t>
        </is>
      </c>
      <c r="B37" s="10" t="inlineStr">
        <is>
          <t>N/A</t>
        </is>
      </c>
      <c r="C37" s="10" t="inlineStr">
        <is>
          <t>N/A</t>
        </is>
      </c>
      <c r="D37" s="10" t="inlineStr">
        <is>
          <t>Source unavailable</t>
        </is>
      </c>
      <c r="E37" s="10" t="inlineStr">
        <is>
          <t>Source unavailable</t>
        </is>
      </c>
    </row>
    <row r="38">
      <c r="A38" s="10" t="inlineStr">
        <is>
          <t>Spread Effect on Change in ROE</t>
        </is>
      </c>
      <c r="B38" s="10" t="inlineStr">
        <is>
          <t>N/A</t>
        </is>
      </c>
      <c r="C38" s="10" t="inlineStr">
        <is>
          <t>N/A</t>
        </is>
      </c>
      <c r="D38" s="10" t="inlineStr">
        <is>
          <t>Source unavailable</t>
        </is>
      </c>
      <c r="E38" s="10" t="inlineStr">
        <is>
          <t>Source unavailable</t>
        </is>
      </c>
    </row>
    <row r="39">
      <c r="A39" s="10" t="inlineStr">
        <is>
          <t>Financing Effect on Change in ROE</t>
        </is>
      </c>
      <c r="B39" s="10" t="inlineStr">
        <is>
          <t>N/A</t>
        </is>
      </c>
      <c r="C39" s="10" t="inlineStr">
        <is>
          <t>N/A</t>
        </is>
      </c>
      <c r="D39" s="10" t="inlineStr">
        <is>
          <t>Source unavailable</t>
        </is>
      </c>
      <c r="E39" s="10" t="inlineStr">
        <is>
          <t>Source unavailable</t>
        </is>
      </c>
    </row>
    <row r="40">
      <c r="A40" s="10" t="inlineStr">
        <is>
          <t>Change in ROE from Drivers</t>
        </is>
      </c>
      <c r="B40" s="10" t="inlineStr">
        <is>
          <t>N/A</t>
        </is>
      </c>
      <c r="C40" s="10" t="inlineStr">
        <is>
          <t>N/A</t>
        </is>
      </c>
      <c r="D40" s="10" t="inlineStr">
        <is>
          <t>Source unavailable</t>
        </is>
      </c>
      <c r="E40" s="10" t="inlineStr">
        <is>
          <t>Source unavailable</t>
        </is>
      </c>
    </row>
    <row r="41">
      <c r="A41" s="10" t="inlineStr">
        <is>
          <t>ROE CHANGE ATTRIBUTION CHECK</t>
        </is>
      </c>
      <c r="B41" s="10" t="inlineStr">
        <is>
          <t>N/A</t>
        </is>
      </c>
      <c r="C41" s="10" t="inlineStr">
        <is>
          <t>N/A</t>
        </is>
      </c>
      <c r="D41" s="10" t="inlineStr">
        <is>
          <t>Source unavailable</t>
        </is>
      </c>
      <c r="E41" s="10" t="inlineStr">
        <is>
          <t>Source unavailable</t>
        </is>
      </c>
    </row>
    <row r="43">
      <c r="A43" s="10" t="inlineStr">
        <is>
          <t>FIXED-ASSET INTENSITY CONTEXT</t>
        </is>
      </c>
    </row>
    <row r="44">
      <c r="A44" s="10" t="inlineStr">
        <is>
          <t>Property, Plant &amp; Equipment</t>
        </is>
      </c>
      <c r="B44" s="15" t="n"/>
      <c r="C44" s="15" t="n"/>
      <c r="D44" s="15" t="n"/>
      <c r="E44" s="15" t="n"/>
    </row>
    <row r="45">
      <c r="A45" s="10" t="inlineStr">
        <is>
          <t>Depreciation &amp; Amortisation</t>
        </is>
      </c>
      <c r="B45" s="15" t="n"/>
      <c r="C45" s="15" t="n"/>
      <c r="D45" s="15" t="n"/>
      <c r="E45" s="15" t="n"/>
    </row>
    <row r="46">
      <c r="A46" s="10" t="inlineStr">
        <is>
          <t>Average PP&amp;E</t>
        </is>
      </c>
      <c r="B46" s="10" t="inlineStr">
        <is>
          <t>N/A</t>
        </is>
      </c>
      <c r="C46" s="15" t="n"/>
      <c r="D46" s="15" t="n"/>
      <c r="E46" s="15" t="n"/>
    </row>
    <row r="47">
      <c r="A47" s="10" t="inlineStr">
        <is>
          <t>PP&amp;E Turnover</t>
        </is>
      </c>
      <c r="B47" s="10" t="inlineStr">
        <is>
          <t>N/A</t>
        </is>
      </c>
      <c r="C47" s="16" t="n"/>
      <c r="D47" s="16" t="n"/>
      <c r="E47" s="16" t="n"/>
    </row>
    <row r="48">
      <c r="A48" s="10" t="inlineStr">
        <is>
          <t>PP&amp;E Intensity</t>
        </is>
      </c>
      <c r="B48" s="10" t="inlineStr">
        <is>
          <t>N/A</t>
        </is>
      </c>
      <c r="C48" s="14" t="n"/>
      <c r="D48" s="14" t="n"/>
      <c r="E48" s="14" t="n"/>
    </row>
    <row r="49">
      <c r="A49" s="10" t="inlineStr">
        <is>
          <t>Change in PP&amp;E</t>
        </is>
      </c>
      <c r="B49" s="10" t="inlineStr">
        <is>
          <t>N/A</t>
        </is>
      </c>
      <c r="C49" s="15" t="n"/>
      <c r="D49" s="15" t="n"/>
      <c r="E49" s="15" t="n"/>
    </row>
    <row r="50">
      <c r="A50" s="10" t="inlineStr">
        <is>
          <t>D&amp;A / Revenue</t>
        </is>
      </c>
      <c r="B50" s="14" t="n"/>
      <c r="C50" s="14" t="n"/>
      <c r="D50" s="14" t="n"/>
      <c r="E50" s="14" t="n"/>
    </row>
    <row r="51">
      <c r="A51" s="10" t="inlineStr">
        <is>
          <t>D&amp;A / Average PP&amp;E</t>
        </is>
      </c>
      <c r="B51" s="10" t="inlineStr">
        <is>
          <t>N/A</t>
        </is>
      </c>
      <c r="C51" s="14" t="n"/>
      <c r="D51" s="14" t="n"/>
      <c r="E51" s="14" t="n"/>
    </row>
    <row r="52">
      <c r="A52" s="10" t="inlineStr">
        <is>
          <t>FIXED-ASSET INTENSITY CHECK</t>
        </is>
      </c>
      <c r="B52" s="10" t="inlineStr">
        <is>
          <t>N/A</t>
        </is>
      </c>
      <c r="C52" s="10">
        <f>IF(OR(ISNA(C47),ISNA(C48)),"N/A",IF(ABS(C47*C48-1)&lt;0.0000001,"OK","CHECK"))</f>
        <v/>
      </c>
      <c r="D52" s="10">
        <f>IF(OR(ISNA(D47),ISNA(D48)),"N/A",IF(ABS(D47*D48-1)&lt;0.0000001,"OK","CHECK"))</f>
        <v/>
      </c>
      <c r="E52" s="10">
        <f>IF(OR(ISNA(E47),ISNA(E48)),"N/A",IF(ABS(E47*E48-1)&lt;0.0000001,"OK","CHECK"))</f>
        <v/>
      </c>
    </row>
    <row r="54">
      <c r="A54" s="10" t="inlineStr">
        <is>
          <t>LEASE LIABILITY CONTEXT</t>
        </is>
      </c>
    </row>
    <row r="55">
      <c r="A55" s="10" t="inlineStr">
        <is>
          <t>Lease Liability</t>
        </is>
      </c>
      <c r="B55" s="15" t="n"/>
      <c r="C55" s="15" t="n"/>
      <c r="D55" s="15" t="n"/>
      <c r="E55" s="15" t="n"/>
    </row>
    <row r="56">
      <c r="A56" s="10" t="inlineStr">
        <is>
          <t>Lease Liability / Revenue</t>
        </is>
      </c>
      <c r="B56" s="14" t="n"/>
      <c r="C56" s="14" t="n"/>
      <c r="D56" s="14" t="n"/>
      <c r="E56" s="14" t="n"/>
    </row>
    <row r="57">
      <c r="A57" s="10" t="inlineStr">
        <is>
          <t>Change in Lease Liability</t>
        </is>
      </c>
      <c r="B57" s="10" t="inlineStr">
        <is>
          <t>N/A</t>
        </is>
      </c>
      <c r="C57" s="15" t="n"/>
      <c r="D57" s="15" t="n"/>
      <c r="E57" s="15" t="n"/>
    </row>
    <row r="58">
      <c r="A58" s="10" t="inlineStr">
        <is>
          <t>Lease Liability Growth</t>
        </is>
      </c>
      <c r="B58" s="10" t="inlineStr">
        <is>
          <t>N/A</t>
        </is>
      </c>
      <c r="C58" s="14" t="n"/>
      <c r="D58" s="14" t="n"/>
      <c r="E58" s="14" t="n"/>
    </row>
    <row r="60">
      <c r="A60" s="10" t="inlineStr">
        <is>
          <t>PP&amp;E CAPEX CONTEXT</t>
        </is>
      </c>
    </row>
    <row r="61">
      <c r="A61" s="10" t="inlineStr">
        <is>
          <t>Payments for Property, Plant &amp; Equipment (reported)</t>
        </is>
      </c>
      <c r="B61" s="12">
        <f>'Cash Flow Statement'!B15</f>
        <v/>
      </c>
      <c r="C61" s="12">
        <f>'Cash Flow Statement'!C15</f>
        <v/>
      </c>
      <c r="D61" s="12">
        <f>'Cash Flow Statement'!D15</f>
        <v/>
      </c>
      <c r="E61" s="12">
        <f>'Cash Flow Statement'!E15</f>
        <v/>
      </c>
    </row>
    <row r="62">
      <c r="A62" s="10" t="inlineStr">
        <is>
          <t>PP&amp;E Capex (−reported)</t>
        </is>
      </c>
      <c r="B62" s="15" t="n"/>
      <c r="C62" s="15" t="n"/>
      <c r="D62" s="15" t="n"/>
      <c r="E62" s="15" t="n"/>
    </row>
    <row r="63">
      <c r="A63" s="10" t="inlineStr">
        <is>
          <t>PP&amp;E Capex / Revenue</t>
        </is>
      </c>
      <c r="B63" s="14" t="n"/>
      <c r="C63" s="14" t="n"/>
      <c r="D63" s="14" t="n"/>
      <c r="E63" s="14" t="n"/>
    </row>
    <row r="65">
      <c r="A65" s="10" t="inlineStr">
        <is>
          <t>GOODWILL &amp; INTANGIBLES CONTEXT</t>
        </is>
      </c>
    </row>
    <row r="66">
      <c r="A66" s="10" t="inlineStr">
        <is>
          <t>Goodwill</t>
        </is>
      </c>
      <c r="B66" s="12">
        <f>'Balance Sheet'!B22</f>
        <v/>
      </c>
      <c r="C66" s="12">
        <f>'Balance Sheet'!C22</f>
        <v/>
      </c>
      <c r="D66" s="12">
        <f>'Balance Sheet'!D22</f>
        <v/>
      </c>
      <c r="E66" s="12">
        <f>'Balance Sheet'!E22</f>
        <v/>
      </c>
    </row>
    <row r="67">
      <c r="A67" s="10" t="inlineStr">
        <is>
          <t>Change in Goodwill</t>
        </is>
      </c>
      <c r="C67" s="15" t="n"/>
      <c r="D67" s="15" t="n"/>
      <c r="E67" s="15" t="n"/>
    </row>
    <row r="68">
      <c r="A68" s="10" t="inlineStr">
        <is>
          <t>Goodwill Growth</t>
        </is>
      </c>
      <c r="C68" s="14" t="n"/>
      <c r="D68" s="14" t="n"/>
      <c r="E68" s="14" t="n"/>
    </row>
    <row r="69">
      <c r="A69" s="10" t="inlineStr">
        <is>
          <t>Average Goodwill</t>
        </is>
      </c>
      <c r="C69" s="15" t="n"/>
      <c r="D69" s="15" t="n"/>
      <c r="E69" s="15" t="n"/>
    </row>
    <row r="70">
      <c r="A70" s="10" t="inlineStr">
        <is>
          <t>Average Goodwill / Revenue</t>
        </is>
      </c>
      <c r="C70" s="14" t="n"/>
      <c r="D70" s="14" t="n"/>
      <c r="E70" s="14" t="n"/>
    </row>
    <row r="71">
      <c r="A71" s="10" t="inlineStr">
        <is>
          <t>Intangible Assets</t>
        </is>
      </c>
      <c r="B71" s="12">
        <f>'Balance Sheet'!B23</f>
        <v/>
      </c>
      <c r="C71" s="12">
        <f>'Balance Sheet'!C23</f>
        <v/>
      </c>
      <c r="D71" s="12">
        <f>'Balance Sheet'!D23</f>
        <v/>
      </c>
      <c r="E71" s="12">
        <f>'Balance Sheet'!E23</f>
        <v/>
      </c>
    </row>
    <row r="72">
      <c r="A72" s="10" t="inlineStr">
        <is>
          <t>Change in Intangible Assets</t>
        </is>
      </c>
      <c r="C72" s="15" t="n"/>
      <c r="D72" s="15" t="n"/>
      <c r="E72" s="15" t="n"/>
    </row>
    <row r="73">
      <c r="A73" s="10" t="inlineStr">
        <is>
          <t>Intangible Assets Growth</t>
        </is>
      </c>
      <c r="C73" s="14" t="n"/>
      <c r="D73" s="14" t="n"/>
      <c r="E73" s="14" t="n"/>
    </row>
    <row r="74">
      <c r="A74" s="10" t="inlineStr">
        <is>
          <t>Average Intangible Assets</t>
        </is>
      </c>
      <c r="C74" s="15" t="n"/>
      <c r="D74" s="15" t="n"/>
      <c r="E74" s="15" t="n"/>
    </row>
    <row r="75">
      <c r="A75" s="10" t="inlineStr">
        <is>
          <t>Average Intangible Assets / Revenue</t>
        </is>
      </c>
      <c r="C75" s="14" t="n"/>
      <c r="D75" s="14" t="n"/>
      <c r="E75" s="14" t="n"/>
    </row>
    <row r="76">
      <c r="A76" s="10" t="inlineStr">
        <is>
          <t>Goodwill &amp; Intangibles</t>
        </is>
      </c>
      <c r="B76" s="12">
        <f>B66+B71</f>
        <v/>
      </c>
      <c r="C76" s="12">
        <f>C66+C71</f>
        <v/>
      </c>
      <c r="D76" s="12">
        <f>D66+D71</f>
        <v/>
      </c>
      <c r="E76" s="12">
        <f>E66+E71</f>
        <v/>
      </c>
    </row>
    <row r="77">
      <c r="A77" s="10" t="inlineStr">
        <is>
          <t>Change in Goodwill &amp; Intangibles</t>
        </is>
      </c>
      <c r="C77" s="15" t="n"/>
      <c r="D77" s="15" t="n"/>
      <c r="E77" s="15" t="n"/>
    </row>
    <row r="78">
      <c r="A78" s="10" t="inlineStr">
        <is>
          <t>Goodwill &amp; Intangibles Growth</t>
        </is>
      </c>
      <c r="C78" s="14" t="n"/>
      <c r="D78" s="14" t="n"/>
      <c r="E78" s="14" t="n"/>
    </row>
    <row r="79">
      <c r="A79" s="10" t="inlineStr">
        <is>
          <t>Average Goodwill &amp; Intangibles</t>
        </is>
      </c>
      <c r="C79" s="15" t="n"/>
      <c r="D79" s="15" t="n"/>
      <c r="E79" s="15" t="n"/>
    </row>
    <row r="80">
      <c r="A80" s="10" t="inlineStr">
        <is>
          <t>Average Goodwill &amp; Intangibles / Revenue</t>
        </is>
      </c>
      <c r="C80" s="14" t="n"/>
      <c r="D80" s="14" t="n"/>
      <c r="E80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28" customWidth="1" min="4" max="4"/>
    <col width="32" customWidth="1" min="5" max="5"/>
    <col width="28" customWidth="1" min="6" max="6"/>
    <col width="40" customWidth="1" min="7" max="7"/>
    <col width="44" customWidth="1" min="8" max="8"/>
  </cols>
  <sheetData>
    <row r="1">
      <c r="A1" s="10" t="inlineStr">
        <is>
          <t>Accounting Judgment</t>
        </is>
      </c>
    </row>
    <row r="2">
      <c r="A2" s="10" t="inlineStr">
        <is>
          <t>The supplied treatment is the model's reference treatment, not a universal accounting truth. Compare it with the listed alternative(s), choose the treatment you would defend, and explain the economic consequence.</t>
        </is>
      </c>
    </row>
    <row r="3">
      <c r="A3" s="10" t="inlineStr">
        <is>
          <t>Choose a treatment in column F only. That choice drives the matching Condensed Financials classification and downstream historical schedules; leaving F blank uses the supplied reference treatment. Columns D:E are display context and must not be edited. Enter your rationale and economic consequence in G:H. Formula Check grades formula cells against the treatment currently selected in F and validates that the generated classification links remain intact; it does not grade the judgment response itself. Do not edit the linked Condensed Financials classification cell directly.</t>
        </is>
      </c>
    </row>
    <row r="4">
      <c r="A4" s="10" t="inlineStr">
        <is>
          <t>Order</t>
        </is>
      </c>
      <c r="B4" s="10" t="inlineStr">
        <is>
          <t>Line item</t>
        </is>
      </c>
      <c r="C4" s="10" t="inlineStr">
        <is>
          <t>Topic</t>
        </is>
      </c>
      <c r="D4" s="10" t="inlineStr">
        <is>
          <t>Supplied reference treatment</t>
        </is>
      </c>
      <c r="E4" s="10" t="inlineStr">
        <is>
          <t>Alternative(s) to evaluate</t>
        </is>
      </c>
      <c r="F4" s="10" t="inlineStr">
        <is>
          <t>Treatment to defend</t>
        </is>
      </c>
      <c r="G4" s="10" t="inlineStr">
        <is>
          <t>Rationale</t>
        </is>
      </c>
      <c r="H4" s="10" t="inlineStr">
        <is>
          <t>Economic consequence</t>
        </is>
      </c>
    </row>
    <row r="5">
      <c r="A5" s="10" t="n">
        <v>1</v>
      </c>
      <c r="B5" s="10" t="inlineStr">
        <is>
          <t>Current lease liabilities</t>
        </is>
      </c>
      <c r="C5" s="10" t="inlineStr">
        <is>
          <t>Lease liability operating vs financing</t>
        </is>
      </c>
      <c r="D5" s="10" t="inlineStr">
        <is>
          <t>Operating Long-Term Liability</t>
        </is>
      </c>
      <c r="E5" s="10" t="inlineStr">
        <is>
          <t>Financial Liability</t>
        </is>
      </c>
      <c r="F5" s="17" t="n"/>
      <c r="G5" s="17" t="n"/>
      <c r="H5" s="17" t="n"/>
    </row>
    <row r="6">
      <c r="A6" s="10" t="n">
        <v>2</v>
      </c>
      <c r="B6" s="10" t="inlineStr">
        <is>
          <t>Other current liabilities</t>
        </is>
      </c>
      <c r="C6" s="10" t="inlineStr">
        <is>
          <t>Other current liability: operating vs financial</t>
        </is>
      </c>
      <c r="D6" s="10" t="inlineStr">
        <is>
          <t>Operating Working Capital Liability</t>
        </is>
      </c>
      <c r="E6" s="10" t="inlineStr">
        <is>
          <t>Financial Liability</t>
        </is>
      </c>
      <c r="F6" s="17" t="n"/>
      <c r="G6" s="17" t="n"/>
      <c r="H6" s="17" t="n"/>
    </row>
    <row r="7">
      <c r="A7" s="10" t="n">
        <v>3</v>
      </c>
      <c r="B7" s="10" t="inlineStr">
        <is>
          <t>Other non-current assets</t>
        </is>
      </c>
      <c r="C7" s="10" t="inlineStr">
        <is>
          <t>Other non-current asset: operating vs financial</t>
        </is>
      </c>
      <c r="D7" s="10" t="inlineStr">
        <is>
          <t>Operating Long-Term Asset</t>
        </is>
      </c>
      <c r="E7" s="10" t="inlineStr">
        <is>
          <t>Financial Asset</t>
        </is>
      </c>
      <c r="F7" s="17" t="n"/>
      <c r="G7" s="17" t="n"/>
      <c r="H7" s="17" t="n"/>
    </row>
    <row r="8">
      <c r="A8" s="10" t="n">
        <v>4</v>
      </c>
      <c r="B8" s="10" t="inlineStr">
        <is>
          <t>Non-current lease liabilities</t>
        </is>
      </c>
      <c r="C8" s="10" t="inlineStr">
        <is>
          <t>Lease liability operating vs financing</t>
        </is>
      </c>
      <c r="D8" s="10" t="inlineStr">
        <is>
          <t>Operating Long-Term Liability</t>
        </is>
      </c>
      <c r="E8" s="10" t="inlineStr">
        <is>
          <t>Financial Liability</t>
        </is>
      </c>
      <c r="F8" s="17" t="n"/>
      <c r="G8" s="17" t="n"/>
      <c r="H8" s="17" t="n"/>
    </row>
    <row r="9">
      <c r="A9" s="10" t="n">
        <v>5</v>
      </c>
      <c r="B9" s="10" t="inlineStr">
        <is>
          <t>Other non-current liabilities</t>
        </is>
      </c>
      <c r="C9" s="10" t="inlineStr">
        <is>
          <t>Other non-current liability: operating vs financial</t>
        </is>
      </c>
      <c r="D9" s="10" t="inlineStr">
        <is>
          <t>Operating Long-Term Liability</t>
        </is>
      </c>
      <c r="E9" s="10" t="inlineStr">
        <is>
          <t>Financial Liability</t>
        </is>
      </c>
      <c r="F9" s="17" t="n"/>
      <c r="G9" s="17" t="n"/>
      <c r="H9" s="17" t="n"/>
    </row>
  </sheetData>
  <dataValidations count="5">
    <dataValidation sqref="F5" showDropDown="0" showInputMessage="0" showErrorMessage="0" allowBlank="1" type="list">
      <formula1>"Operating Long-Term Liability,Financial Liability"</formula1>
    </dataValidation>
    <dataValidation sqref="F6" showDropDown="0" showInputMessage="0" showErrorMessage="0" allowBlank="1" type="list">
      <formula1>"Operating Working Capital Liability,Financial Liability"</formula1>
    </dataValidation>
    <dataValidation sqref="F7" showDropDown="0" showInputMessage="0" showErrorMessage="0" allowBlank="1" type="list">
      <formula1>"Operating Long-Term Asset,Financial Asset"</formula1>
    </dataValidation>
    <dataValidation sqref="F8" showDropDown="0" showInputMessage="0" showErrorMessage="0" allowBlank="1" type="list">
      <formula1>"Operating Long-Term Liability,Financial Liability"</formula1>
    </dataValidation>
    <dataValidation sqref="F9" showDropDown="0" showInputMessage="0" showErrorMessage="0" allowBlank="1" type="list">
      <formula1>"Operating Long-Term Liability,Financial Liability"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lululemon athletica inc. — Earnings Quality</t>
        </is>
      </c>
    </row>
    <row r="2">
      <c r="A2" s="10" t="inlineStr">
        <is>
          <t>Historical cash-conversion and accrual diagnostics. These are mechanical diagnostics, not an automatic quality score.</t>
        </is>
      </c>
    </row>
    <row r="4">
      <c r="A4" s="10" t="inlineStr">
        <is>
          <t>Metric</t>
        </is>
      </c>
      <c r="B4" s="11" t="n">
        <v>44955</v>
      </c>
      <c r="C4" s="11" t="n">
        <v>45319</v>
      </c>
      <c r="D4" s="11" t="n">
        <v>45690</v>
      </c>
      <c r="E4" s="11" t="n">
        <v>46054</v>
      </c>
    </row>
    <row r="5">
      <c r="A5" s="10" t="inlineStr">
        <is>
          <t>Operating Cash Flow</t>
        </is>
      </c>
      <c r="B5" s="15" t="n"/>
      <c r="C5" s="15" t="n"/>
      <c r="D5" s="15" t="n"/>
      <c r="E5" s="15" t="n"/>
    </row>
    <row r="6">
      <c r="A6" s="10" t="inlineStr">
        <is>
          <t>Reported Net Income</t>
        </is>
      </c>
      <c r="B6" s="12">
        <f>'Condensed Financials'!B35</f>
        <v/>
      </c>
      <c r="C6" s="12">
        <f>'Condensed Financials'!C35</f>
        <v/>
      </c>
      <c r="D6" s="12">
        <f>'Condensed Financials'!D35</f>
        <v/>
      </c>
      <c r="E6" s="12">
        <f>'Condensed Financials'!E35</f>
        <v/>
      </c>
    </row>
    <row r="7">
      <c r="A7" s="10" t="inlineStr">
        <is>
          <t>Cash Conversion Ratio</t>
        </is>
      </c>
      <c r="B7" s="16" t="n"/>
      <c r="C7" s="16" t="n"/>
      <c r="D7" s="16" t="n"/>
      <c r="E7" s="16" t="n"/>
    </row>
    <row r="8">
      <c r="A8" s="10" t="inlineStr">
        <is>
          <t>Total Accruals (Net Income - CFO)</t>
        </is>
      </c>
      <c r="B8" s="15" t="n"/>
      <c r="C8" s="15" t="n"/>
      <c r="D8" s="15" t="n"/>
      <c r="E8" s="15" t="n"/>
    </row>
    <row r="10">
      <c r="A10" s="10" t="inlineStr">
        <is>
          <t>Total Assets</t>
        </is>
      </c>
      <c r="B10" s="12">
        <f>'Balance Sheet'!B36</f>
        <v/>
      </c>
      <c r="C10" s="12">
        <f>'Balance Sheet'!C36</f>
        <v/>
      </c>
      <c r="D10" s="12">
        <f>'Balance Sheet'!D36</f>
        <v/>
      </c>
      <c r="E10" s="12">
        <f>'Balance Sheet'!E36</f>
        <v/>
      </c>
    </row>
    <row r="11">
      <c r="A11" s="10" t="inlineStr">
        <is>
          <t>Average Total Assets</t>
        </is>
      </c>
      <c r="C11" s="15" t="n"/>
      <c r="D11" s="15" t="n"/>
      <c r="E11" s="15" t="n"/>
    </row>
    <row r="12">
      <c r="A12" s="10" t="inlineStr">
        <is>
          <t>Accrual Ratio</t>
        </is>
      </c>
      <c r="C12" s="14" t="n"/>
      <c r="D12" s="14" t="n"/>
      <c r="E12" s="14" t="n"/>
    </row>
    <row r="14">
      <c r="A14" s="10" t="inlineStr">
        <is>
          <t>EARNINGS QUALITY TREND DIAGNOSTICS</t>
        </is>
      </c>
    </row>
    <row r="15">
      <c r="A15" s="10" t="inlineStr">
        <is>
          <t>Change in Operating Cash Flow</t>
        </is>
      </c>
      <c r="B15" s="10" t="inlineStr">
        <is>
          <t>N/A</t>
        </is>
      </c>
      <c r="C15" s="15" t="n"/>
      <c r="D15" s="15" t="n"/>
      <c r="E15" s="15" t="n"/>
    </row>
    <row r="16">
      <c r="A16" s="10" t="inlineStr">
        <is>
          <t>Change in Cash Conversion Ratio</t>
        </is>
      </c>
      <c r="B16" s="10" t="inlineStr">
        <is>
          <t>N/A</t>
        </is>
      </c>
      <c r="C16" s="16" t="n"/>
      <c r="D16" s="16" t="n"/>
      <c r="E16" s="16" t="n"/>
    </row>
    <row r="17">
      <c r="A17" s="10" t="inlineStr">
        <is>
          <t>Change in Total Accruals</t>
        </is>
      </c>
      <c r="B17" s="10" t="inlineStr">
        <is>
          <t>N/A</t>
        </is>
      </c>
      <c r="C17" s="15" t="n"/>
      <c r="D17" s="15" t="n"/>
      <c r="E17" s="15" t="n"/>
    </row>
    <row r="18">
      <c r="A18" s="10" t="inlineStr">
        <is>
          <t>Change in Accrual Ratio</t>
        </is>
      </c>
      <c r="B18" s="10" t="inlineStr">
        <is>
          <t>N/A</t>
        </is>
      </c>
      <c r="C18" s="10" t="inlineStr">
        <is>
          <t>N/A</t>
        </is>
      </c>
      <c r="D18" s="14" t="n"/>
      <c r="E18" s="14" t="n"/>
    </row>
    <row r="19">
      <c r="A19" s="10" t="inlineStr">
        <is>
          <t>EARNINGS QUALITY CHANGE CHECK</t>
        </is>
      </c>
      <c r="B19" s="10" t="inlineStr">
        <is>
          <t>N/A</t>
        </is>
      </c>
      <c r="C19" s="10">
        <f>IF(ABS(C17-((C6-B6)-C15))&lt;0.01,"OK","CHECK")</f>
        <v/>
      </c>
      <c r="D19" s="10">
        <f>IF(ABS(D17-((D6-C6)-D15))&lt;0.01,"OK","CHECK")</f>
        <v/>
      </c>
      <c r="E19" s="10">
        <f>IF(ABS(E17-((E6-D6)-E15))&lt;0.01,"OK","CHECK")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Working Capital Analysis</t>
        </is>
      </c>
    </row>
    <row r="2">
      <c r="A2" s="10" t="inlineStr">
        <is>
          <t>Relate classified operating working capital to Revenue and identify how much incremental NOWC accompanies changes in sales.</t>
        </is>
      </c>
    </row>
    <row r="3">
      <c r="A3" s="10" t="inlineStr">
        <is>
          <t>These are diagnostics, not automatic judgments. Positive Change in NOWC is an operating cash use; negative Change in NOWC is a release. Annual data alone does not prove seasonality or deterioration.</t>
        </is>
      </c>
    </row>
    <row r="5">
      <c r="A5" s="10" t="inlineStr">
        <is>
          <t>Metric</t>
        </is>
      </c>
      <c r="B5" s="11" t="n">
        <v>44955</v>
      </c>
      <c r="C5" s="11" t="n">
        <v>45319</v>
      </c>
      <c r="D5" s="11" t="n">
        <v>45690</v>
      </c>
      <c r="E5" s="11" t="n">
        <v>46054</v>
      </c>
    </row>
    <row r="6">
      <c r="A6" s="10" t="inlineStr">
        <is>
          <t>Revenue</t>
        </is>
      </c>
      <c r="B6" s="12">
        <f>'Condensed Financials'!B34</f>
        <v/>
      </c>
      <c r="C6" s="12">
        <f>'Condensed Financials'!C34</f>
        <v/>
      </c>
      <c r="D6" s="12">
        <f>'Condensed Financials'!D34</f>
        <v/>
      </c>
      <c r="E6" s="12">
        <f>'Condensed Financials'!E34</f>
        <v/>
      </c>
    </row>
    <row r="7">
      <c r="A7" s="10" t="inlineStr">
        <is>
          <t>Operating Working Capital Assets</t>
        </is>
      </c>
      <c r="B7" s="12">
        <f>'Condensed Financials'!B44</f>
        <v/>
      </c>
      <c r="C7" s="12">
        <f>'Condensed Financials'!C44</f>
        <v/>
      </c>
      <c r="D7" s="12">
        <f>'Condensed Financials'!D44</f>
        <v/>
      </c>
      <c r="E7" s="12">
        <f>'Condensed Financials'!E44</f>
        <v/>
      </c>
    </row>
    <row r="8">
      <c r="A8" s="10" t="inlineStr">
        <is>
          <t>Operating Working Capital Liabilities</t>
        </is>
      </c>
      <c r="B8" s="12">
        <f>'Condensed Financials'!B45</f>
        <v/>
      </c>
      <c r="C8" s="12">
        <f>'Condensed Financials'!C45</f>
        <v/>
      </c>
      <c r="D8" s="12">
        <f>'Condensed Financials'!D45</f>
        <v/>
      </c>
      <c r="E8" s="12">
        <f>'Condensed Financials'!E45</f>
        <v/>
      </c>
    </row>
    <row r="9">
      <c r="A9" s="10" t="inlineStr">
        <is>
          <t>NOWC</t>
        </is>
      </c>
      <c r="B9" s="12">
        <f>'Condensed Financials'!B46</f>
        <v/>
      </c>
      <c r="C9" s="12">
        <f>'Condensed Financials'!C46</f>
        <v/>
      </c>
      <c r="D9" s="12">
        <f>'Condensed Financials'!D46</f>
        <v/>
      </c>
      <c r="E9" s="12">
        <f>'Condensed Financials'!E46</f>
        <v/>
      </c>
    </row>
    <row r="11">
      <c r="A11" s="10" t="inlineStr">
        <is>
          <t>OWCA / Revenue</t>
        </is>
      </c>
      <c r="B11" s="14" t="n"/>
      <c r="C11" s="14" t="n"/>
      <c r="D11" s="14" t="n"/>
      <c r="E11" s="14" t="n"/>
    </row>
    <row r="12">
      <c r="A12" s="10" t="inlineStr">
        <is>
          <t>OWCL / Revenue</t>
        </is>
      </c>
      <c r="B12" s="14" t="n"/>
      <c r="C12" s="14" t="n"/>
      <c r="D12" s="14" t="n"/>
      <c r="E12" s="14" t="n"/>
    </row>
    <row r="13">
      <c r="A13" s="10" t="inlineStr">
        <is>
          <t>NOWC / Revenue</t>
        </is>
      </c>
      <c r="B13" s="14" t="n"/>
      <c r="C13" s="14" t="n"/>
      <c r="D13" s="14" t="n"/>
      <c r="E13" s="14" t="n"/>
    </row>
    <row r="14">
      <c r="A14" s="10" t="inlineStr">
        <is>
          <t>Change in Revenue</t>
        </is>
      </c>
      <c r="B14" s="10" t="inlineStr">
        <is>
          <t>N/A</t>
        </is>
      </c>
      <c r="C14" s="15" t="n"/>
      <c r="D14" s="15" t="n"/>
      <c r="E14" s="15" t="n"/>
    </row>
    <row r="15">
      <c r="A15" s="10" t="inlineStr">
        <is>
          <t>Change in NOWC</t>
        </is>
      </c>
      <c r="B15" s="10" t="inlineStr">
        <is>
          <t>N/A</t>
        </is>
      </c>
      <c r="C15" s="15" t="n"/>
      <c r="D15" s="15" t="n"/>
      <c r="E15" s="15" t="n"/>
    </row>
    <row r="16">
      <c r="A16" s="10" t="inlineStr">
        <is>
          <t>Incremental NOWC / Change in Revenue</t>
        </is>
      </c>
      <c r="B16" s="10" t="inlineStr">
        <is>
          <t>N/A</t>
        </is>
      </c>
      <c r="C16" s="14" t="n"/>
      <c r="D16" s="14" t="n"/>
      <c r="E16" s="14" t="n"/>
    </row>
    <row r="18">
      <c r="A18" s="10" t="inlineStr">
        <is>
          <t>WORKING-CAPITAL DRIVER DECOMPOSITION</t>
        </is>
      </c>
    </row>
    <row r="19">
      <c r="A19" s="10" t="inlineStr">
        <is>
          <t>Change in OWCA</t>
        </is>
      </c>
      <c r="B19" s="10" t="inlineStr">
        <is>
          <t>N/A</t>
        </is>
      </c>
      <c r="C19" s="15" t="n"/>
      <c r="D19" s="15" t="n"/>
      <c r="E19" s="15" t="n"/>
    </row>
    <row r="20">
      <c r="A20" s="10" t="inlineStr">
        <is>
          <t>Change in OWCL</t>
        </is>
      </c>
      <c r="B20" s="10" t="inlineStr">
        <is>
          <t>N/A</t>
        </is>
      </c>
      <c r="C20" s="15" t="n"/>
      <c r="D20" s="15" t="n"/>
      <c r="E20" s="15" t="n"/>
    </row>
    <row r="21">
      <c r="A21" s="10" t="inlineStr">
        <is>
          <t>Change in NOWC from Components</t>
        </is>
      </c>
      <c r="B21" s="10" t="inlineStr">
        <is>
          <t>N/A</t>
        </is>
      </c>
      <c r="C21" s="15" t="n"/>
      <c r="D21" s="15" t="n"/>
      <c r="E21" s="15" t="n"/>
    </row>
    <row r="22">
      <c r="A22" s="10" t="inlineStr">
        <is>
          <t>Incremental OWCA / Change in Revenue</t>
        </is>
      </c>
      <c r="B22" s="10" t="inlineStr">
        <is>
          <t>N/A</t>
        </is>
      </c>
      <c r="C22" s="14" t="n"/>
      <c r="D22" s="14" t="n"/>
      <c r="E22" s="14" t="n"/>
    </row>
    <row r="23">
      <c r="A23" s="10" t="inlineStr">
        <is>
          <t>Incremental OWCL / Change in Revenue</t>
        </is>
      </c>
      <c r="B23" s="10" t="inlineStr">
        <is>
          <t>N/A</t>
        </is>
      </c>
      <c r="C23" s="14" t="n"/>
      <c r="D23" s="14" t="n"/>
      <c r="E23" s="14" t="n"/>
    </row>
    <row r="24">
      <c r="A24" s="10" t="inlineStr">
        <is>
          <t>DRIVER DECOMPOSITION CHECK</t>
        </is>
      </c>
      <c r="B24" s="10" t="inlineStr">
        <is>
          <t>N/A</t>
        </is>
      </c>
      <c r="C24" s="10">
        <f>IF(ABS(C21-C15)&lt;0.01,"OK","CHECK")</f>
        <v/>
      </c>
      <c r="D24" s="10">
        <f>IF(ABS(D21-D15)&lt;0.01,"OK","CHECK")</f>
        <v/>
      </c>
      <c r="E24" s="10">
        <f>IF(ABS(E21-E15)&lt;0.01,"OK","CHECK")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lululemon athletica inc. — Per Share Analysis</t>
        </is>
      </c>
    </row>
    <row r="2">
      <c r="A2" s="10" t="inlineStr">
        <is>
          <t>Historical per-share diagnostics using supplied diluted weighted-average shares. Share counts are source inputs, not practice cells.</t>
        </is>
      </c>
    </row>
    <row r="4">
      <c r="A4" s="10" t="inlineStr">
        <is>
          <t>Metric</t>
        </is>
      </c>
      <c r="B4" s="11" t="n">
        <v>44955</v>
      </c>
      <c r="C4" s="11" t="n">
        <v>45319</v>
      </c>
      <c r="D4" s="11" t="n">
        <v>45690</v>
      </c>
      <c r="E4" s="11" t="n">
        <v>46054</v>
      </c>
    </row>
    <row r="5">
      <c r="A5" s="10" t="inlineStr">
        <is>
          <t>Reported Net Income</t>
        </is>
      </c>
      <c r="B5" s="12">
        <f>'Condensed Financials'!B35</f>
        <v/>
      </c>
      <c r="C5" s="12">
        <f>'Condensed Financials'!C35</f>
        <v/>
      </c>
      <c r="D5" s="12">
        <f>'Condensed Financials'!D35</f>
        <v/>
      </c>
      <c r="E5" s="12">
        <f>'Condensed Financials'!E35</f>
        <v/>
      </c>
    </row>
    <row r="6">
      <c r="A6" s="10" t="inlineStr">
        <is>
          <t>NOPAT</t>
        </is>
      </c>
      <c r="B6" s="10" t="inlineStr">
        <is>
          <t>Source unavailable</t>
        </is>
      </c>
      <c r="C6" s="10" t="inlineStr">
        <is>
          <t>Source unavailable</t>
        </is>
      </c>
      <c r="D6" s="10" t="inlineStr">
        <is>
          <t>Source unavailable</t>
        </is>
      </c>
      <c r="E6" s="10" t="inlineStr">
        <is>
          <t>Source unavailable</t>
        </is>
      </c>
    </row>
    <row r="7">
      <c r="A7" s="10" t="inlineStr">
        <is>
          <t>Diluted Weighted-Average Shares</t>
        </is>
      </c>
      <c r="B7" s="18" t="n">
        <v>128017</v>
      </c>
      <c r="C7" s="18" t="n">
        <v>127060</v>
      </c>
      <c r="D7" s="18" t="n">
        <v>123935</v>
      </c>
      <c r="E7" s="18" t="n">
        <v>119068</v>
      </c>
    </row>
    <row r="8">
      <c r="A8" s="10" t="inlineStr">
        <is>
          <t>Share Basis: Reported basis</t>
        </is>
      </c>
    </row>
    <row r="9">
      <c r="A9" s="10" t="inlineStr">
        <is>
          <t>Diluted EPS (Comparable Basis)</t>
        </is>
      </c>
      <c r="B9" s="19" t="n"/>
      <c r="C9" s="19" t="n"/>
      <c r="D9" s="19" t="n"/>
      <c r="E9" s="19" t="n"/>
    </row>
    <row r="10">
      <c r="A10" s="10" t="inlineStr">
        <is>
          <t>NOPAT per Diluted Share</t>
        </is>
      </c>
      <c r="B10" s="10" t="inlineStr">
        <is>
          <t>Source unavailable</t>
        </is>
      </c>
      <c r="C10" s="10" t="inlineStr">
        <is>
          <t>Source unavailable</t>
        </is>
      </c>
      <c r="D10" s="10" t="inlineStr">
        <is>
          <t>Source unavailable</t>
        </is>
      </c>
      <c r="E10" s="10" t="inlineStr">
        <is>
          <t>Source unavailable</t>
        </is>
      </c>
    </row>
    <row r="12">
      <c r="A12" s="10" t="inlineStr">
        <is>
          <t>Change in Diluted EPS</t>
        </is>
      </c>
      <c r="B12" s="10" t="inlineStr">
        <is>
          <t>N/A</t>
        </is>
      </c>
      <c r="C12" s="19" t="n"/>
      <c r="D12" s="19" t="n"/>
      <c r="E12" s="19" t="n"/>
    </row>
    <row r="13">
      <c r="A13" s="10" t="inlineStr">
        <is>
          <t>Change in Diluted Weighted-Average Shares</t>
        </is>
      </c>
      <c r="B13" s="10" t="inlineStr">
        <is>
          <t>N/A</t>
        </is>
      </c>
      <c r="C13" s="20" t="n"/>
      <c r="D13" s="20" t="n"/>
      <c r="E13" s="20" t="n"/>
    </row>
    <row r="15">
      <c r="A15" s="10" t="inlineStr">
        <is>
          <t>DILUTED EPS CHANGE ATTRIBUTION</t>
        </is>
      </c>
    </row>
    <row r="16">
      <c r="A16" s="10" t="inlineStr">
        <is>
          <t>Change in Per-Share Earnings Numerator</t>
        </is>
      </c>
      <c r="B16" s="10" t="inlineStr">
        <is>
          <t>N/A</t>
        </is>
      </c>
      <c r="C16" s="15" t="n"/>
      <c r="D16" s="15" t="n"/>
      <c r="E16" s="15" t="n"/>
    </row>
    <row r="17">
      <c r="A17" s="10" t="inlineStr">
        <is>
          <t>Earnings Effect on Change in Diluted EPS</t>
        </is>
      </c>
      <c r="B17" s="10" t="inlineStr">
        <is>
          <t>N/A</t>
        </is>
      </c>
      <c r="C17" s="19" t="n"/>
      <c r="D17" s="19" t="n"/>
      <c r="E17" s="19" t="n"/>
    </row>
    <row r="18">
      <c r="A18" s="10" t="inlineStr">
        <is>
          <t>Share-Count Effect on Change in Diluted EPS</t>
        </is>
      </c>
      <c r="B18" s="10" t="inlineStr">
        <is>
          <t>N/A</t>
        </is>
      </c>
      <c r="C18" s="19" t="n"/>
      <c r="D18" s="19" t="n"/>
      <c r="E18" s="19" t="n"/>
    </row>
    <row r="19">
      <c r="A19" s="10" t="inlineStr">
        <is>
          <t>Diluted EPS Change from Drivers</t>
        </is>
      </c>
      <c r="B19" s="10" t="inlineStr">
        <is>
          <t>N/A</t>
        </is>
      </c>
      <c r="C19" s="19" t="n"/>
      <c r="D19" s="19" t="n"/>
      <c r="E19" s="19" t="n"/>
    </row>
    <row r="20">
      <c r="A20" s="10" t="inlineStr">
        <is>
          <t>DILUTED EPS CHANGE ATTRIBUTION CHECK</t>
        </is>
      </c>
      <c r="B20" s="10" t="inlineStr">
        <is>
          <t>N/A</t>
        </is>
      </c>
      <c r="C20" s="10">
        <f>IF(ABS(C19-C12)&lt;0.0000001,"OK","CHECK")</f>
        <v/>
      </c>
      <c r="D20" s="10">
        <f>IF(ABS(D19-D12)&lt;0.0000001,"OK","CHECK")</f>
        <v/>
      </c>
      <c r="E20" s="10">
        <f>IF(ABS(E19-E12)&lt;0.0000001,"OK","CHECK")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2026-09-15T05:23:37Z</dcterms:created>
  <dcterms:modified xsi:type="dcterms:W3CDTF">2026-09-15T05:23:37Z</dcterms:modified>
</cp:coreProperties>
</file>