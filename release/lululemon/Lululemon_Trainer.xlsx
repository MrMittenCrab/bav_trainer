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2022–2026 (5 cells)</t>
        </is>
      </c>
      <c r="D5" s="10" t="inlineStr">
        <is>
          <t>Condensed Financials</t>
        </is>
      </c>
      <c r="E5" s="10" t="inlineStr">
        <is>
          <t>B34:F34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2022–2026 (5 cells)</t>
        </is>
      </c>
      <c r="D6" s="10" t="inlineStr">
        <is>
          <t>Condensed Financials</t>
        </is>
      </c>
      <c r="E6" s="10" t="inlineStr">
        <is>
          <t>B35:F35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2022–2026 (5 cells)</t>
        </is>
      </c>
      <c r="D7" s="10" t="inlineStr">
        <is>
          <t>Condensed Financials</t>
        </is>
      </c>
      <c r="E7" s="10" t="inlineStr">
        <is>
          <t>B38:F38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2022–2026 (5 cells)</t>
        </is>
      </c>
      <c r="D8" s="10" t="inlineStr">
        <is>
          <t>Condensed Financials</t>
        </is>
      </c>
      <c r="E8" s="10" t="inlineStr">
        <is>
          <t>B44:F44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2022–2026 (5 cells)</t>
        </is>
      </c>
      <c r="D9" s="10" t="inlineStr">
        <is>
          <t>Condensed Financials</t>
        </is>
      </c>
      <c r="E9" s="10" t="inlineStr">
        <is>
          <t>B45:F45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2022–2026 (5 cells)</t>
        </is>
      </c>
      <c r="D10" s="10" t="inlineStr">
        <is>
          <t>Condensed Financials</t>
        </is>
      </c>
      <c r="E10" s="10" t="inlineStr">
        <is>
          <t>B46:F46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2022–2026 (5 cells)</t>
        </is>
      </c>
      <c r="D11" s="10" t="inlineStr">
        <is>
          <t>Condensed Financials</t>
        </is>
      </c>
      <c r="E11" s="10" t="inlineStr">
        <is>
          <t>B47:F47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2022–2026 (5 cells)</t>
        </is>
      </c>
      <c r="D12" s="10" t="inlineStr">
        <is>
          <t>Condensed Financials</t>
        </is>
      </c>
      <c r="E12" s="10" t="inlineStr">
        <is>
          <t>B48:F48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2022–2026 (5 cells)</t>
        </is>
      </c>
      <c r="D13" s="10" t="inlineStr">
        <is>
          <t>Condensed Financials</t>
        </is>
      </c>
      <c r="E13" s="10" t="inlineStr">
        <is>
          <t>B49:F49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2022–2026 (5 cells)</t>
        </is>
      </c>
      <c r="D14" s="10" t="inlineStr">
        <is>
          <t>Condensed Financials</t>
        </is>
      </c>
      <c r="E14" s="10" t="inlineStr">
        <is>
          <t>B50:F50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2022–2026 (5 cells)</t>
        </is>
      </c>
      <c r="D15" s="10" t="inlineStr">
        <is>
          <t>Condensed Financials</t>
        </is>
      </c>
      <c r="E15" s="10" t="inlineStr">
        <is>
          <t>B51:F51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2022–2026 (5 cells)</t>
        </is>
      </c>
      <c r="D16" s="10" t="inlineStr">
        <is>
          <t>Condensed Financials</t>
        </is>
      </c>
      <c r="E16" s="10" t="inlineStr">
        <is>
          <t>B52:F52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2022–2026 (5 cells)</t>
        </is>
      </c>
      <c r="D17" s="10" t="inlineStr">
        <is>
          <t>Condensed Financials</t>
        </is>
      </c>
      <c r="E17" s="10" t="inlineStr">
        <is>
          <t>B53:F53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2022–2026 (5 cells)</t>
        </is>
      </c>
      <c r="D18" s="10" t="inlineStr">
        <is>
          <t>Condensed Financials</t>
        </is>
      </c>
      <c r="E18" s="10" t="inlineStr">
        <is>
          <t>B54:F54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2023–2026 (4 cells)</t>
        </is>
      </c>
      <c r="D19" s="10" t="inlineStr">
        <is>
          <t>ALT DuPont</t>
        </is>
      </c>
      <c r="E19" s="10" t="inlineStr">
        <is>
          <t>C5:F5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2023–2026 (4 cells)</t>
        </is>
      </c>
      <c r="D20" s="10" t="inlineStr">
        <is>
          <t>ALT DuPont</t>
        </is>
      </c>
      <c r="E20" s="10" t="inlineStr">
        <is>
          <t>C10:F10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2023–2026 (4 cells)</t>
        </is>
      </c>
      <c r="D21" s="10" t="inlineStr">
        <is>
          <t>ALT DuPont</t>
        </is>
      </c>
      <c r="E21" s="10" t="inlineStr">
        <is>
          <t>C12:F12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2022–2026 (5 cells)</t>
        </is>
      </c>
      <c r="D22" s="10" t="inlineStr">
        <is>
          <t>Earnings Quality</t>
        </is>
      </c>
      <c r="E22" s="10" t="inlineStr">
        <is>
          <t>B5:F5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2022–2026 (5 cells)</t>
        </is>
      </c>
      <c r="D23" s="10" t="inlineStr">
        <is>
          <t>Earnings Quality</t>
        </is>
      </c>
      <c r="E23" s="10" t="inlineStr">
        <is>
          <t>B7:F7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2022–2026 (5 cells)</t>
        </is>
      </c>
      <c r="D24" s="10" t="inlineStr">
        <is>
          <t>Earnings Quality</t>
        </is>
      </c>
      <c r="E24" s="10" t="inlineStr">
        <is>
          <t>B8:F8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2023–2026 (4 cells)</t>
        </is>
      </c>
      <c r="D25" s="10" t="inlineStr">
        <is>
          <t>Earnings Quality</t>
        </is>
      </c>
      <c r="E25" s="10" t="inlineStr">
        <is>
          <t>C11:F11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2023–2026 (4 cells)</t>
        </is>
      </c>
      <c r="D26" s="10" t="inlineStr">
        <is>
          <t>Earnings Quality</t>
        </is>
      </c>
      <c r="E26" s="10" t="inlineStr">
        <is>
          <t>C12:F12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2022–2026 (5 cells)</t>
        </is>
      </c>
      <c r="D27" s="10" t="inlineStr">
        <is>
          <t>Working Capital Analysis</t>
        </is>
      </c>
      <c r="E27" s="10" t="inlineStr">
        <is>
          <t>B11:F11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2022–2026 (5 cells)</t>
        </is>
      </c>
      <c r="D28" s="10" t="inlineStr">
        <is>
          <t>Working Capital Analysis</t>
        </is>
      </c>
      <c r="E28" s="10" t="inlineStr">
        <is>
          <t>B12:F12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2022–2026 (5 cells)</t>
        </is>
      </c>
      <c r="D29" s="10" t="inlineStr">
        <is>
          <t>Working Capital Analysis</t>
        </is>
      </c>
      <c r="E29" s="10" t="inlineStr">
        <is>
          <t>B13:F13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2023–2026 (4 cells)</t>
        </is>
      </c>
      <c r="D30" s="10" t="inlineStr">
        <is>
          <t>Working Capital Analysis</t>
        </is>
      </c>
      <c r="E30" s="10" t="inlineStr">
        <is>
          <t>C14:F14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2023–2026 (4 cells)</t>
        </is>
      </c>
      <c r="D31" s="10" t="inlineStr">
        <is>
          <t>Working Capital Analysis</t>
        </is>
      </c>
      <c r="E31" s="10" t="inlineStr">
        <is>
          <t>C15:F15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2023–2026 (4 cells)</t>
        </is>
      </c>
      <c r="D32" s="10" t="inlineStr">
        <is>
          <t>Working Capital Analysis</t>
        </is>
      </c>
      <c r="E32" s="10" t="inlineStr">
        <is>
          <t>C16:F16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2023–2026 (4 cells)</t>
        </is>
      </c>
      <c r="D33" s="10" t="inlineStr">
        <is>
          <t>Working Capital Analysis</t>
        </is>
      </c>
      <c r="E33" s="10" t="inlineStr">
        <is>
          <t>C19:F19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2023–2026 (4 cells)</t>
        </is>
      </c>
      <c r="D34" s="10" t="inlineStr">
        <is>
          <t>Working Capital Analysis</t>
        </is>
      </c>
      <c r="E34" s="10" t="inlineStr">
        <is>
          <t>C20:F20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2023–2026 (4 cells)</t>
        </is>
      </c>
      <c r="D35" s="10" t="inlineStr">
        <is>
          <t>Working Capital Analysis</t>
        </is>
      </c>
      <c r="E35" s="10" t="inlineStr">
        <is>
          <t>C21:F21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2023–2026 (4 cells)</t>
        </is>
      </c>
      <c r="D36" s="10" t="inlineStr">
        <is>
          <t>Working Capital Analysis</t>
        </is>
      </c>
      <c r="E36" s="10" t="inlineStr">
        <is>
          <t>C22:F22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2023–2026 (4 cells)</t>
        </is>
      </c>
      <c r="D37" s="10" t="inlineStr">
        <is>
          <t>Working Capital Analysis</t>
        </is>
      </c>
      <c r="E37" s="10" t="inlineStr">
        <is>
          <t>C23:F23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2023–2026 (4 cells)</t>
        </is>
      </c>
      <c r="D38" s="10" t="inlineStr">
        <is>
          <t>ALT DuPont</t>
        </is>
      </c>
      <c r="E38" s="10" t="inlineStr">
        <is>
          <t>C15:F15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2023–2026 (4 cells)</t>
        </is>
      </c>
      <c r="D39" s="10" t="inlineStr">
        <is>
          <t>ALT DuPont</t>
        </is>
      </c>
      <c r="E39" s="10" t="inlineStr">
        <is>
          <t>C16:F16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2023–2026 (4 cells)</t>
        </is>
      </c>
      <c r="D40" s="10" t="inlineStr">
        <is>
          <t>ALT DuPont</t>
        </is>
      </c>
      <c r="E40" s="10" t="inlineStr">
        <is>
          <t>C17:F17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2024–2026 (3 cells)</t>
        </is>
      </c>
      <c r="D41" s="10" t="inlineStr">
        <is>
          <t>ALT DuPont</t>
        </is>
      </c>
      <c r="E41" s="10" t="inlineStr">
        <is>
          <t>D23:F23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2023–2026 (4 cells)</t>
        </is>
      </c>
      <c r="D42" s="10" t="inlineStr">
        <is>
          <t>Earnings Quality</t>
        </is>
      </c>
      <c r="E42" s="10" t="inlineStr">
        <is>
          <t>C15:F15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2023–2026 (4 cells)</t>
        </is>
      </c>
      <c r="D43" s="10" t="inlineStr">
        <is>
          <t>Earnings Quality</t>
        </is>
      </c>
      <c r="E43" s="10" t="inlineStr">
        <is>
          <t>C16:F16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2023–2026 (4 cells)</t>
        </is>
      </c>
      <c r="D44" s="10" t="inlineStr">
        <is>
          <t>Earnings Quality</t>
        </is>
      </c>
      <c r="E44" s="10" t="inlineStr">
        <is>
          <t>C17:F17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2024–2026 (3 cells)</t>
        </is>
      </c>
      <c r="D45" s="10" t="inlineStr">
        <is>
          <t>Earnings Quality</t>
        </is>
      </c>
      <c r="E45" s="10" t="inlineStr">
        <is>
          <t>D18:F18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2022–2026 (5 cells)</t>
        </is>
      </c>
      <c r="D46" s="10" t="inlineStr">
        <is>
          <t>Per Share Analysis</t>
        </is>
      </c>
      <c r="E46" s="10" t="inlineStr">
        <is>
          <t>B9:F9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2023–2026 (4 cells)</t>
        </is>
      </c>
      <c r="D47" s="10" t="inlineStr">
        <is>
          <t>Per Share Analysis</t>
        </is>
      </c>
      <c r="E47" s="10" t="inlineStr">
        <is>
          <t>C12:F12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2023–2026 (4 cells)</t>
        </is>
      </c>
      <c r="D48" s="10" t="inlineStr">
        <is>
          <t>Per Share Analysis</t>
        </is>
      </c>
      <c r="E48" s="10" t="inlineStr">
        <is>
          <t>C13:F13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2023–2026 (4 cells)</t>
        </is>
      </c>
      <c r="D49" s="10" t="inlineStr">
        <is>
          <t>Per Share Analysis</t>
        </is>
      </c>
      <c r="E49" s="10" t="inlineStr">
        <is>
          <t>C16:F16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2023–2026 (4 cells)</t>
        </is>
      </c>
      <c r="D50" s="10" t="inlineStr">
        <is>
          <t>Per Share Analysis</t>
        </is>
      </c>
      <c r="E50" s="10" t="inlineStr">
        <is>
          <t>C17:F17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2023–2026 (4 cells)</t>
        </is>
      </c>
      <c r="D51" s="10" t="inlineStr">
        <is>
          <t>Per Share Analysis</t>
        </is>
      </c>
      <c r="E51" s="10" t="inlineStr">
        <is>
          <t>C18:F18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2023–2026 (4 cells)</t>
        </is>
      </c>
      <c r="D52" s="10" t="inlineStr">
        <is>
          <t>Per Share Analysis</t>
        </is>
      </c>
      <c r="E52" s="10" t="inlineStr">
        <is>
          <t>C19:F19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2022–2026 (5 cells)</t>
        </is>
      </c>
      <c r="D53" s="10" t="inlineStr">
        <is>
          <t>ALT DuPont</t>
        </is>
      </c>
      <c r="E53" s="10" t="inlineStr">
        <is>
          <t>B44:F44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2022–2026 (5 cells)</t>
        </is>
      </c>
      <c r="D54" s="10" t="inlineStr">
        <is>
          <t>ALT DuPont</t>
        </is>
      </c>
      <c r="E54" s="10" t="inlineStr">
        <is>
          <t>B45:F45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2023–2026 (4 cells)</t>
        </is>
      </c>
      <c r="D55" s="10" t="inlineStr">
        <is>
          <t>ALT DuPont</t>
        </is>
      </c>
      <c r="E55" s="10" t="inlineStr">
        <is>
          <t>C46:F46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2023–2026 (4 cells)</t>
        </is>
      </c>
      <c r="D56" s="10" t="inlineStr">
        <is>
          <t>ALT DuPont</t>
        </is>
      </c>
      <c r="E56" s="10" t="inlineStr">
        <is>
          <t>C47:F47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2023–2026 (4 cells)</t>
        </is>
      </c>
      <c r="D57" s="10" t="inlineStr">
        <is>
          <t>ALT DuPont</t>
        </is>
      </c>
      <c r="E57" s="10" t="inlineStr">
        <is>
          <t>C48:F48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2023–2026 (4 cells)</t>
        </is>
      </c>
      <c r="D58" s="10" t="inlineStr">
        <is>
          <t>ALT DuPont</t>
        </is>
      </c>
      <c r="E58" s="10" t="inlineStr">
        <is>
          <t>C49:F49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2022–2026 (5 cells)</t>
        </is>
      </c>
      <c r="D59" s="10" t="inlineStr">
        <is>
          <t>ALT DuPont</t>
        </is>
      </c>
      <c r="E59" s="10" t="inlineStr">
        <is>
          <t>B50:F50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2023–2026 (4 cells)</t>
        </is>
      </c>
      <c r="D60" s="10" t="inlineStr">
        <is>
          <t>ALT DuPont</t>
        </is>
      </c>
      <c r="E60" s="10" t="inlineStr">
        <is>
          <t>C51:F51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2022–2026 (5 cells)</t>
        </is>
      </c>
      <c r="D61" s="10" t="inlineStr">
        <is>
          <t>ALT DuPont</t>
        </is>
      </c>
      <c r="E61" s="10" t="inlineStr">
        <is>
          <t>B55:F55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2022–2026 (5 cells)</t>
        </is>
      </c>
      <c r="D62" s="10" t="inlineStr">
        <is>
          <t>ALT DuPont</t>
        </is>
      </c>
      <c r="E62" s="10" t="inlineStr">
        <is>
          <t>B56:F56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2023–2026 (4 cells)</t>
        </is>
      </c>
      <c r="D63" s="10" t="inlineStr">
        <is>
          <t>ALT DuPont</t>
        </is>
      </c>
      <c r="E63" s="10" t="inlineStr">
        <is>
          <t>C57:F57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2023–2026 (4 cells)</t>
        </is>
      </c>
      <c r="D64" s="10" t="inlineStr">
        <is>
          <t>ALT DuPont</t>
        </is>
      </c>
      <c r="E64" s="10" t="inlineStr">
        <is>
          <t>C58:F58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2023–2026 (4 cells)</t>
        </is>
      </c>
      <c r="D65" s="10" t="inlineStr">
        <is>
          <t>ALT DuPont</t>
        </is>
      </c>
      <c r="E65" s="10" t="inlineStr">
        <is>
          <t>C139:F139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2023–2026 (4 cells)</t>
        </is>
      </c>
      <c r="D66" s="10" t="inlineStr">
        <is>
          <t>ALT DuPont</t>
        </is>
      </c>
      <c r="E66" s="10" t="inlineStr">
        <is>
          <t>C140:F140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2023–2026 (4 cells)</t>
        </is>
      </c>
      <c r="D67" s="10" t="inlineStr">
        <is>
          <t>ALT DuPont</t>
        </is>
      </c>
      <c r="E67" s="10" t="inlineStr">
        <is>
          <t>C141:F141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2023–2026 (4 cells)</t>
        </is>
      </c>
      <c r="D68" s="10" t="inlineStr">
        <is>
          <t>ALT DuPont</t>
        </is>
      </c>
      <c r="E68" s="10" t="inlineStr">
        <is>
          <t>C142:F142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2023–2026 (4 cells)</t>
        </is>
      </c>
      <c r="D69" s="10" t="inlineStr">
        <is>
          <t>ALT DuPont</t>
        </is>
      </c>
      <c r="E69" s="10" t="inlineStr">
        <is>
          <t>C144:F144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2023–2026 (4 cells)</t>
        </is>
      </c>
      <c r="D70" s="10" t="inlineStr">
        <is>
          <t>ALT DuPont</t>
        </is>
      </c>
      <c r="E70" s="10" t="inlineStr">
        <is>
          <t>C145:F145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2023–2026 (4 cells)</t>
        </is>
      </c>
      <c r="D71" s="10" t="inlineStr">
        <is>
          <t>ALT DuPont</t>
        </is>
      </c>
      <c r="E71" s="10" t="inlineStr">
        <is>
          <t>C146:F146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2023–2026 (4 cells)</t>
        </is>
      </c>
      <c r="D72" s="10" t="inlineStr">
        <is>
          <t>ALT DuPont</t>
        </is>
      </c>
      <c r="E72" s="10" t="inlineStr">
        <is>
          <t>C147:F147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2023–2026 (4 cells)</t>
        </is>
      </c>
      <c r="D73" s="10" t="inlineStr">
        <is>
          <t>ALT DuPont</t>
        </is>
      </c>
      <c r="E73" s="10" t="inlineStr">
        <is>
          <t>C149:F149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2023–2026 (4 cells)</t>
        </is>
      </c>
      <c r="D74" s="10" t="inlineStr">
        <is>
          <t>ALT DuPont</t>
        </is>
      </c>
      <c r="E74" s="10" t="inlineStr">
        <is>
          <t>C150:F150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2023–2026 (4 cells)</t>
        </is>
      </c>
      <c r="D75" s="10" t="inlineStr">
        <is>
          <t>ALT DuPont</t>
        </is>
      </c>
      <c r="E75" s="10" t="inlineStr">
        <is>
          <t>C151:F151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2023–2026 (4 cells)</t>
        </is>
      </c>
      <c r="D76" s="10" t="inlineStr">
        <is>
          <t>ALT DuPont</t>
        </is>
      </c>
      <c r="E76" s="10" t="inlineStr">
        <is>
          <t>C152:F152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2023–2026 (4 cells)</t>
        </is>
      </c>
      <c r="D77" s="10" t="inlineStr">
        <is>
          <t>ALT DuPont</t>
        </is>
      </c>
      <c r="E77" s="10" t="inlineStr">
        <is>
          <t>C62:F62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2023–2026 (4 cells)</t>
        </is>
      </c>
      <c r="D78" s="10" t="inlineStr">
        <is>
          <t>ALT DuPont</t>
        </is>
      </c>
      <c r="E78" s="10" t="inlineStr">
        <is>
          <t>C63:F63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2023–2026 (4 cells)</t>
        </is>
      </c>
      <c r="D79" s="10" t="inlineStr">
        <is>
          <t>ALT DuPont</t>
        </is>
      </c>
      <c r="E79" s="10" t="inlineStr">
        <is>
          <t>C64:F64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2023–2026 (4 cells)</t>
        </is>
      </c>
      <c r="D80" s="10" t="inlineStr">
        <is>
          <t>ALT DuPont</t>
        </is>
      </c>
      <c r="E80" s="10" t="inlineStr">
        <is>
          <t>C65:F65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2022–2026 (5 cells)</t>
        </is>
      </c>
      <c r="D81" s="10" t="inlineStr">
        <is>
          <t>ALT DuPont</t>
        </is>
      </c>
      <c r="E81" s="10" t="inlineStr">
        <is>
          <t>B70:F70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2023–2026 (4 cells)</t>
        </is>
      </c>
      <c r="D82" s="10" t="inlineStr">
        <is>
          <t>ALT DuPont</t>
        </is>
      </c>
      <c r="E82" s="10" t="inlineStr">
        <is>
          <t>C71:F71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2023–2026 (4 cells)</t>
        </is>
      </c>
      <c r="D83" s="10" t="inlineStr">
        <is>
          <t>ALT DuPont</t>
        </is>
      </c>
      <c r="E83" s="10" t="inlineStr">
        <is>
          <t>C72:F72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2023–2026 (4 cells)</t>
        </is>
      </c>
      <c r="D84" s="10" t="inlineStr">
        <is>
          <t>ALT DuPont</t>
        </is>
      </c>
      <c r="E84" s="10" t="inlineStr">
        <is>
          <t>C73:F73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2022–2026 (5 cells)</t>
        </is>
      </c>
      <c r="D85" s="10" t="inlineStr">
        <is>
          <t>ALT DuPont</t>
        </is>
      </c>
      <c r="E85" s="10" t="inlineStr">
        <is>
          <t>B77:F77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2022–2026 (5 cells)</t>
        </is>
      </c>
      <c r="D86" s="10" t="inlineStr">
        <is>
          <t>ALT DuPont</t>
        </is>
      </c>
      <c r="E86" s="10" t="inlineStr">
        <is>
          <t>B78:F78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2022–2026 (5 cells)</t>
        </is>
      </c>
      <c r="D87" s="10" t="inlineStr">
        <is>
          <t>ALT DuPont</t>
        </is>
      </c>
      <c r="E87" s="10" t="inlineStr">
        <is>
          <t>B82:F82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2022–2026 (5 cells)</t>
        </is>
      </c>
      <c r="D88" s="10" t="inlineStr">
        <is>
          <t>ALT DuPont</t>
        </is>
      </c>
      <c r="E88" s="10" t="inlineStr">
        <is>
          <t>B83:F83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2022–2026 (5 cells)</t>
        </is>
      </c>
      <c r="D89" s="10" t="inlineStr">
        <is>
          <t>Earnings Quality</t>
        </is>
      </c>
      <c r="E89" s="10" t="inlineStr">
        <is>
          <t>B23:F23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2022–2026 (5 cells)</t>
        </is>
      </c>
      <c r="D90" s="10" t="inlineStr">
        <is>
          <t>Earnings Quality</t>
        </is>
      </c>
      <c r="E90" s="10" t="inlineStr">
        <is>
          <t>B24:F24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2022–2026 (5 cells)</t>
        </is>
      </c>
      <c r="D91" s="10" t="inlineStr">
        <is>
          <t>Earnings Quality</t>
        </is>
      </c>
      <c r="E91" s="10" t="inlineStr">
        <is>
          <t>B25:F25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2022–2026 (5 cells)</t>
        </is>
      </c>
      <c r="D92" s="10" t="inlineStr">
        <is>
          <t>ALT DuPont</t>
        </is>
      </c>
      <c r="E92" s="10" t="inlineStr">
        <is>
          <t>B87:F87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2022–2026 (5 cells)</t>
        </is>
      </c>
      <c r="D93" s="10" t="inlineStr">
        <is>
          <t>ALT DuPont</t>
        </is>
      </c>
      <c r="E93" s="10" t="inlineStr">
        <is>
          <t>B88:F88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2022–2026 (5 cells)</t>
        </is>
      </c>
      <c r="D94" s="10" t="inlineStr">
        <is>
          <t>ALT DuPont</t>
        </is>
      </c>
      <c r="E94" s="10" t="inlineStr">
        <is>
          <t>B91:F91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2022–2026 (5 cells)</t>
        </is>
      </c>
      <c r="D95" s="10" t="inlineStr">
        <is>
          <t>ALT DuPont</t>
        </is>
      </c>
      <c r="E95" s="10" t="inlineStr">
        <is>
          <t>B95:F95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2022–2026 (5 cells)</t>
        </is>
      </c>
      <c r="D96" s="10" t="inlineStr">
        <is>
          <t>ALT DuPont</t>
        </is>
      </c>
      <c r="E96" s="10" t="inlineStr">
        <is>
          <t>B96:F96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2022–2026 (5 cells)</t>
        </is>
      </c>
      <c r="D97" s="10" t="inlineStr">
        <is>
          <t>ALT DuPont</t>
        </is>
      </c>
      <c r="E97" s="10" t="inlineStr">
        <is>
          <t>B99:F99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2022–2026 (5 cells)</t>
        </is>
      </c>
      <c r="D98" s="10" t="inlineStr">
        <is>
          <t>ALT DuPont</t>
        </is>
      </c>
      <c r="E98" s="10" t="inlineStr">
        <is>
          <t>B106:F106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2022–2026 (5 cells)</t>
        </is>
      </c>
      <c r="D99" s="10" t="inlineStr">
        <is>
          <t>ALT DuPont</t>
        </is>
      </c>
      <c r="E99" s="10" t="inlineStr">
        <is>
          <t>B108:F108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2022–2026 (5 cells)</t>
        </is>
      </c>
      <c r="D100" s="10" t="inlineStr">
        <is>
          <t>ALT DuPont</t>
        </is>
      </c>
      <c r="E100" s="10" t="inlineStr">
        <is>
          <t>B110:F110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2022–2026 (5 cells)</t>
        </is>
      </c>
      <c r="D101" s="10" t="inlineStr">
        <is>
          <t>ALT DuPont</t>
        </is>
      </c>
      <c r="E101" s="10" t="inlineStr">
        <is>
          <t>B112:F112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2022–2026 (5 cells)</t>
        </is>
      </c>
      <c r="D102" s="10" t="inlineStr">
        <is>
          <t>ALT DuPont</t>
        </is>
      </c>
      <c r="E102" s="10" t="inlineStr">
        <is>
          <t>B118:F118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2022–2026 (5 cells)</t>
        </is>
      </c>
      <c r="D103" s="10" t="inlineStr">
        <is>
          <t>ALT DuPont</t>
        </is>
      </c>
      <c r="E103" s="10" t="inlineStr">
        <is>
          <t>B119:F119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2022–2026 (5 cells)</t>
        </is>
      </c>
      <c r="D104" s="10" t="inlineStr">
        <is>
          <t>ALT DuPont</t>
        </is>
      </c>
      <c r="E104" s="10" t="inlineStr">
        <is>
          <t>B120:F120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2023–2026 (4 cells)</t>
        </is>
      </c>
      <c r="D105" s="10" t="inlineStr">
        <is>
          <t>ALT DuPont</t>
        </is>
      </c>
      <c r="E105" s="10" t="inlineStr">
        <is>
          <t>C121:F121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2023–2026 (4 cells)</t>
        </is>
      </c>
      <c r="D106" s="10" t="inlineStr">
        <is>
          <t>ALT DuPont</t>
        </is>
      </c>
      <c r="E106" s="10" t="inlineStr">
        <is>
          <t>C122:F122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2023–2026 (4 cells)</t>
        </is>
      </c>
      <c r="D107" s="10" t="inlineStr">
        <is>
          <t>ALT DuPont</t>
        </is>
      </c>
      <c r="E107" s="10" t="inlineStr">
        <is>
          <t>C123:F123</t>
        </is>
      </c>
      <c r="F107" s="10" t="inlineStr">
        <is>
          <t>gross_margin_change, net_operating_expense_burden_change</t>
        </is>
      </c>
    </row>
    <row r="108">
      <c r="A108" s="10" t="n">
        <v>145</v>
      </c>
      <c r="B108" s="10" t="inlineStr">
        <is>
          <t>Inventory intensity</t>
        </is>
      </c>
      <c r="C108" s="10" t="inlineStr">
        <is>
          <t>2022–2026 (5 cells)</t>
        </is>
      </c>
      <c r="D108" s="10" t="inlineStr">
        <is>
          <t>ALT DuPont</t>
        </is>
      </c>
      <c r="E108" s="10" t="inlineStr">
        <is>
          <t>B128:F128</t>
        </is>
      </c>
      <c r="F108" s="10" t="inlineStr">
        <is>
          <t>—</t>
        </is>
      </c>
    </row>
    <row r="109">
      <c r="A109" s="10" t="n">
        <v>146</v>
      </c>
      <c r="B109" s="10" t="inlineStr">
        <is>
          <t>Change in inventory</t>
        </is>
      </c>
      <c r="C109" s="10" t="inlineStr">
        <is>
          <t>2023–2026 (4 cells)</t>
        </is>
      </c>
      <c r="D109" s="10" t="inlineStr">
        <is>
          <t>ALT DuPont</t>
        </is>
      </c>
      <c r="E109" s="10" t="inlineStr">
        <is>
          <t>C129:F129</t>
        </is>
      </c>
      <c r="F109" s="10" t="inlineStr">
        <is>
          <t>—</t>
        </is>
      </c>
    </row>
    <row r="110">
      <c r="A110" s="10" t="n">
        <v>147</v>
      </c>
      <c r="B110" s="10" t="inlineStr">
        <is>
          <t>Revenue-scale effect on inventory</t>
        </is>
      </c>
      <c r="C110" s="10" t="inlineStr">
        <is>
          <t>2023–2026 (4 cells)</t>
        </is>
      </c>
      <c r="D110" s="10" t="inlineStr">
        <is>
          <t>ALT DuPont</t>
        </is>
      </c>
      <c r="E110" s="10" t="inlineStr">
        <is>
          <t>C130:F130</t>
        </is>
      </c>
      <c r="F110" s="10" t="inlineStr">
        <is>
          <t>inventory_intensity</t>
        </is>
      </c>
    </row>
    <row r="111">
      <c r="A111" s="10" t="n">
        <v>148</v>
      </c>
      <c r="B111" s="10" t="inlineStr">
        <is>
          <t>Intensity effect on inventory</t>
        </is>
      </c>
      <c r="C111" s="10" t="inlineStr">
        <is>
          <t>2023–2026 (4 cells)</t>
        </is>
      </c>
      <c r="D111" s="10" t="inlineStr">
        <is>
          <t>ALT DuPont</t>
        </is>
      </c>
      <c r="E111" s="10" t="inlineStr">
        <is>
          <t>C131:F131</t>
        </is>
      </c>
      <c r="F111" s="10" t="inlineStr">
        <is>
          <t>inventory_intensity</t>
        </is>
      </c>
    </row>
    <row r="112">
      <c r="A112" s="10" t="n">
        <v>149</v>
      </c>
      <c r="B112" s="10" t="inlineStr">
        <is>
          <t>Reconstructed change in inventory</t>
        </is>
      </c>
      <c r="C112" s="10" t="inlineStr">
        <is>
          <t>2023–2026 (4 cells)</t>
        </is>
      </c>
      <c r="D112" s="10" t="inlineStr">
        <is>
          <t>ALT DuPont</t>
        </is>
      </c>
      <c r="E112" s="10" t="inlineStr">
        <is>
          <t>C132:F132</t>
        </is>
      </c>
      <c r="F112" s="10" t="inlineStr">
        <is>
          <t>inventory_revenue_scale_effect, inventory_intensity_effect</t>
        </is>
      </c>
    </row>
    <row r="113">
      <c r="A113" s="10" t="n">
        <v>150</v>
      </c>
      <c r="B113" s="10" t="inlineStr">
        <is>
          <t>Balance-implied inventory CF adjustment</t>
        </is>
      </c>
      <c r="C113" s="10" t="inlineStr">
        <is>
          <t>2023–2026 (4 cells)</t>
        </is>
      </c>
      <c r="D113" s="10" t="inlineStr">
        <is>
          <t>ALT DuPont</t>
        </is>
      </c>
      <c r="E113" s="10" t="inlineStr">
        <is>
          <t>C134:F134</t>
        </is>
      </c>
      <c r="F113" s="10" t="inlineStr">
        <is>
          <t>inventory_change</t>
        </is>
      </c>
    </row>
    <row r="114">
      <c r="A114" s="10" t="n">
        <v>151</v>
      </c>
      <c r="B114" s="10" t="inlineStr">
        <is>
          <t>Unexplained inventory CF difference</t>
        </is>
      </c>
      <c r="C114" s="10" t="inlineStr">
        <is>
          <t>2023–2026 (4 cells)</t>
        </is>
      </c>
      <c r="D114" s="10" t="inlineStr">
        <is>
          <t>ALT DuPont</t>
        </is>
      </c>
      <c r="E114" s="10" t="inlineStr">
        <is>
          <t>C135:F135</t>
        </is>
      </c>
      <c r="F114" s="10" t="inlineStr">
        <is>
          <t>inventory_balance_implied_cf_adjustment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44591</v>
      </c>
      <c r="C6" s="11" t="n">
        <v>44955</v>
      </c>
      <c r="D6" s="11" t="n">
        <v>45319</v>
      </c>
      <c r="E6" s="11" t="n">
        <v>45690</v>
      </c>
      <c r="F6" s="11" t="n">
        <v>46054</v>
      </c>
    </row>
    <row r="7">
      <c r="A7" s="10" t="inlineStr">
        <is>
          <t>Foreign currency translation adjustment</t>
        </is>
      </c>
      <c r="B7" s="12" t="n">
        <v>-28494</v>
      </c>
      <c r="C7" s="12" t="n">
        <v>-65571</v>
      </c>
      <c r="D7" s="12" t="n">
        <v>-23077</v>
      </c>
      <c r="E7" s="12" t="n">
        <v>-253209</v>
      </c>
      <c r="F7" s="12" t="n">
        <v>253160</v>
      </c>
    </row>
    <row r="8">
      <c r="A8" s="10" t="inlineStr">
        <is>
          <t>Net investment hedge gains (losses)</t>
        </is>
      </c>
      <c r="B8" s="12" t="n">
        <v>9732</v>
      </c>
      <c r="C8" s="12" t="n">
        <v>8904</v>
      </c>
      <c r="D8" s="12" t="n">
        <v>11405</v>
      </c>
      <c r="E8" s="12" t="n">
        <v>93024</v>
      </c>
      <c r="F8" s="12" t="n">
        <v>-59409</v>
      </c>
    </row>
    <row r="9">
      <c r="A9" s="10" t="inlineStr">
        <is>
          <t>Amortization of intangible assets</t>
        </is>
      </c>
      <c r="B9" s="12" t="n">
        <v>8782</v>
      </c>
      <c r="C9" s="12" t="n">
        <v>8752</v>
      </c>
      <c r="D9" s="12" t="n">
        <v>5010</v>
      </c>
      <c r="E9" s="12" t="n">
        <v>2735</v>
      </c>
      <c r="F9" s="12" t="n">
        <v>6961</v>
      </c>
    </row>
    <row r="10">
      <c r="A10" s="10" t="inlineStr">
        <is>
          <t>Basic earnings per share</t>
        </is>
      </c>
      <c r="B10" s="12" t="n">
        <v>7.52</v>
      </c>
      <c r="C10" s="12" t="n">
        <v>6.7</v>
      </c>
      <c r="D10" s="12" t="n">
        <v>12.23</v>
      </c>
      <c r="E10" s="12" t="n">
        <v>14.67</v>
      </c>
      <c r="F10" s="12" t="n">
        <v>13.27</v>
      </c>
    </row>
    <row r="11">
      <c r="A11" s="10" t="inlineStr">
        <is>
          <t>Comprehensive income</t>
        </is>
      </c>
      <c r="B11" s="12" t="n">
        <v>956560</v>
      </c>
      <c r="C11" s="12" t="n">
        <v>798133</v>
      </c>
      <c r="D11" s="12" t="n">
        <v>1538518</v>
      </c>
      <c r="E11" s="12" t="n">
        <v>1654431</v>
      </c>
      <c r="F11" s="12" t="n">
        <v>1772934</v>
      </c>
    </row>
    <row r="12">
      <c r="A12" s="10" t="inlineStr">
        <is>
          <t>Cost of goods sold</t>
        </is>
      </c>
      <c r="B12" s="12" t="n">
        <v>2648052</v>
      </c>
      <c r="C12" s="12" t="n">
        <v>3618178</v>
      </c>
      <c r="D12" s="12" t="n">
        <v>4009873</v>
      </c>
      <c r="E12" s="12" t="n">
        <v>4317315</v>
      </c>
      <c r="F12" s="12" t="n">
        <v>4818468</v>
      </c>
    </row>
    <row r="13">
      <c r="A13" s="10" t="inlineStr">
        <is>
          <t>Diluted earnings per share</t>
        </is>
      </c>
      <c r="B13" s="12" t="n">
        <v>7.49</v>
      </c>
      <c r="C13" s="12" t="n">
        <v>6.68</v>
      </c>
      <c r="D13" s="12" t="n">
        <v>12.2</v>
      </c>
      <c r="E13" s="12" t="n">
        <v>14.64</v>
      </c>
      <c r="F13" s="12" t="n">
        <v>13.26</v>
      </c>
    </row>
    <row r="14">
      <c r="A14" s="10" t="inlineStr">
        <is>
          <t>Gross profit</t>
        </is>
      </c>
      <c r="B14" s="12" t="n">
        <v>3608565</v>
      </c>
      <c r="C14" s="12" t="n">
        <v>4492340</v>
      </c>
      <c r="D14" s="12" t="n">
        <v>5609405</v>
      </c>
      <c r="E14" s="12" t="n">
        <v>6270811</v>
      </c>
      <c r="F14" s="12" t="n">
        <v>6284132</v>
      </c>
    </row>
    <row r="15">
      <c r="A15" s="10" t="inlineStr">
        <is>
          <t>Income before income tax expense</t>
        </is>
      </c>
      <c r="B15" s="12" t="n">
        <v>1333869</v>
      </c>
      <c r="C15" s="12" t="n">
        <v>1332571</v>
      </c>
      <c r="D15" s="12" t="n">
        <v>2175735</v>
      </c>
      <c r="E15" s="12" t="n">
        <v>2576077</v>
      </c>
      <c r="F15" s="12" t="n">
        <v>2238967</v>
      </c>
    </row>
    <row r="16">
      <c r="A16" s="10" t="inlineStr">
        <is>
          <t>Income from operations</t>
        </is>
      </c>
      <c r="B16" s="12" t="n">
        <v>1333355</v>
      </c>
      <c r="C16" s="12" t="n">
        <v>1328408</v>
      </c>
      <c r="D16" s="12" t="n">
        <v>2132676</v>
      </c>
      <c r="E16" s="12" t="n">
        <v>2505697</v>
      </c>
      <c r="F16" s="12" t="n">
        <v>2210615</v>
      </c>
    </row>
    <row r="17">
      <c r="A17" s="10" t="inlineStr">
        <is>
          <t>Income tax expense</t>
        </is>
      </c>
      <c r="B17" s="12" t="n">
        <v>358547</v>
      </c>
      <c r="C17" s="12" t="n">
        <v>477771</v>
      </c>
      <c r="D17" s="12" t="n">
        <v>625545</v>
      </c>
      <c r="E17" s="12" t="n">
        <v>761461</v>
      </c>
      <c r="F17" s="12" t="n">
        <v>659784</v>
      </c>
    </row>
    <row r="18">
      <c r="A18" s="10" t="inlineStr">
        <is>
          <t>Net income</t>
        </is>
      </c>
      <c r="B18" s="12" t="n">
        <v>975322</v>
      </c>
      <c r="C18" s="12" t="n">
        <v>854800</v>
      </c>
      <c r="D18" s="12" t="n">
        <v>1550190</v>
      </c>
      <c r="E18" s="12" t="n">
        <v>1814616</v>
      </c>
      <c r="F18" s="12" t="n">
        <v>1579183</v>
      </c>
    </row>
    <row r="19">
      <c r="A19" s="10" t="inlineStr">
        <is>
          <t>Net revenue</t>
        </is>
      </c>
      <c r="B19" s="12" t="n">
        <v>6256617</v>
      </c>
      <c r="C19" s="12" t="n">
        <v>8110518</v>
      </c>
      <c r="D19" s="12" t="n">
        <v>9619278</v>
      </c>
      <c r="E19" s="12" t="n">
        <v>10588126</v>
      </c>
      <c r="F19" s="12" t="n">
        <v>11102600</v>
      </c>
    </row>
    <row r="20">
      <c r="A20" s="10" t="inlineStr">
        <is>
          <t>Other comprehensive income (loss), net of tax</t>
        </is>
      </c>
      <c r="B20" s="12" t="n">
        <v>-18762</v>
      </c>
      <c r="C20" s="12" t="n">
        <v>-56667</v>
      </c>
      <c r="D20" s="12" t="n">
        <v>-11672</v>
      </c>
      <c r="E20" s="12" t="n">
        <v>-160185</v>
      </c>
      <c r="F20" s="12" t="n">
        <v>193751</v>
      </c>
    </row>
    <row r="21">
      <c r="A21" s="10" t="inlineStr">
        <is>
          <t>Other income (expense), net</t>
        </is>
      </c>
      <c r="B21" s="12" t="n">
        <v>514</v>
      </c>
      <c r="C21" s="12" t="n">
        <v>4163</v>
      </c>
      <c r="D21" s="12" t="n">
        <v>43059</v>
      </c>
      <c r="E21" s="12" t="n">
        <v>70380</v>
      </c>
      <c r="F21" s="12" t="n">
        <v>28352</v>
      </c>
    </row>
    <row r="22">
      <c r="A22" s="10" t="inlineStr">
        <is>
          <t>Selling, general and administrative expenses</t>
        </is>
      </c>
      <c r="B22" s="12" t="n">
        <v>2225034</v>
      </c>
      <c r="C22" s="12" t="n">
        <v>2757447</v>
      </c>
      <c r="D22" s="12" t="n">
        <v>3397218</v>
      </c>
      <c r="E22" s="12" t="n">
        <v>3762379</v>
      </c>
      <c r="F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44591</v>
      </c>
      <c r="C6" s="11" t="n">
        <v>44955</v>
      </c>
      <c r="D6" s="11" t="n">
        <v>45319</v>
      </c>
      <c r="E6" s="11" t="n">
        <v>45690</v>
      </c>
      <c r="F6" s="11" t="n">
        <v>46054</v>
      </c>
    </row>
    <row r="7">
      <c r="A7" s="10" t="inlineStr">
        <is>
          <t>Accounts receivable, net</t>
        </is>
      </c>
      <c r="B7" s="12" t="n">
        <v>77001</v>
      </c>
      <c r="C7" s="12" t="n">
        <v>132906</v>
      </c>
      <c r="D7" s="12" t="n">
        <v>124769</v>
      </c>
      <c r="E7" s="12" t="n">
        <v>120173</v>
      </c>
      <c r="F7" s="12" t="n">
        <v>190657</v>
      </c>
    </row>
    <row r="8">
      <c r="A8" s="10" t="inlineStr">
        <is>
          <t>Cash and cash equivalents</t>
        </is>
      </c>
      <c r="B8" s="12" t="n">
        <v>1259871</v>
      </c>
      <c r="C8" s="12" t="n">
        <v>1154867</v>
      </c>
      <c r="D8" s="12" t="n">
        <v>2243971</v>
      </c>
      <c r="E8" s="12" t="n">
        <v>1984336</v>
      </c>
      <c r="F8" s="12" t="n">
        <v>1807202</v>
      </c>
    </row>
    <row r="9">
      <c r="A9" s="10" t="inlineStr">
        <is>
          <t>Inventories</t>
        </is>
      </c>
      <c r="B9" s="12" t="n">
        <v>966481</v>
      </c>
      <c r="C9" s="12" t="n">
        <v>1447367</v>
      </c>
      <c r="D9" s="12" t="n">
        <v>1323602</v>
      </c>
      <c r="E9" s="12" t="n">
        <v>1442081</v>
      </c>
      <c r="F9" s="12" t="n">
        <v>1700753</v>
      </c>
    </row>
    <row r="10">
      <c r="A10" s="10" t="inlineStr">
        <is>
          <t>Prepaid and receivable income taxes</t>
        </is>
      </c>
      <c r="B10" s="12" t="n">
        <v>118928</v>
      </c>
      <c r="C10" s="12" t="n">
        <v>185641</v>
      </c>
      <c r="D10" s="12" t="n">
        <v>183733</v>
      </c>
      <c r="E10" s="12" t="n">
        <v>182253</v>
      </c>
      <c r="F10" s="12" t="n">
        <v>352469</v>
      </c>
    </row>
    <row r="11">
      <c r="A11" s="10" t="inlineStr">
        <is>
          <t>Prepaid expenses and other current assets</t>
        </is>
      </c>
      <c r="B11" s="12" t="n">
        <v>192572</v>
      </c>
      <c r="C11" s="12" t="n">
        <v>238672</v>
      </c>
      <c r="D11" s="12" t="n">
        <v>184502</v>
      </c>
      <c r="E11" s="12" t="n">
        <v>251459</v>
      </c>
      <c r="F11" s="12" t="n">
        <v>211620</v>
      </c>
    </row>
    <row r="12">
      <c r="A12" s="10" t="inlineStr">
        <is>
          <t>Total current assets</t>
        </is>
      </c>
      <c r="B12" s="12" t="n">
        <v>2614853</v>
      </c>
      <c r="C12" s="12" t="n">
        <v>3159453</v>
      </c>
      <c r="D12" s="12" t="n">
        <v>4060577</v>
      </c>
      <c r="E12" s="12" t="n">
        <v>3980302</v>
      </c>
      <c r="F12" s="12" t="n">
        <v>4262701</v>
      </c>
    </row>
    <row r="13">
      <c r="A13" s="10" t="inlineStr">
        <is>
          <t>Accounts payable</t>
        </is>
      </c>
      <c r="B13" s="12" t="n">
        <v>289728</v>
      </c>
      <c r="C13" s="12" t="n">
        <v>172732</v>
      </c>
      <c r="D13" s="12" t="n">
        <v>348441</v>
      </c>
      <c r="E13" s="12" t="n">
        <v>271406</v>
      </c>
      <c r="F13" s="12" t="n">
        <v>331421</v>
      </c>
    </row>
    <row r="14">
      <c r="A14" s="10" t="inlineStr">
        <is>
          <t>Accrued compensation and related expenses</t>
        </is>
      </c>
      <c r="B14" s="12" t="n">
        <v>204921</v>
      </c>
      <c r="C14" s="12" t="n">
        <v>248167</v>
      </c>
      <c r="D14" s="12" t="n">
        <v>326110</v>
      </c>
      <c r="E14" s="12" t="n">
        <v>204543</v>
      </c>
      <c r="F14" s="12" t="n">
        <v>187887</v>
      </c>
    </row>
    <row r="15">
      <c r="A15" s="10" t="inlineStr">
        <is>
          <t>Accrued liabilities and other</t>
        </is>
      </c>
      <c r="B15" s="12" t="n">
        <v>330800</v>
      </c>
      <c r="C15" s="12" t="n">
        <v>399223</v>
      </c>
      <c r="D15" s="12" t="n">
        <v>348555</v>
      </c>
      <c r="E15" s="12" t="n">
        <v>559463</v>
      </c>
      <c r="F15" s="12" t="n">
        <v>662982</v>
      </c>
    </row>
    <row r="16">
      <c r="A16" s="10" t="inlineStr">
        <is>
          <t>Current income taxes payable</t>
        </is>
      </c>
      <c r="B16" s="12" t="n">
        <v>133852</v>
      </c>
      <c r="C16" s="12" t="n">
        <v>174221</v>
      </c>
      <c r="D16" s="12" t="n">
        <v>12098</v>
      </c>
      <c r="E16" s="12" t="n">
        <v>183126</v>
      </c>
      <c r="F16" s="12" t="n">
        <v>43948</v>
      </c>
    </row>
    <row r="17">
      <c r="A17" s="10" t="inlineStr">
        <is>
          <t>Current lease liabilities</t>
        </is>
      </c>
      <c r="B17" s="12" t="n">
        <v>188996</v>
      </c>
      <c r="C17" s="12" t="n">
        <v>207972</v>
      </c>
      <c r="D17" s="12" t="n">
        <v>249270</v>
      </c>
      <c r="E17" s="12" t="n">
        <v>275154</v>
      </c>
      <c r="F17" s="12" t="n">
        <v>298724</v>
      </c>
    </row>
    <row r="18">
      <c r="A18" s="10" t="inlineStr">
        <is>
          <t>Other current liabilities</t>
        </is>
      </c>
      <c r="B18" s="12" t="n">
        <v>48842</v>
      </c>
      <c r="C18" s="12" t="n">
        <v>38405</v>
      </c>
      <c r="D18" s="12" t="n">
        <v>40308</v>
      </c>
      <c r="E18" s="12" t="n">
        <v>37586</v>
      </c>
      <c r="F18" s="12" t="n">
        <v>45954</v>
      </c>
    </row>
    <row r="19">
      <c r="A19" s="10" t="inlineStr">
        <is>
          <t>Total current liabilities</t>
        </is>
      </c>
      <c r="B19" s="12" t="n">
        <v>1405334</v>
      </c>
      <c r="C19" s="12" t="n">
        <v>1492198</v>
      </c>
      <c r="D19" s="12" t="n">
        <v>1631261</v>
      </c>
      <c r="E19" s="12" t="n">
        <v>1839630</v>
      </c>
      <c r="F19" s="12" t="n">
        <v>1887548</v>
      </c>
    </row>
    <row r="20">
      <c r="A20" s="10" t="inlineStr">
        <is>
          <t>Unredeemed gift card liability</t>
        </is>
      </c>
      <c r="B20" s="12" t="n">
        <v>208195</v>
      </c>
      <c r="C20" s="12" t="n">
        <v>251478</v>
      </c>
      <c r="D20" s="12" t="n">
        <v>306479</v>
      </c>
      <c r="E20" s="12" t="n">
        <v>308352</v>
      </c>
      <c r="F20" s="12" t="n">
        <v>316632</v>
      </c>
    </row>
    <row r="21">
      <c r="A21" s="10" t="inlineStr">
        <is>
          <t>Deferred income tax assets</t>
        </is>
      </c>
      <c r="B21" s="12" t="n">
        <v>6091</v>
      </c>
      <c r="C21" s="12" t="n">
        <v>6402</v>
      </c>
      <c r="D21" s="12" t="n">
        <v>9176</v>
      </c>
      <c r="E21" s="12" t="n">
        <v>17085</v>
      </c>
      <c r="F21" s="12" t="n">
        <v>24037</v>
      </c>
    </row>
    <row r="22">
      <c r="A22" s="10" t="inlineStr">
        <is>
          <t>Goodwill</t>
        </is>
      </c>
      <c r="B22" s="12" t="n">
        <v>386880</v>
      </c>
      <c r="C22" s="12" t="n">
        <v>24144</v>
      </c>
      <c r="D22" s="12" t="n">
        <v>24083</v>
      </c>
      <c r="E22" s="12" t="n">
        <v>159518</v>
      </c>
      <c r="F22" s="12" t="n">
        <v>184911</v>
      </c>
    </row>
    <row r="23">
      <c r="A23" s="10" t="inlineStr">
        <is>
          <t>Intangible assets, net</t>
        </is>
      </c>
      <c r="B23" s="12" t="n">
        <v>71299</v>
      </c>
      <c r="C23" s="12" t="n">
        <v>21961</v>
      </c>
      <c r="D23" s="12" t="n">
        <v>0</v>
      </c>
      <c r="E23" s="12" t="n">
        <v>11673</v>
      </c>
      <c r="F23" s="12" t="n">
        <v>6283</v>
      </c>
    </row>
    <row r="24">
      <c r="A24" s="10" t="inlineStr">
        <is>
          <t>Other non-current assets</t>
        </is>
      </c>
      <c r="B24" s="12" t="n">
        <v>132102</v>
      </c>
      <c r="C24" s="12" t="n">
        <v>156045</v>
      </c>
      <c r="D24" s="12" t="n">
        <v>186684</v>
      </c>
      <c r="E24" s="12" t="n">
        <v>237841</v>
      </c>
      <c r="F24" s="12" t="n">
        <v>314910</v>
      </c>
    </row>
    <row r="25">
      <c r="A25" s="10" t="inlineStr">
        <is>
          <t>Property and equipment, net</t>
        </is>
      </c>
      <c r="B25" s="12" t="n">
        <v>927710</v>
      </c>
      <c r="C25" s="12" t="n">
        <v>1269614</v>
      </c>
      <c r="D25" s="12" t="n">
        <v>1545811</v>
      </c>
      <c r="E25" s="12" t="n">
        <v>1780617</v>
      </c>
      <c r="F25" s="12" t="n">
        <v>2033720</v>
      </c>
    </row>
    <row r="26">
      <c r="A26" s="10" t="inlineStr">
        <is>
          <t>Right-of-use lease assets</t>
        </is>
      </c>
      <c r="B26" s="12" t="n">
        <v>803543</v>
      </c>
      <c r="C26" s="12" t="n">
        <v>969419</v>
      </c>
      <c r="D26" s="12" t="n">
        <v>1265610</v>
      </c>
      <c r="E26" s="12" t="n">
        <v>1416256</v>
      </c>
      <c r="F26" s="12" t="n">
        <v>1630181</v>
      </c>
    </row>
    <row r="27">
      <c r="A27" s="10" t="inlineStr">
        <is>
          <t>Deferred income tax liabilities</t>
        </is>
      </c>
      <c r="B27" s="12" t="n">
        <v>53352</v>
      </c>
      <c r="C27" s="12" t="n">
        <v>55084</v>
      </c>
      <c r="D27" s="12" t="n">
        <v>29522</v>
      </c>
      <c r="E27" s="12" t="n">
        <v>98188</v>
      </c>
      <c r="F27" s="12" t="n">
        <v>52278</v>
      </c>
    </row>
    <row r="28">
      <c r="A28" s="10" t="inlineStr">
        <is>
          <t>Non-current income taxes payable</t>
        </is>
      </c>
      <c r="B28" s="12" t="n">
        <v>38074</v>
      </c>
      <c r="C28" s="12" t="n">
        <v>28555</v>
      </c>
      <c r="D28" s="12" t="n">
        <v>15864</v>
      </c>
      <c r="E28" s="12" t="n">
        <v>0</v>
      </c>
      <c r="F28" s="12" t="n"/>
    </row>
    <row r="29">
      <c r="A29" s="10" t="inlineStr">
        <is>
          <t>Non-current lease liabilities</t>
        </is>
      </c>
      <c r="B29" s="12" t="n">
        <v>692056</v>
      </c>
      <c r="C29" s="12" t="n">
        <v>862362</v>
      </c>
      <c r="D29" s="12" t="n">
        <v>1154012</v>
      </c>
      <c r="E29" s="12" t="n">
        <v>1300637</v>
      </c>
      <c r="F29" s="12" t="n">
        <v>1499717</v>
      </c>
    </row>
    <row r="30">
      <c r="A30" s="10" t="inlineStr">
        <is>
          <t>Other non-current liabilities</t>
        </is>
      </c>
      <c r="B30" s="12" t="n">
        <v>13616</v>
      </c>
      <c r="C30" s="12" t="n">
        <v>20040</v>
      </c>
      <c r="D30" s="12" t="n">
        <v>29201</v>
      </c>
      <c r="E30" s="12" t="n">
        <v>40790</v>
      </c>
      <c r="F30" s="12" t="n">
        <v>55360</v>
      </c>
    </row>
    <row r="31">
      <c r="A31" s="10" t="inlineStr">
        <is>
          <t>Accumulated other comprehensive loss</t>
        </is>
      </c>
      <c r="B31" s="12" t="n">
        <v>-195917</v>
      </c>
      <c r="C31" s="12" t="n">
        <v>-252584</v>
      </c>
      <c r="D31" s="12" t="n">
        <v>-264256</v>
      </c>
      <c r="E31" s="12" t="n">
        <v>-424441</v>
      </c>
      <c r="F31" s="12" t="n">
        <v>-230690</v>
      </c>
    </row>
    <row r="32">
      <c r="A32" s="10" t="inlineStr">
        <is>
          <t>Additional paid-in capital</t>
        </is>
      </c>
      <c r="B32" s="12" t="n">
        <v>422507</v>
      </c>
      <c r="C32" s="12" t="n">
        <v>474645</v>
      </c>
      <c r="D32" s="12" t="n">
        <v>575369</v>
      </c>
      <c r="E32" s="12" t="n">
        <v>638190</v>
      </c>
      <c r="F32" s="12" t="n">
        <v>669392</v>
      </c>
    </row>
    <row r="33">
      <c r="A33" s="10" t="inlineStr">
        <is>
          <t>Common stock</t>
        </is>
      </c>
      <c r="B33" s="12" t="n">
        <v>616</v>
      </c>
      <c r="C33" s="12" t="n">
        <v>611</v>
      </c>
      <c r="D33" s="12" t="n">
        <v>606</v>
      </c>
      <c r="E33" s="12" t="n">
        <v>581</v>
      </c>
      <c r="F33" s="12" t="n">
        <v>557</v>
      </c>
    </row>
    <row r="34">
      <c r="A34" s="10" t="inlineStr">
        <is>
          <t>Retained earnings</t>
        </is>
      </c>
      <c r="B34" s="12" t="n">
        <v>2512840</v>
      </c>
      <c r="C34" s="12" t="n">
        <v>2926127</v>
      </c>
      <c r="D34" s="12" t="n">
        <v>3920362</v>
      </c>
      <c r="E34" s="12" t="n">
        <v>4109717</v>
      </c>
      <c r="F34" s="12" t="n">
        <v>4522581</v>
      </c>
    </row>
    <row r="35">
      <c r="A35" s="10" t="inlineStr">
        <is>
          <t>Total stockholders' equity</t>
        </is>
      </c>
      <c r="B35" s="12" t="n">
        <v>2740046</v>
      </c>
      <c r="C35" s="12" t="n">
        <v>3148799</v>
      </c>
      <c r="D35" s="12" t="n">
        <v>4232081</v>
      </c>
      <c r="E35" s="12" t="n">
        <v>4324047</v>
      </c>
      <c r="F35" s="12" t="n">
        <v>4961840</v>
      </c>
    </row>
    <row r="36">
      <c r="A36" s="10" t="inlineStr">
        <is>
          <t>Total assets</t>
        </is>
      </c>
      <c r="B36" s="12" t="n">
        <v>4942478</v>
      </c>
      <c r="C36" s="12" t="n">
        <v>5607038</v>
      </c>
      <c r="D36" s="12" t="n">
        <v>7091941</v>
      </c>
      <c r="E36" s="12" t="n">
        <v>7603292</v>
      </c>
      <c r="F36" s="12" t="n">
        <v>8456743</v>
      </c>
    </row>
    <row r="37">
      <c r="A37" s="10" t="inlineStr">
        <is>
          <t>Total liabilities and stockholders' equity</t>
        </is>
      </c>
      <c r="B37" s="12" t="n">
        <v>4942478</v>
      </c>
      <c r="C37" s="12" t="n">
        <v>5607038</v>
      </c>
      <c r="D37" s="12" t="n">
        <v>7091941</v>
      </c>
      <c r="E37" s="12" t="n">
        <v>7603292</v>
      </c>
      <c r="F37" s="12" t="n">
        <v>8456743</v>
      </c>
    </row>
    <row r="38">
      <c r="A38" s="10" t="inlineStr">
        <is>
          <t>Total liabilities</t>
        </is>
      </c>
      <c r="B38" s="12" t="n">
        <v>2202432</v>
      </c>
      <c r="C38" s="12" t="n">
        <v>2458239</v>
      </c>
      <c r="D38" s="12" t="n">
        <v>2859860</v>
      </c>
      <c r="E38" s="12" t="n">
        <v>3279245</v>
      </c>
      <c r="F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44591</v>
      </c>
      <c r="C6" s="11" t="n">
        <v>44955</v>
      </c>
      <c r="D6" s="11" t="n">
        <v>45319</v>
      </c>
      <c r="E6" s="11" t="n">
        <v>45690</v>
      </c>
      <c r="F6" s="11" t="n">
        <v>46054</v>
      </c>
    </row>
    <row r="7">
      <c r="A7" s="10" t="inlineStr">
        <is>
          <t>Net cash used in financing activities</t>
        </is>
      </c>
      <c r="B7" s="12" t="n">
        <v>-844987</v>
      </c>
      <c r="C7" s="12" t="n">
        <v>-467487</v>
      </c>
      <c r="D7" s="12" t="n">
        <v>-548828</v>
      </c>
      <c r="E7" s="12" t="n">
        <v>-1652508</v>
      </c>
      <c r="F7" s="12" t="n">
        <v>-1208656</v>
      </c>
    </row>
    <row r="8">
      <c r="A8" s="10" t="inlineStr">
        <is>
          <t>Other financing activities</t>
        </is>
      </c>
      <c r="B8" s="12" t="n">
        <v>-770</v>
      </c>
      <c r="C8" s="12" t="n">
        <v>-32</v>
      </c>
      <c r="D8" s="12" t="n">
        <v>-32</v>
      </c>
      <c r="E8" s="12" t="n">
        <v>-32</v>
      </c>
      <c r="F8" s="12" t="n">
        <v>-11312</v>
      </c>
    </row>
    <row r="9">
      <c r="A9" s="10" t="inlineStr">
        <is>
          <t>Proceeds from settlement of stock-based compensation</t>
        </is>
      </c>
      <c r="B9" s="12" t="n">
        <v>18194</v>
      </c>
      <c r="C9" s="12" t="n">
        <v>11704</v>
      </c>
      <c r="D9" s="12" t="n">
        <v>42430</v>
      </c>
      <c r="E9" s="12" t="n">
        <v>19813</v>
      </c>
      <c r="F9" s="12" t="n">
        <v>8377</v>
      </c>
    </row>
    <row r="10">
      <c r="A10" s="10" t="inlineStr">
        <is>
          <t>Repurchase of common stock</t>
        </is>
      </c>
      <c r="B10" s="12" t="n">
        <v>-812602</v>
      </c>
      <c r="C10" s="12" t="n">
        <v>-444001</v>
      </c>
      <c r="D10" s="12" t="n">
        <v>-558652</v>
      </c>
      <c r="E10" s="12" t="n">
        <v>-1636879</v>
      </c>
      <c r="F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-49809</v>
      </c>
      <c r="C11" s="12" t="n">
        <v>-35158</v>
      </c>
      <c r="D11" s="12" t="n">
        <v>-32574</v>
      </c>
      <c r="E11" s="12" t="n">
        <v>-35410</v>
      </c>
      <c r="F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0</v>
      </c>
      <c r="E12" s="12" t="n">
        <v>-154146</v>
      </c>
      <c r="F12" s="12" t="n">
        <v>0</v>
      </c>
    </row>
    <row r="13">
      <c r="A13" s="10" t="inlineStr">
        <is>
          <t>Net cash used in investing activities</t>
        </is>
      </c>
      <c r="B13" s="12" t="n">
        <v>-427891</v>
      </c>
      <c r="C13" s="12" t="n">
        <v>-569937</v>
      </c>
      <c r="D13" s="12" t="n">
        <v>-654132</v>
      </c>
      <c r="E13" s="12" t="n">
        <v>-798174</v>
      </c>
      <c r="F13" s="12" t="n">
        <v>-662118</v>
      </c>
    </row>
    <row r="14">
      <c r="A14" s="10" t="inlineStr">
        <is>
          <t>Other investing activities</t>
        </is>
      </c>
      <c r="B14" s="12" t="n">
        <v>-10000</v>
      </c>
      <c r="C14" s="12" t="n">
        <v>20916</v>
      </c>
      <c r="D14" s="12" t="n">
        <v>-658</v>
      </c>
      <c r="E14" s="12" t="n">
        <v>-5009</v>
      </c>
      <c r="F14" s="12" t="n">
        <v>-8521</v>
      </c>
    </row>
    <row r="15">
      <c r="A15" s="10" t="inlineStr">
        <is>
          <t>Purchase of property and equipment</t>
        </is>
      </c>
      <c r="B15" s="12" t="n">
        <v>-394502</v>
      </c>
      <c r="C15" s="12" t="n">
        <v>-638657</v>
      </c>
      <c r="D15" s="12" t="n">
        <v>-651865</v>
      </c>
      <c r="E15" s="12" t="n">
        <v>-689232</v>
      </c>
      <c r="F15" s="12" t="n">
        <v>-680802</v>
      </c>
    </row>
    <row r="16">
      <c r="A16" s="10" t="inlineStr">
        <is>
          <t>Settlement of net investment hedges</t>
        </is>
      </c>
      <c r="B16" s="12" t="n">
        <v>-23389</v>
      </c>
      <c r="C16" s="12" t="n">
        <v>47804</v>
      </c>
      <c r="D16" s="12" t="n">
        <v>-1609</v>
      </c>
      <c r="E16" s="12" t="n">
        <v>50213</v>
      </c>
      <c r="F16" s="12" t="n">
        <v>27205</v>
      </c>
    </row>
    <row r="17">
      <c r="A17" s="10" t="inlineStr">
        <is>
          <t>Accounts payable</t>
        </is>
      </c>
      <c r="B17" s="12" t="n">
        <v>117655</v>
      </c>
      <c r="C17" s="12" t="n">
        <v>-107280</v>
      </c>
      <c r="D17" s="12" t="n">
        <v>177367</v>
      </c>
      <c r="E17" s="12" t="n">
        <v>-57044</v>
      </c>
      <c r="F17" s="12" t="n">
        <v>45856</v>
      </c>
    </row>
    <row r="18">
      <c r="A18" s="10" t="inlineStr">
        <is>
          <t>Accrued compensation and related expenses</t>
        </is>
      </c>
      <c r="B18" s="12" t="n">
        <v>75273</v>
      </c>
      <c r="C18" s="12" t="n">
        <v>47254</v>
      </c>
      <c r="D18" s="12" t="n">
        <v>70327</v>
      </c>
      <c r="E18" s="12" t="n">
        <v>-112110</v>
      </c>
      <c r="F18" s="12" t="n">
        <v>-24737</v>
      </c>
    </row>
    <row r="19">
      <c r="A19" s="10" t="inlineStr">
        <is>
          <t>Accrued liabilities and other</t>
        </is>
      </c>
      <c r="B19" s="12" t="n">
        <v>103878</v>
      </c>
      <c r="C19" s="12" t="n">
        <v>65364</v>
      </c>
      <c r="D19" s="12" t="n">
        <v>-71734</v>
      </c>
      <c r="E19" s="12" t="n">
        <v>193139</v>
      </c>
      <c r="F19" s="12" t="n">
        <v>98421</v>
      </c>
    </row>
    <row r="20">
      <c r="A20" s="10" t="inlineStr">
        <is>
          <t>Current and non-current income taxes payable</t>
        </is>
      </c>
      <c r="B20" s="12" t="n">
        <v>120778</v>
      </c>
      <c r="C20" s="12" t="n">
        <v>35986</v>
      </c>
      <c r="D20" s="12" t="n">
        <v>-173196</v>
      </c>
      <c r="E20" s="12" t="n">
        <v>157205</v>
      </c>
      <c r="F20" s="12" t="n">
        <v>-150496</v>
      </c>
    </row>
    <row r="21">
      <c r="A21" s="10" t="inlineStr">
        <is>
          <t>Deferred income taxes</t>
        </is>
      </c>
      <c r="B21" s="12" t="n">
        <v>-5180</v>
      </c>
      <c r="C21" s="12" t="n">
        <v>3042</v>
      </c>
      <c r="D21" s="12" t="n">
        <v>-28383</v>
      </c>
      <c r="E21" s="12" t="n">
        <v>57451</v>
      </c>
      <c r="F21" s="12" t="n">
        <v>-53379</v>
      </c>
    </row>
    <row r="22">
      <c r="A22" s="10" t="inlineStr">
        <is>
          <t>Depreciation and amortization</t>
        </is>
      </c>
      <c r="B22" s="12" t="n">
        <v>224206</v>
      </c>
      <c r="C22" s="12" t="n">
        <v>291791</v>
      </c>
      <c r="D22" s="12" t="n">
        <v>379384</v>
      </c>
      <c r="E22" s="12" t="n">
        <v>446524</v>
      </c>
      <c r="F22" s="12" t="n">
        <v>496228</v>
      </c>
    </row>
    <row r="23">
      <c r="A23" s="10" t="inlineStr">
        <is>
          <t>Derecognition of unredeemed gift card liability</t>
        </is>
      </c>
      <c r="B23" s="12" t="n">
        <v>-18699</v>
      </c>
      <c r="C23" s="12" t="n">
        <v>-23337</v>
      </c>
      <c r="D23" s="12" t="n">
        <v>-28547</v>
      </c>
      <c r="E23" s="12" t="n">
        <v>-36231</v>
      </c>
      <c r="F23" s="12" t="n">
        <v>-37766</v>
      </c>
    </row>
    <row r="24">
      <c r="A24" s="10" t="inlineStr">
        <is>
          <t>Inventories</t>
        </is>
      </c>
      <c r="B24" s="12" t="n">
        <v>-323609</v>
      </c>
      <c r="C24" s="12" t="n">
        <v>-573438</v>
      </c>
      <c r="D24" s="12" t="n">
        <v>66584</v>
      </c>
      <c r="E24" s="12" t="n">
        <v>-156085</v>
      </c>
      <c r="F24" s="12" t="n">
        <v>-188710</v>
      </c>
    </row>
    <row r="25">
      <c r="A25" s="10" t="inlineStr">
        <is>
          <t>lululemon Studio obsolescence provision</t>
        </is>
      </c>
      <c r="B25" s="12" t="n">
        <v>0</v>
      </c>
      <c r="C25" s="12" t="n">
        <v>62928</v>
      </c>
      <c r="D25" s="12" t="n">
        <v>23709</v>
      </c>
      <c r="E25" s="12" t="n">
        <v>0</v>
      </c>
      <c r="F25" s="12" t="n">
        <v>0</v>
      </c>
    </row>
    <row r="26">
      <c r="A26" s="10" t="inlineStr">
        <is>
          <t>Net cash provided by operating activities</t>
        </is>
      </c>
      <c r="B26" s="12" t="n">
        <v>1389108</v>
      </c>
      <c r="C26" s="12" t="n">
        <v>966463</v>
      </c>
      <c r="D26" s="12" t="n">
        <v>2296164</v>
      </c>
      <c r="E26" s="12" t="n">
        <v>2272713</v>
      </c>
      <c r="F26" s="12" t="n">
        <v>1602477</v>
      </c>
    </row>
    <row r="27">
      <c r="A27" s="10" t="inlineStr">
        <is>
          <t>Net income</t>
        </is>
      </c>
      <c r="B27" s="12" t="n">
        <v>975322</v>
      </c>
      <c r="C27" s="12" t="n">
        <v>854800</v>
      </c>
      <c r="D27" s="12" t="n">
        <v>1550190</v>
      </c>
      <c r="E27" s="12" t="n">
        <v>1814616</v>
      </c>
      <c r="F27" s="12" t="n">
        <v>1579183</v>
      </c>
    </row>
    <row r="28">
      <c r="A28" s="10" t="inlineStr">
        <is>
          <t>Other current and non-current liabilities</t>
        </is>
      </c>
      <c r="B28" s="12" t="n">
        <v>30073</v>
      </c>
      <c r="C28" s="12" t="n">
        <v>-2925</v>
      </c>
      <c r="D28" s="12" t="n">
        <v>12230</v>
      </c>
      <c r="E28" s="12" t="n">
        <v>2488</v>
      </c>
      <c r="F28" s="12" t="n">
        <v>20632</v>
      </c>
    </row>
    <row r="29">
      <c r="A29" s="10" t="inlineStr">
        <is>
          <t>Other non-current assets</t>
        </is>
      </c>
      <c r="B29" s="12" t="n">
        <v>-17556</v>
      </c>
      <c r="C29" s="12" t="n">
        <v>-36518</v>
      </c>
      <c r="D29" s="12" t="n">
        <v>-53280</v>
      </c>
      <c r="E29" s="12" t="n">
        <v>-73205</v>
      </c>
      <c r="F29" s="12" t="n">
        <v>-70351</v>
      </c>
    </row>
    <row r="30">
      <c r="A30" s="10" t="inlineStr">
        <is>
          <t>Prepaid and receivable income taxes</t>
        </is>
      </c>
      <c r="B30" s="12" t="n">
        <v>20108</v>
      </c>
      <c r="C30" s="12" t="n">
        <v>-66714</v>
      </c>
      <c r="D30" s="12" t="n">
        <v>1908</v>
      </c>
      <c r="E30" s="12" t="n">
        <v>-2031</v>
      </c>
      <c r="F30" s="12" t="n">
        <v>-170216</v>
      </c>
    </row>
    <row r="31">
      <c r="A31" s="10" t="inlineStr">
        <is>
          <t>Prepaid expenses and other current assets</t>
        </is>
      </c>
      <c r="B31" s="12" t="n">
        <v>-82404</v>
      </c>
      <c r="C31" s="12" t="n">
        <v>-54833</v>
      </c>
      <c r="D31" s="12" t="n">
        <v>40587</v>
      </c>
      <c r="E31" s="12" t="n">
        <v>-71789</v>
      </c>
      <c r="F31" s="12" t="n">
        <v>47779</v>
      </c>
    </row>
    <row r="32">
      <c r="A32" s="10" t="inlineStr">
        <is>
          <t>Right-of-use lease assets and current and non-current lease liabilities</t>
        </is>
      </c>
      <c r="B32" s="12" t="n">
        <v>13494</v>
      </c>
      <c r="C32" s="12" t="n">
        <v>23905</v>
      </c>
      <c r="D32" s="12" t="n">
        <v>37535</v>
      </c>
      <c r="E32" s="12" t="n">
        <v>23501</v>
      </c>
      <c r="F32" s="12" t="n">
        <v>6884</v>
      </c>
    </row>
    <row r="33">
      <c r="A33" s="10" t="inlineStr">
        <is>
          <t>Settlement of derivatives not designated in a hedging relationship</t>
        </is>
      </c>
      <c r="B33" s="12" t="n">
        <v>15191</v>
      </c>
      <c r="C33" s="12" t="n">
        <v>-38649</v>
      </c>
      <c r="D33" s="12" t="n">
        <v>32527</v>
      </c>
      <c r="E33" s="12" t="n">
        <v>-47763</v>
      </c>
      <c r="F33" s="12" t="n">
        <v>-34552</v>
      </c>
    </row>
    <row r="34">
      <c r="A34" s="10" t="inlineStr">
        <is>
          <t>Stock-based compensation expense</t>
        </is>
      </c>
      <c r="B34" s="12" t="n">
        <v>69137</v>
      </c>
      <c r="C34" s="12" t="n">
        <v>78075</v>
      </c>
      <c r="D34" s="12" t="n">
        <v>93560</v>
      </c>
      <c r="E34" s="12" t="n">
        <v>90011</v>
      </c>
      <c r="F34" s="12" t="n">
        <v>62203</v>
      </c>
    </row>
    <row r="35">
      <c r="A35" s="10" t="inlineStr">
        <is>
          <t>Unredeemed gift card liability</t>
        </is>
      </c>
      <c r="B35" s="12" t="n">
        <v>71441</v>
      </c>
      <c r="C35" s="12" t="n">
        <v>68266</v>
      </c>
      <c r="D35" s="12" t="n">
        <v>84315</v>
      </c>
      <c r="E35" s="12" t="n">
        <v>42410</v>
      </c>
      <c r="F35" s="12" t="n">
        <v>41253</v>
      </c>
    </row>
    <row r="36">
      <c r="A36" s="10" t="inlineStr">
        <is>
          <t>Cash and cash equivalents, beginning of period</t>
        </is>
      </c>
      <c r="B36" s="12" t="n">
        <v>1150517</v>
      </c>
      <c r="C36" s="12" t="n">
        <v>1259871</v>
      </c>
      <c r="D36" s="12" t="n">
        <v>1154867</v>
      </c>
      <c r="E36" s="12" t="n">
        <v>2243971</v>
      </c>
      <c r="F36" s="12" t="n">
        <v>1984336</v>
      </c>
    </row>
    <row r="37">
      <c r="A37" s="10" t="inlineStr">
        <is>
          <t>Cash and cash equivalents, end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  <c r="F37" s="12" t="n">
        <v>1807202</v>
      </c>
    </row>
    <row r="38">
      <c r="A38" s="10" t="inlineStr">
        <is>
          <t>Effect of foreign currency exchange rate changes on cash and cash equivalents</t>
        </is>
      </c>
      <c r="B38" s="12" t="n">
        <v>-6876</v>
      </c>
      <c r="C38" s="12" t="n">
        <v>-34043</v>
      </c>
      <c r="D38" s="12" t="n">
        <v>-4100</v>
      </c>
      <c r="E38" s="12" t="n">
        <v>-81666</v>
      </c>
      <c r="F38" s="12" t="n">
        <v>91163</v>
      </c>
    </row>
    <row r="39">
      <c r="A39" s="10" t="inlineStr">
        <is>
          <t>Increase (decrease) in cash and cash equivalents</t>
        </is>
      </c>
      <c r="B39" s="12" t="n">
        <v>109354</v>
      </c>
      <c r="C39" s="12" t="n">
        <v>-105004</v>
      </c>
      <c r="D39" s="12" t="n">
        <v>1089104</v>
      </c>
      <c r="E39" s="12" t="n">
        <v>-259635</v>
      </c>
      <c r="F39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44591</v>
      </c>
      <c r="D5" s="11" t="n">
        <v>44955</v>
      </c>
      <c r="E5" s="11" t="n">
        <v>45319</v>
      </c>
      <c r="F5" s="11" t="n">
        <v>45690</v>
      </c>
      <c r="G5" s="11" t="n">
        <v>46054</v>
      </c>
      <c r="H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77001</v>
      </c>
      <c r="D6" s="12" t="n">
        <v>132906</v>
      </c>
      <c r="E6" s="12" t="n">
        <v>124769</v>
      </c>
      <c r="F6" s="12" t="n">
        <v>120173</v>
      </c>
      <c r="G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1259871</v>
      </c>
      <c r="D7" s="12" t="n">
        <v>1154867</v>
      </c>
      <c r="E7" s="12" t="n">
        <v>2243971</v>
      </c>
      <c r="F7" s="12" t="n">
        <v>1984336</v>
      </c>
      <c r="G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966481</v>
      </c>
      <c r="D8" s="12" t="n">
        <v>1447367</v>
      </c>
      <c r="E8" s="12" t="n">
        <v>1323602</v>
      </c>
      <c r="F8" s="12" t="n">
        <v>1442081</v>
      </c>
      <c r="G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118928</v>
      </c>
      <c r="D9" s="12" t="n">
        <v>185641</v>
      </c>
      <c r="E9" s="12" t="n">
        <v>183733</v>
      </c>
      <c r="F9" s="12" t="n">
        <v>182253</v>
      </c>
      <c r="G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192572</v>
      </c>
      <c r="D10" s="12" t="n">
        <v>238672</v>
      </c>
      <c r="E10" s="12" t="n">
        <v>184502</v>
      </c>
      <c r="F10" s="12" t="n">
        <v>251459</v>
      </c>
      <c r="G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289728</v>
      </c>
      <c r="D11" s="12" t="n">
        <v>172732</v>
      </c>
      <c r="E11" s="12" t="n">
        <v>348441</v>
      </c>
      <c r="F11" s="12" t="n">
        <v>271406</v>
      </c>
      <c r="G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204921</v>
      </c>
      <c r="D12" s="12" t="n">
        <v>248167</v>
      </c>
      <c r="E12" s="12" t="n">
        <v>326110</v>
      </c>
      <c r="F12" s="12" t="n">
        <v>204543</v>
      </c>
      <c r="G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330800</v>
      </c>
      <c r="D13" s="12" t="n">
        <v>399223</v>
      </c>
      <c r="E13" s="12" t="n">
        <v>348555</v>
      </c>
      <c r="F13" s="12" t="n">
        <v>559463</v>
      </c>
      <c r="G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133852</v>
      </c>
      <c r="D14" s="12" t="n">
        <v>174221</v>
      </c>
      <c r="E14" s="12" t="n">
        <v>12098</v>
      </c>
      <c r="F14" s="12" t="n">
        <v>183126</v>
      </c>
      <c r="G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188996</v>
      </c>
      <c r="D15" s="12" t="n">
        <v>207972</v>
      </c>
      <c r="E15" s="12" t="n">
        <v>249270</v>
      </c>
      <c r="F15" s="12" t="n">
        <v>275154</v>
      </c>
      <c r="G15" s="12" t="n">
        <v>298724</v>
      </c>
      <c r="H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48842</v>
      </c>
      <c r="D16" s="12" t="n">
        <v>38405</v>
      </c>
      <c r="E16" s="12" t="n">
        <v>40308</v>
      </c>
      <c r="F16" s="12" t="n">
        <v>37586</v>
      </c>
      <c r="G16" s="12" t="n">
        <v>45954</v>
      </c>
      <c r="H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208195</v>
      </c>
      <c r="D17" s="12" t="n">
        <v>251478</v>
      </c>
      <c r="E17" s="12" t="n">
        <v>306479</v>
      </c>
      <c r="F17" s="12" t="n">
        <v>308352</v>
      </c>
      <c r="G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6091</v>
      </c>
      <c r="D18" s="12" t="n">
        <v>6402</v>
      </c>
      <c r="E18" s="12" t="n">
        <v>9176</v>
      </c>
      <c r="F18" s="12" t="n">
        <v>17085</v>
      </c>
      <c r="G18" s="12" t="n">
        <v>24037</v>
      </c>
      <c r="H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386880</v>
      </c>
      <c r="D19" s="12" t="n">
        <v>24144</v>
      </c>
      <c r="E19" s="12" t="n">
        <v>24083</v>
      </c>
      <c r="F19" s="12" t="n">
        <v>159518</v>
      </c>
      <c r="G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71299</v>
      </c>
      <c r="D20" s="12" t="n">
        <v>21961</v>
      </c>
      <c r="E20" s="12" t="n">
        <v>0</v>
      </c>
      <c r="F20" s="12" t="n">
        <v>11673</v>
      </c>
      <c r="G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132102</v>
      </c>
      <c r="D21" s="12" t="n">
        <v>156045</v>
      </c>
      <c r="E21" s="12" t="n">
        <v>186684</v>
      </c>
      <c r="F21" s="12" t="n">
        <v>237841</v>
      </c>
      <c r="G21" s="12" t="n">
        <v>314910</v>
      </c>
      <c r="H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927710</v>
      </c>
      <c r="D22" s="12" t="n">
        <v>1269614</v>
      </c>
      <c r="E22" s="12" t="n">
        <v>1545811</v>
      </c>
      <c r="F22" s="12" t="n">
        <v>1780617</v>
      </c>
      <c r="G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803543</v>
      </c>
      <c r="D23" s="12" t="n">
        <v>969419</v>
      </c>
      <c r="E23" s="12" t="n">
        <v>1265610</v>
      </c>
      <c r="F23" s="12" t="n">
        <v>1416256</v>
      </c>
      <c r="G23" s="12" t="n">
        <v>1630181</v>
      </c>
      <c r="H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53352</v>
      </c>
      <c r="D24" s="12" t="n">
        <v>55084</v>
      </c>
      <c r="E24" s="12" t="n">
        <v>29522</v>
      </c>
      <c r="F24" s="12" t="n">
        <v>98188</v>
      </c>
      <c r="G24" s="12" t="n">
        <v>52278</v>
      </c>
      <c r="H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38074</v>
      </c>
      <c r="D25" s="12" t="n">
        <v>28555</v>
      </c>
      <c r="E25" s="12" t="n">
        <v>15864</v>
      </c>
      <c r="F25" s="12" t="n">
        <v>0</v>
      </c>
      <c r="G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692056</v>
      </c>
      <c r="D26" s="12" t="n">
        <v>862362</v>
      </c>
      <c r="E26" s="12" t="n">
        <v>1154012</v>
      </c>
      <c r="F26" s="12" t="n">
        <v>1300637</v>
      </c>
      <c r="G26" s="12" t="n">
        <v>1499717</v>
      </c>
      <c r="H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13616</v>
      </c>
      <c r="D27" s="12" t="n">
        <v>20040</v>
      </c>
      <c r="E27" s="12" t="n">
        <v>29201</v>
      </c>
      <c r="F27" s="12" t="n">
        <v>40790</v>
      </c>
      <c r="G27" s="12" t="n">
        <v>55360</v>
      </c>
      <c r="H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-195917</v>
      </c>
      <c r="D28" s="12" t="n">
        <v>-252584</v>
      </c>
      <c r="E28" s="12" t="n">
        <v>-264256</v>
      </c>
      <c r="F28" s="12" t="n">
        <v>-424441</v>
      </c>
      <c r="G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422507</v>
      </c>
      <c r="D29" s="12" t="n">
        <v>474645</v>
      </c>
      <c r="E29" s="12" t="n">
        <v>575369</v>
      </c>
      <c r="F29" s="12" t="n">
        <v>638190</v>
      </c>
      <c r="G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616</v>
      </c>
      <c r="D30" s="12" t="n">
        <v>611</v>
      </c>
      <c r="E30" s="12" t="n">
        <v>606</v>
      </c>
      <c r="F30" s="12" t="n">
        <v>581</v>
      </c>
      <c r="G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2512840</v>
      </c>
      <c r="D31" s="12" t="n">
        <v>2926127</v>
      </c>
      <c r="E31" s="12" t="n">
        <v>3920362</v>
      </c>
      <c r="F31" s="12" t="n">
        <v>4109717</v>
      </c>
      <c r="G31" s="12" t="n">
        <v>4522581</v>
      </c>
    </row>
    <row r="33">
      <c r="A33" s="10" t="inlineStr">
        <is>
          <t>CONDENSED INCOME STATEMENT</t>
        </is>
      </c>
      <c r="B33" s="11" t="n">
        <v>44591</v>
      </c>
      <c r="C33" s="11" t="n">
        <v>44955</v>
      </c>
      <c r="D33" s="11" t="n">
        <v>45319</v>
      </c>
      <c r="E33" s="11" t="n">
        <v>45690</v>
      </c>
      <c r="F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  <c r="F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  <c r="F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  <c r="F36" s="10">
        <f>'Income Statement'!F15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  <c r="F37" s="10">
        <f>'Income Statement'!F17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  <c r="F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  <c r="F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  <c r="F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  <c r="F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  <c r="F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  <c r="F45" s="15" t="n"/>
    </row>
    <row r="46">
      <c r="A46" s="10" t="inlineStr">
        <is>
          <t>NOWC</t>
        </is>
      </c>
      <c r="B46" s="15" t="n"/>
      <c r="C46" s="15" t="n"/>
      <c r="D46" s="15" t="n"/>
      <c r="E46" s="15" t="n"/>
      <c r="F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  <c r="F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  <c r="F48" s="15" t="n"/>
    </row>
    <row r="49">
      <c r="A49" s="10" t="inlineStr">
        <is>
          <t>NOLA</t>
        </is>
      </c>
      <c r="B49" s="15" t="n"/>
      <c r="C49" s="15" t="n"/>
      <c r="D49" s="15" t="n"/>
      <c r="E49" s="15" t="n"/>
      <c r="F49" s="15" t="n"/>
    </row>
    <row r="50">
      <c r="A50" s="10" t="inlineStr">
        <is>
          <t>NOA</t>
        </is>
      </c>
      <c r="B50" s="15" t="n"/>
      <c r="C50" s="15" t="n"/>
      <c r="D50" s="15" t="n"/>
      <c r="E50" s="15" t="n"/>
      <c r="F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  <c r="F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  <c r="F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  <c r="F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  <c r="F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  <c r="F55" s="12">
        <f>'Balance Sheet'!F35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  <c r="F56" s="12">
        <f>F53+F54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  <c r="F57" s="10">
        <f>IF(ABS(F54-F55)&lt;1,"OK","CHECK")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44591</v>
      </c>
      <c r="C4" s="11" t="n">
        <v>44955</v>
      </c>
      <c r="D4" s="11" t="n">
        <v>45319</v>
      </c>
      <c r="E4" s="11" t="n">
        <v>45690</v>
      </c>
      <c r="F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  <c r="F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  <c r="F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  <c r="F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  <c r="F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  <c r="F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  <c r="F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  <c r="F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  <c r="F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  <c r="F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  <c r="F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  <c r="F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  <c r="F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  <c r="F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  <c r="F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  <c r="F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  <c r="F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  <c r="F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  <c r="F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  <c r="F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  <c r="F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  <c r="F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  <c r="F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  <c r="F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  <c r="F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  <c r="F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  <c r="F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  <c r="F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  <c r="F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  <c r="F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  <c r="F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  <c r="F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  <c r="F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  <c r="F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  <c r="F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  <c r="F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  <c r="F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  <c r="F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  <c r="F52" s="10">
        <f>IF(OR(ISNA(F47),ISNA(F48)),"N/A",IF(ABS(F47*F48-1)&lt;0.0000001,"OK","CHECK"))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  <c r="F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  <c r="F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  <c r="F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  <c r="F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  <c r="F61" s="12">
        <f>'Balance Sheet'!F26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  <c r="F62" s="15" t="n"/>
    </row>
    <row r="63">
      <c r="A63" s="10" t="inlineStr">
        <is>
          <t>Right-of-use Assets Growth</t>
        </is>
      </c>
      <c r="C63" s="14" t="n"/>
      <c r="D63" s="14" t="n"/>
      <c r="E63" s="14" t="n"/>
      <c r="F63" s="14" t="n"/>
    </row>
    <row r="64">
      <c r="A64" s="10" t="inlineStr">
        <is>
          <t>Average Right-of-use Assets</t>
        </is>
      </c>
      <c r="C64" s="15" t="n"/>
      <c r="D64" s="15" t="n"/>
      <c r="E64" s="15" t="n"/>
      <c r="F64" s="15" t="n"/>
    </row>
    <row r="65">
      <c r="A65" s="10" t="inlineStr">
        <is>
          <t>Average Right-of-use Assets / Revenue</t>
        </is>
      </c>
      <c r="C65" s="14" t="n"/>
      <c r="D65" s="14" t="n"/>
      <c r="E65" s="14" t="n"/>
      <c r="F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  <c r="F68" s="12">
        <f>'Balance Sheet'!F21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  <c r="F69" s="12">
        <f>'Balance Sheet'!F27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  <c r="F70" s="15" t="n"/>
    </row>
    <row r="71">
      <c r="A71" s="10" t="inlineStr">
        <is>
          <t>Change in Deferred Tax Assets</t>
        </is>
      </c>
      <c r="C71" s="15" t="n"/>
      <c r="D71" s="15" t="n"/>
      <c r="E71" s="15" t="n"/>
      <c r="F71" s="15" t="n"/>
    </row>
    <row r="72">
      <c r="A72" s="10" t="inlineStr">
        <is>
          <t>Change in Deferred Tax Liabilities</t>
        </is>
      </c>
      <c r="C72" s="15" t="n"/>
      <c r="D72" s="15" t="n"/>
      <c r="E72" s="15" t="n"/>
      <c r="F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  <c r="F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  <c r="F76" s="12">
        <f>'Cash Flow Statement'!F15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  <c r="F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  <c r="F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Statement'!B26</f>
        <v/>
      </c>
      <c r="C81" s="12">
        <f>'Cash Flow Statement'!C26</f>
        <v/>
      </c>
      <c r="D81" s="12">
        <f>'Cash Flow Statement'!D26</f>
        <v/>
      </c>
      <c r="E81" s="12">
        <f>'Cash Flow Statement'!E26</f>
        <v/>
      </c>
      <c r="F81" s="12">
        <f>'Cash Flow Statement'!F26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  <c r="F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  <c r="F83" s="14" t="n"/>
    </row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  <c r="F86" s="12">
        <f>'Cash Flow Statement'!F12</f>
        <v/>
      </c>
    </row>
    <row r="87">
      <c r="A87" s="10" t="inlineStr">
        <is>
          <t>Acquisition cash outflow (−reported)</t>
        </is>
      </c>
      <c r="B87" s="15" t="n"/>
      <c r="C87" s="15" t="n"/>
      <c r="D87" s="15" t="n"/>
      <c r="E87" s="15" t="n"/>
      <c r="F87" s="15" t="n"/>
    </row>
    <row r="88">
      <c r="A88" s="10" t="inlineStr">
        <is>
          <t>Acquisition cash / Revenue</t>
        </is>
      </c>
      <c r="B88" s="14" t="n"/>
      <c r="C88" s="14" t="n"/>
      <c r="D88" s="14" t="n"/>
      <c r="E88" s="14" t="n"/>
      <c r="F88" s="14" t="n"/>
    </row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 t="n"/>
      <c r="C91" s="15" t="n"/>
      <c r="D91" s="15" t="n"/>
      <c r="E91" s="15" t="n"/>
      <c r="F91" s="15" t="n"/>
    </row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  <c r="F94" s="12">
        <f>'Cash Flow Statement'!F10</f>
        <v/>
      </c>
    </row>
    <row r="95">
      <c r="A95" s="10" t="inlineStr">
        <is>
          <t>Share-repurchase outflow (−reported)</t>
        </is>
      </c>
      <c r="B95" s="15" t="n"/>
      <c r="C95" s="15" t="n"/>
      <c r="D95" s="15" t="n"/>
      <c r="E95" s="15" t="n"/>
      <c r="F95" s="15" t="n"/>
    </row>
    <row r="96">
      <c r="A96" s="10" t="inlineStr">
        <is>
          <t>Share-repurchase / Revenue</t>
        </is>
      </c>
      <c r="B96" s="14" t="n"/>
      <c r="C96" s="14" t="n"/>
      <c r="D96" s="14" t="n"/>
      <c r="E96" s="14" t="n"/>
      <c r="F96" s="14" t="n"/>
    </row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 t="n"/>
      <c r="C99" s="15" t="n"/>
      <c r="D99" s="15" t="n"/>
      <c r="E99" s="15" t="n"/>
      <c r="F99" s="15" t="n"/>
    </row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Statement'!B26</f>
        <v/>
      </c>
      <c r="C102" s="12">
        <f>'Cash Flow Statement'!C26</f>
        <v/>
      </c>
      <c r="D102" s="12">
        <f>'Cash Flow Statement'!D26</f>
        <v/>
      </c>
      <c r="E102" s="12">
        <f>'Cash Flow Statement'!E26</f>
        <v/>
      </c>
      <c r="F102" s="12">
        <f>'Cash Flow Statement'!F26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  <c r="F103" s="12">
        <f>'Cash Flow Statement'!F13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  <c r="F104" s="12">
        <f>'Cash Flow Statement'!F7</f>
        <v/>
      </c>
    </row>
    <row r="105">
      <c r="A105" s="10" t="inlineStr">
        <is>
          <t>Effect of FX on cash (reported)</t>
        </is>
      </c>
      <c r="B105" s="12">
        <f>'Cash Flow Statement'!B38</f>
        <v/>
      </c>
      <c r="C105" s="12">
        <f>'Cash Flow Statement'!C38</f>
        <v/>
      </c>
      <c r="D105" s="12">
        <f>'Cash Flow Statement'!D38</f>
        <v/>
      </c>
      <c r="E105" s="12">
        <f>'Cash Flow Statement'!E38</f>
        <v/>
      </c>
      <c r="F105" s="12">
        <f>'Cash Flow Statement'!F38</f>
        <v/>
      </c>
    </row>
    <row r="106">
      <c r="A106" s="10" t="inlineStr">
        <is>
          <t>Cash movement from flows</t>
        </is>
      </c>
      <c r="B106" s="15" t="n"/>
      <c r="C106" s="15" t="n"/>
      <c r="D106" s="15" t="n"/>
      <c r="E106" s="15" t="n"/>
      <c r="F106" s="15" t="n"/>
    </row>
    <row r="107">
      <c r="A107" s="10" t="inlineStr">
        <is>
          <t>Reported cash change</t>
        </is>
      </c>
      <c r="B107" s="12">
        <f>'Cash Flow Statement'!B39</f>
        <v/>
      </c>
      <c r="C107" s="12">
        <f>'Cash Flow Statement'!C39</f>
        <v/>
      </c>
      <c r="D107" s="12">
        <f>'Cash Flow Statement'!D39</f>
        <v/>
      </c>
      <c r="E107" s="12">
        <f>'Cash Flow Statement'!E39</f>
        <v/>
      </c>
      <c r="F107" s="12">
        <f>'Cash Flow Statement'!F39</f>
        <v/>
      </c>
    </row>
    <row r="108">
      <c r="A108" s="10" t="inlineStr">
        <is>
          <t>Cash movement difference</t>
        </is>
      </c>
      <c r="B108" s="15" t="n"/>
      <c r="C108" s="15" t="n"/>
      <c r="D108" s="15" t="n"/>
      <c r="E108" s="15" t="n"/>
      <c r="F108" s="15" t="n"/>
    </row>
    <row r="109">
      <c r="A109" s="10" t="inlineStr">
        <is>
          <t>Cash beginning (reported)</t>
        </is>
      </c>
      <c r="B109" s="12">
        <f>'Cash Flow Statement'!B36</f>
        <v/>
      </c>
      <c r="C109" s="12">
        <f>'Cash Flow Statement'!C36</f>
        <v/>
      </c>
      <c r="D109" s="12">
        <f>'Cash Flow Statement'!D36</f>
        <v/>
      </c>
      <c r="E109" s="12">
        <f>'Cash Flow Statement'!E36</f>
        <v/>
      </c>
      <c r="F109" s="12">
        <f>'Cash Flow Statement'!F36</f>
        <v/>
      </c>
    </row>
    <row r="110">
      <c r="A110" s="10" t="inlineStr">
        <is>
          <t>Cash ending from flows</t>
        </is>
      </c>
      <c r="B110" s="15" t="n"/>
      <c r="C110" s="15" t="n"/>
      <c r="D110" s="15" t="n"/>
      <c r="E110" s="15" t="n"/>
      <c r="F110" s="15" t="n"/>
    </row>
    <row r="111">
      <c r="A111" s="10" t="inlineStr">
        <is>
          <t>Cash ending (reported)</t>
        </is>
      </c>
      <c r="B111" s="12">
        <f>'Cash Flow Statement'!B37</f>
        <v/>
      </c>
      <c r="C111" s="12">
        <f>'Cash Flow Statement'!C37</f>
        <v/>
      </c>
      <c r="D111" s="12">
        <f>'Cash Flow Statement'!D37</f>
        <v/>
      </c>
      <c r="E111" s="12">
        <f>'Cash Flow Statement'!E37</f>
        <v/>
      </c>
      <c r="F111" s="12">
        <f>'Cash Flow Statement'!F37</f>
        <v/>
      </c>
    </row>
    <row r="112">
      <c r="A112" s="10" t="inlineStr">
        <is>
          <t>Cash ending difference</t>
        </is>
      </c>
      <c r="B112" s="15" t="n"/>
      <c r="C112" s="15" t="n"/>
      <c r="D112" s="15" t="n"/>
      <c r="E112" s="15" t="n"/>
      <c r="F112" s="15" t="n"/>
    </row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  <c r="F115" s="12">
        <f>'Income Statement'!F19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  <c r="F116" s="12">
        <f>'Income Statement'!F14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  <c r="F117" s="12">
        <f>'Income Statement'!F16</f>
        <v/>
      </c>
    </row>
    <row r="118">
      <c r="A118" s="10" t="inlineStr">
        <is>
          <t>Gross margin</t>
        </is>
      </c>
      <c r="B118" s="14" t="n"/>
      <c r="C118" s="14" t="n"/>
      <c r="D118" s="14" t="n"/>
      <c r="E118" s="14" t="n"/>
      <c r="F118" s="14" t="n"/>
    </row>
    <row r="119">
      <c r="A119" s="10" t="inlineStr">
        <is>
          <t>Reported operating margin</t>
        </is>
      </c>
      <c r="B119" s="14" t="n"/>
      <c r="C119" s="14" t="n"/>
      <c r="D119" s="14" t="n"/>
      <c r="E119" s="14" t="n"/>
      <c r="F119" s="14" t="n"/>
    </row>
    <row r="120">
      <c r="A120" s="10" t="inlineStr">
        <is>
          <t>Net operating expense burden</t>
        </is>
      </c>
      <c r="B120" s="14" t="n"/>
      <c r="C120" s="14" t="n"/>
      <c r="D120" s="14" t="n"/>
      <c r="E120" s="14" t="n"/>
      <c r="F120" s="14" t="n"/>
    </row>
    <row r="121">
      <c r="A121" s="10" t="inlineStr">
        <is>
          <t>Change in gross margin</t>
        </is>
      </c>
      <c r="C121" s="14" t="n"/>
      <c r="D121" s="14" t="n"/>
      <c r="E121" s="14" t="n"/>
      <c r="F121" s="14" t="n"/>
    </row>
    <row r="122">
      <c r="A122" s="10" t="inlineStr">
        <is>
          <t>Change in net operating expense burden</t>
        </is>
      </c>
      <c r="C122" s="14" t="n"/>
      <c r="D122" s="14" t="n"/>
      <c r="E122" s="14" t="n"/>
      <c r="F122" s="14" t="n"/>
    </row>
    <row r="123">
      <c r="A123" s="10" t="inlineStr">
        <is>
          <t>Reconstructed change in reported operating margin</t>
        </is>
      </c>
      <c r="C123" s="14" t="n"/>
      <c r="D123" s="14" t="n"/>
      <c r="E123" s="14" t="n"/>
      <c r="F123" s="14" t="n"/>
    </row>
    <row r="125">
      <c r="A125" s="10" t="inlineStr">
        <is>
          <t>INVENTORY GROWTH AND INTENSITY CONTEXT</t>
        </is>
      </c>
    </row>
    <row r="126">
      <c r="A126" s="10" t="inlineStr">
        <is>
          <t>Inventory (reported)</t>
        </is>
      </c>
      <c r="B126" s="12">
        <f>'Balance Sheet'!B9</f>
        <v/>
      </c>
      <c r="C126" s="12">
        <f>'Balance Sheet'!C9</f>
        <v/>
      </c>
      <c r="D126" s="12">
        <f>'Balance Sheet'!D9</f>
        <v/>
      </c>
      <c r="E126" s="12">
        <f>'Balance Sheet'!E9</f>
        <v/>
      </c>
      <c r="F126" s="12">
        <f>'Balance Sheet'!F9</f>
        <v/>
      </c>
    </row>
    <row r="127">
      <c r="A127" s="10" t="inlineStr">
        <is>
          <t>Revenue (reported)</t>
        </is>
      </c>
      <c r="B127" s="12">
        <f>'Income Statement'!B19</f>
        <v/>
      </c>
      <c r="C127" s="12">
        <f>'Income Statement'!C19</f>
        <v/>
      </c>
      <c r="D127" s="12">
        <f>'Income Statement'!D19</f>
        <v/>
      </c>
      <c r="E127" s="12">
        <f>'Income Statement'!E19</f>
        <v/>
      </c>
      <c r="F127" s="12">
        <f>'Income Statement'!F19</f>
        <v/>
      </c>
    </row>
    <row r="128">
      <c r="A128" s="10" t="inlineStr">
        <is>
          <t>Inventory intensity</t>
        </is>
      </c>
      <c r="B128" s="14" t="n"/>
      <c r="C128" s="14" t="n"/>
      <c r="D128" s="14" t="n"/>
      <c r="E128" s="14" t="n"/>
      <c r="F128" s="14" t="n"/>
    </row>
    <row r="129">
      <c r="A129" s="10" t="inlineStr">
        <is>
          <t>Change in inventory</t>
        </is>
      </c>
      <c r="C129" s="15" t="n"/>
      <c r="D129" s="15" t="n"/>
      <c r="E129" s="15" t="n"/>
      <c r="F129" s="15" t="n"/>
    </row>
    <row r="130">
      <c r="A130" s="10" t="inlineStr">
        <is>
          <t>Revenue-scale effect on inventory</t>
        </is>
      </c>
      <c r="C130" s="15" t="n"/>
      <c r="D130" s="15" t="n"/>
      <c r="E130" s="15" t="n"/>
      <c r="F130" s="15" t="n"/>
    </row>
    <row r="131">
      <c r="A131" s="10" t="inlineStr">
        <is>
          <t>Intensity effect on inventory</t>
        </is>
      </c>
      <c r="C131" s="15" t="n"/>
      <c r="D131" s="15" t="n"/>
      <c r="E131" s="15" t="n"/>
      <c r="F131" s="15" t="n"/>
    </row>
    <row r="132">
      <c r="A132" s="10" t="inlineStr">
        <is>
          <t>Reconstructed change in inventory</t>
        </is>
      </c>
      <c r="C132" s="15" t="n"/>
      <c r="D132" s="15" t="n"/>
      <c r="E132" s="15" t="n"/>
      <c r="F132" s="15" t="n"/>
    </row>
    <row r="133">
      <c r="A133" s="10" t="inlineStr">
        <is>
          <t>Inventory CF adjustment (reported)</t>
        </is>
      </c>
      <c r="B133" s="12">
        <f>'Cash Flow Statement'!B24</f>
        <v/>
      </c>
      <c r="C133" s="12">
        <f>'Cash Flow Statement'!C24</f>
        <v/>
      </c>
      <c r="D133" s="12">
        <f>'Cash Flow Statement'!D24</f>
        <v/>
      </c>
      <c r="E133" s="12">
        <f>'Cash Flow Statement'!E24</f>
        <v/>
      </c>
      <c r="F133" s="12">
        <f>'Cash Flow Statement'!F24</f>
        <v/>
      </c>
    </row>
    <row r="134">
      <c r="A134" s="10" t="inlineStr">
        <is>
          <t>Balance-implied inventory CF adjustment</t>
        </is>
      </c>
      <c r="C134" s="15" t="n"/>
      <c r="D134" s="15" t="n"/>
      <c r="E134" s="15" t="n"/>
      <c r="F134" s="15" t="n"/>
    </row>
    <row r="135">
      <c r="A135" s="10" t="inlineStr">
        <is>
          <t>Unexplained inventory CF difference</t>
        </is>
      </c>
      <c r="C135" s="15" t="n"/>
      <c r="D135" s="15" t="n"/>
      <c r="E135" s="15" t="n"/>
      <c r="F135" s="15" t="n"/>
    </row>
    <row r="137">
      <c r="A137" s="10" t="inlineStr">
        <is>
          <t>GOODWILL &amp; INTANGIBLES CONTEXT</t>
        </is>
      </c>
    </row>
    <row r="138">
      <c r="A138" s="10" t="inlineStr">
        <is>
          <t>Goodwill</t>
        </is>
      </c>
      <c r="B138" s="12">
        <f>'Balance Sheet'!B22</f>
        <v/>
      </c>
      <c r="C138" s="12">
        <f>'Balance Sheet'!C22</f>
        <v/>
      </c>
      <c r="D138" s="12">
        <f>'Balance Sheet'!D22</f>
        <v/>
      </c>
      <c r="E138" s="12">
        <f>'Balance Sheet'!E22</f>
        <v/>
      </c>
      <c r="F138" s="12">
        <f>'Balance Sheet'!F22</f>
        <v/>
      </c>
    </row>
    <row r="139">
      <c r="A139" s="10" t="inlineStr">
        <is>
          <t>Change in Goodwill</t>
        </is>
      </c>
      <c r="C139" s="15" t="n"/>
      <c r="D139" s="15" t="n"/>
      <c r="E139" s="15" t="n"/>
      <c r="F139" s="15" t="n"/>
    </row>
    <row r="140">
      <c r="A140" s="10" t="inlineStr">
        <is>
          <t>Goodwill Growth</t>
        </is>
      </c>
      <c r="C140" s="14" t="n"/>
      <c r="D140" s="14" t="n"/>
      <c r="E140" s="14" t="n"/>
      <c r="F140" s="14" t="n"/>
    </row>
    <row r="141">
      <c r="A141" s="10" t="inlineStr">
        <is>
          <t>Average Goodwill</t>
        </is>
      </c>
      <c r="C141" s="15" t="n"/>
      <c r="D141" s="15" t="n"/>
      <c r="E141" s="15" t="n"/>
      <c r="F141" s="15" t="n"/>
    </row>
    <row r="142">
      <c r="A142" s="10" t="inlineStr">
        <is>
          <t>Average Goodwill / Revenue</t>
        </is>
      </c>
      <c r="C142" s="14" t="n"/>
      <c r="D142" s="14" t="n"/>
      <c r="E142" s="14" t="n"/>
      <c r="F142" s="14" t="n"/>
    </row>
    <row r="143">
      <c r="A143" s="10" t="inlineStr">
        <is>
          <t>Intangible Assets</t>
        </is>
      </c>
      <c r="B143" s="12">
        <f>'Balance Sheet'!B23</f>
        <v/>
      </c>
      <c r="C143" s="12">
        <f>'Balance Sheet'!C23</f>
        <v/>
      </c>
      <c r="D143" s="12">
        <f>'Balance Sheet'!D23</f>
        <v/>
      </c>
      <c r="E143" s="12">
        <f>'Balance Sheet'!E23</f>
        <v/>
      </c>
      <c r="F143" s="12">
        <f>'Balance Sheet'!F23</f>
        <v/>
      </c>
    </row>
    <row r="144">
      <c r="A144" s="10" t="inlineStr">
        <is>
          <t>Change in Intangible Assets</t>
        </is>
      </c>
      <c r="C144" s="15" t="n"/>
      <c r="D144" s="15" t="n"/>
      <c r="E144" s="15" t="n"/>
      <c r="F144" s="15" t="n"/>
    </row>
    <row r="145">
      <c r="A145" s="10" t="inlineStr">
        <is>
          <t>Intangible Assets Growth</t>
        </is>
      </c>
      <c r="C145" s="14" t="n"/>
      <c r="D145" s="14" t="n"/>
      <c r="E145" s="14" t="n"/>
      <c r="F145" s="14" t="n"/>
    </row>
    <row r="146">
      <c r="A146" s="10" t="inlineStr">
        <is>
          <t>Average Intangible Assets</t>
        </is>
      </c>
      <c r="C146" s="15" t="n"/>
      <c r="D146" s="15" t="n"/>
      <c r="E146" s="15" t="n"/>
      <c r="F146" s="15" t="n"/>
    </row>
    <row r="147">
      <c r="A147" s="10" t="inlineStr">
        <is>
          <t>Average Intangible Assets / Revenue</t>
        </is>
      </c>
      <c r="C147" s="14" t="n"/>
      <c r="D147" s="14" t="n"/>
      <c r="E147" s="14" t="n"/>
      <c r="F147" s="14" t="n"/>
    </row>
    <row r="148">
      <c r="A148" s="10" t="inlineStr">
        <is>
          <t>Goodwill &amp; Intangibles</t>
        </is>
      </c>
      <c r="B148" s="12">
        <f>B138+B143</f>
        <v/>
      </c>
      <c r="C148" s="12">
        <f>C138+C143</f>
        <v/>
      </c>
      <c r="D148" s="12">
        <f>D138+D143</f>
        <v/>
      </c>
      <c r="E148" s="12">
        <f>E138+E143</f>
        <v/>
      </c>
      <c r="F148" s="12">
        <f>F138+F143</f>
        <v/>
      </c>
    </row>
    <row r="149">
      <c r="A149" s="10" t="inlineStr">
        <is>
          <t>Change in Goodwill &amp; Intangibles</t>
        </is>
      </c>
      <c r="C149" s="15" t="n"/>
      <c r="D149" s="15" t="n"/>
      <c r="E149" s="15" t="n"/>
      <c r="F149" s="15" t="n"/>
    </row>
    <row r="150">
      <c r="A150" s="10" t="inlineStr">
        <is>
          <t>Goodwill &amp; Intangibles Growth</t>
        </is>
      </c>
      <c r="C150" s="14" t="n"/>
      <c r="D150" s="14" t="n"/>
      <c r="E150" s="14" t="n"/>
      <c r="F150" s="14" t="n"/>
    </row>
    <row r="151">
      <c r="A151" s="10" t="inlineStr">
        <is>
          <t>Average Goodwill &amp; Intangibles</t>
        </is>
      </c>
      <c r="C151" s="15" t="n"/>
      <c r="D151" s="15" t="n"/>
      <c r="E151" s="15" t="n"/>
      <c r="F151" s="15" t="n"/>
    </row>
    <row r="152">
      <c r="A152" s="10" t="inlineStr">
        <is>
          <t>Average Goodwill &amp; Intangibles / Revenue</t>
        </is>
      </c>
      <c r="C152" s="14" t="n"/>
      <c r="D152" s="14" t="n"/>
      <c r="E152" s="14" t="n"/>
      <c r="F152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44591</v>
      </c>
      <c r="C4" s="11" t="n">
        <v>44955</v>
      </c>
      <c r="D4" s="11" t="n">
        <v>45319</v>
      </c>
      <c r="E4" s="11" t="n">
        <v>45690</v>
      </c>
      <c r="F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  <c r="F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  <c r="F6" s="12">
        <f>'Condensed Financials'!F35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  <c r="F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  <c r="F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  <c r="F10" s="12">
        <f>'Balance Sheet'!F36</f>
        <v/>
      </c>
    </row>
    <row r="11">
      <c r="A11" s="10" t="inlineStr">
        <is>
          <t>Average Total Assets</t>
        </is>
      </c>
      <c r="C11" s="15" t="n"/>
      <c r="D11" s="15" t="n"/>
      <c r="E11" s="15" t="n"/>
      <c r="F11" s="15" t="n"/>
    </row>
    <row r="12">
      <c r="A12" s="10" t="inlineStr">
        <is>
          <t>Accrual Ratio</t>
        </is>
      </c>
      <c r="C12" s="14" t="n"/>
      <c r="D12" s="14" t="n"/>
      <c r="E12" s="14" t="n"/>
      <c r="F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  <c r="F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  <c r="F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  <c r="F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  <c r="F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  <c r="F19" s="10">
        <f>IF(ABS(F17-((F6-E6)-F15))&lt;0.01,"OK","CHECK")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Statement'!B34</f>
        <v/>
      </c>
      <c r="C22" s="12">
        <f>'Cash Flow Statement'!C34</f>
        <v/>
      </c>
      <c r="D22" s="12">
        <f>'Cash Flow Statement'!D34</f>
        <v/>
      </c>
      <c r="E22" s="12">
        <f>'Cash Flow Statement'!E34</f>
        <v/>
      </c>
      <c r="F22" s="12">
        <f>'Cash Flow Statement'!F34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  <c r="F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  <c r="F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  <c r="F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44591</v>
      </c>
      <c r="C5" s="11" t="n">
        <v>44955</v>
      </c>
      <c r="D5" s="11" t="n">
        <v>45319</v>
      </c>
      <c r="E5" s="11" t="n">
        <v>45690</v>
      </c>
      <c r="F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  <c r="F6" s="12">
        <f>'Condensed Financials'!F34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  <c r="F7" s="12">
        <f>'Condensed Financials'!F44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  <c r="F8" s="12">
        <f>'Condensed Financials'!F45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  <c r="F9" s="12">
        <f>'Condensed Financials'!F46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  <c r="F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  <c r="F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  <c r="F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  <c r="F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  <c r="F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  <c r="F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  <c r="F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  <c r="F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  <c r="F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  <c r="F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  <c r="F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  <c r="F24" s="10">
        <f>IF(ABS(F21-F15)&lt;0.01,"OK","CHECK")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44591</v>
      </c>
      <c r="C4" s="11" t="n">
        <v>44955</v>
      </c>
      <c r="D4" s="11" t="n">
        <v>45319</v>
      </c>
      <c r="E4" s="11" t="n">
        <v>45690</v>
      </c>
      <c r="F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  <c r="F5" s="12">
        <f>'Condensed Financials'!F35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  <c r="F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130295</v>
      </c>
      <c r="C7" s="18" t="n">
        <v>128017</v>
      </c>
      <c r="D7" s="18" t="n">
        <v>127060</v>
      </c>
      <c r="E7" s="18" t="n">
        <v>123935</v>
      </c>
      <c r="F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  <c r="F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  <c r="F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  <c r="F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  <c r="F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  <c r="F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  <c r="F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  <c r="F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  <c r="F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  <c r="F20" s="10">
        <f>IF(ABS(F19-F12)&lt;0.0000001,"OK","CHECK")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2026-09-15T17:06:30Z</dcterms:created>
  <dcterms:modified xsi:type="dcterms:W3CDTF">2026-09-15T17:06:30Z</dcterms:modified>
</cp:coreProperties>
</file>